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Infosys\"/>
    </mc:Choice>
  </mc:AlternateContent>
  <xr:revisionPtr revIDLastSave="0" documentId="13_ncr:1_{E2F47ACF-DDE2-449C-9EB4-8AFF5201955B}" xr6:coauthVersionLast="47" xr6:coauthVersionMax="47" xr10:uidLastSave="{00000000-0000-0000-0000-000000000000}"/>
  <bookViews>
    <workbookView xWindow="-108" yWindow="-108" windowWidth="23256" windowHeight="12456" tabRatio="963" xr2:uid="{00000000-000D-0000-FFFF-FFFF00000000}"/>
  </bookViews>
  <sheets>
    <sheet name="Teaser" sheetId="30" r:id="rId1"/>
    <sheet name="Input Sheet" sheetId="31" r:id="rId2"/>
    <sheet name="Dupont Analysis" sheetId="29" r:id="rId3"/>
    <sheet name="List of Stocks" sheetId="28" r:id="rId4"/>
    <sheet name="Football Field" sheetId="26" r:id="rId5"/>
    <sheet name="Comparable Company Valuation" sheetId="27" r:id="rId6"/>
    <sheet name="DCF" sheetId="25" r:id="rId7"/>
    <sheet name="WACC" sheetId="24" r:id="rId8"/>
    <sheet name="Beta - Regression" sheetId="22" r:id="rId9"/>
    <sheet name="RM" sheetId="21" r:id="rId10"/>
    <sheet name="Common Size Statement" sheetId="20" r:id="rId11"/>
    <sheet name="Ratio Analysis" sheetId="19" r:id="rId12"/>
    <sheet name="Cash Flow   " sheetId="15" r:id="rId13"/>
    <sheet name="Balance Sheet" sheetId="14" r:id="rId14"/>
    <sheet name="Income Statement " sheetId="1" r:id="rId15"/>
    <sheet name="Dep Capex" sheetId="17" r:id="rId16"/>
    <sheet name="Warking " sheetId="18" r:id="rId17"/>
    <sheet name="Assumption Drivers" sheetId="16" r:id="rId18"/>
    <sheet name="Data Sheet &gt;" sheetId="6" r:id="rId19"/>
    <sheet name="Profit &amp; Loss" sheetId="8" r:id="rId20"/>
    <sheet name="Cash Flow Data" sheetId="7" r:id="rId21"/>
    <sheet name="Quarters" sheetId="9" r:id="rId22"/>
    <sheet name="His Balance Sheet" sheetId="10" r:id="rId23"/>
    <sheet name="Cash Flow" sheetId="11" r:id="rId24"/>
  </sheets>
  <definedNames>
    <definedName name="_xlnm.Print_Area" localSheetId="2">'Dupont Analysis'!$A$2:$H$114</definedName>
    <definedName name="UPDATE">'Data Sheet &gt;'!$E$1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49" i="30" l="1"/>
  <c r="K47" i="30"/>
  <c r="K46" i="30"/>
  <c r="K45" i="30"/>
  <c r="K44" i="30"/>
  <c r="K43" i="30"/>
  <c r="C31" i="30"/>
  <c r="D28" i="30"/>
  <c r="E28" i="30"/>
  <c r="C30" i="30"/>
  <c r="D30" i="30"/>
  <c r="E30" i="30"/>
  <c r="D31" i="30"/>
  <c r="E31" i="30"/>
  <c r="C32" i="30"/>
  <c r="D32" i="30"/>
  <c r="E32" i="30"/>
  <c r="C33" i="30"/>
  <c r="D33" i="30"/>
  <c r="E33" i="30"/>
  <c r="C34" i="30"/>
  <c r="D34" i="30"/>
  <c r="E34" i="30"/>
  <c r="C35" i="30"/>
  <c r="D35" i="30"/>
  <c r="E35" i="30"/>
  <c r="C36" i="30"/>
  <c r="D36" i="30"/>
  <c r="E36" i="30"/>
  <c r="C37" i="30"/>
  <c r="D37" i="30"/>
  <c r="E37" i="30"/>
  <c r="C38" i="30"/>
  <c r="D38" i="30"/>
  <c r="E38" i="30"/>
  <c r="C39" i="30"/>
  <c r="D39" i="30"/>
  <c r="E39" i="30"/>
  <c r="B31" i="30"/>
  <c r="B32" i="30"/>
  <c r="B33" i="30"/>
  <c r="B34" i="30"/>
  <c r="B35" i="30"/>
  <c r="B36" i="30"/>
  <c r="B37" i="30"/>
  <c r="B38" i="30"/>
  <c r="B39" i="30"/>
  <c r="B30" i="30"/>
  <c r="C28" i="30"/>
  <c r="B28" i="30"/>
  <c r="E21" i="31"/>
  <c r="E20" i="31"/>
  <c r="E19" i="31"/>
  <c r="E18" i="31"/>
  <c r="E17" i="31"/>
  <c r="E16" i="31"/>
  <c r="E15" i="31"/>
  <c r="E14" i="31"/>
  <c r="E13" i="31"/>
  <c r="E12" i="31"/>
  <c r="G21" i="30"/>
  <c r="G22" i="30"/>
  <c r="G23" i="30"/>
  <c r="G24" i="30"/>
  <c r="D21" i="30"/>
  <c r="E21" i="30"/>
  <c r="F21" i="30"/>
  <c r="D22" i="30"/>
  <c r="E22" i="30"/>
  <c r="F22" i="30"/>
  <c r="D23" i="30"/>
  <c r="E23" i="30"/>
  <c r="F23" i="30"/>
  <c r="D24" i="30"/>
  <c r="E24" i="30"/>
  <c r="F24" i="30"/>
  <c r="G26" i="30"/>
  <c r="F26" i="30"/>
  <c r="E26" i="30"/>
  <c r="D26" i="30"/>
  <c r="G25" i="30"/>
  <c r="F25" i="30"/>
  <c r="E25" i="30"/>
  <c r="D25" i="30"/>
  <c r="C26" i="30"/>
  <c r="C25" i="30"/>
  <c r="C24" i="30"/>
  <c r="C23" i="30"/>
  <c r="C22" i="30"/>
  <c r="C37" i="8"/>
  <c r="D37" i="8"/>
  <c r="E37" i="8"/>
  <c r="F37" i="8"/>
  <c r="G37" i="8"/>
  <c r="H37" i="8"/>
  <c r="I37" i="8"/>
  <c r="J37" i="8"/>
  <c r="K37" i="8"/>
  <c r="B37" i="8"/>
  <c r="C26" i="10"/>
  <c r="D26" i="10"/>
  <c r="E26" i="10"/>
  <c r="F26" i="10"/>
  <c r="G26" i="10"/>
  <c r="H26" i="10"/>
  <c r="I26" i="10"/>
  <c r="J26" i="10"/>
  <c r="K26" i="10"/>
  <c r="B26" i="10"/>
  <c r="C31" i="8"/>
  <c r="D31" i="8"/>
  <c r="E31" i="8"/>
  <c r="F31" i="8"/>
  <c r="G31" i="8"/>
  <c r="H31" i="8"/>
  <c r="I31" i="8"/>
  <c r="J31" i="8"/>
  <c r="K31" i="8"/>
  <c r="B31" i="8"/>
  <c r="B34" i="8" s="1"/>
  <c r="C34" i="8"/>
  <c r="D34" i="8"/>
  <c r="E34" i="8"/>
  <c r="F34" i="8"/>
  <c r="G34" i="8"/>
  <c r="H34" i="8"/>
  <c r="I34" i="8"/>
  <c r="J34" i="8"/>
  <c r="K34" i="8"/>
  <c r="C33" i="8"/>
  <c r="D33" i="8"/>
  <c r="E33" i="8"/>
  <c r="F33" i="8"/>
  <c r="G33" i="8"/>
  <c r="H33" i="8"/>
  <c r="I33" i="8"/>
  <c r="J33" i="8"/>
  <c r="K33" i="8"/>
  <c r="B33" i="8"/>
  <c r="C32" i="8"/>
  <c r="D32" i="8"/>
  <c r="E32" i="8"/>
  <c r="F32" i="8"/>
  <c r="G32" i="8"/>
  <c r="H32" i="8"/>
  <c r="I32" i="8"/>
  <c r="J32" i="8"/>
  <c r="K32" i="8"/>
  <c r="B32" i="8"/>
  <c r="C21" i="30"/>
  <c r="D17" i="30"/>
  <c r="E17" i="30"/>
  <c r="F17" i="30"/>
  <c r="G17" i="30"/>
  <c r="C17" i="30"/>
  <c r="D29" i="8"/>
  <c r="E29" i="8"/>
  <c r="F29" i="8"/>
  <c r="G29" i="8"/>
  <c r="H29" i="8"/>
  <c r="I29" i="8"/>
  <c r="J29" i="8"/>
  <c r="K29" i="8"/>
  <c r="C29" i="8"/>
  <c r="C28" i="8"/>
  <c r="D28" i="8"/>
  <c r="E28" i="8"/>
  <c r="F28" i="8"/>
  <c r="G28" i="8"/>
  <c r="H28" i="8"/>
  <c r="I28" i="8"/>
  <c r="J28" i="8"/>
  <c r="K28" i="8"/>
  <c r="B28" i="8"/>
  <c r="D16" i="30"/>
  <c r="E16" i="30"/>
  <c r="F16" i="30"/>
  <c r="G16" i="30"/>
  <c r="C16" i="30"/>
  <c r="D15" i="30"/>
  <c r="E15" i="30"/>
  <c r="F15" i="30"/>
  <c r="G15" i="30"/>
  <c r="C15" i="30"/>
  <c r="C40" i="1"/>
  <c r="D14" i="30"/>
  <c r="E14" i="30"/>
  <c r="F14" i="30"/>
  <c r="G14" i="30"/>
  <c r="C14" i="30"/>
  <c r="D13" i="30"/>
  <c r="E13" i="30"/>
  <c r="F13" i="30"/>
  <c r="G13" i="30"/>
  <c r="C13" i="30"/>
  <c r="D12" i="30"/>
  <c r="E12" i="30"/>
  <c r="F12" i="30"/>
  <c r="G12" i="30"/>
  <c r="C12" i="30"/>
  <c r="D11" i="30"/>
  <c r="E11" i="30"/>
  <c r="F11" i="30"/>
  <c r="G11" i="30"/>
  <c r="C11" i="30"/>
  <c r="D10" i="30"/>
  <c r="E10" i="30"/>
  <c r="F10" i="30"/>
  <c r="G10" i="30"/>
  <c r="C10" i="30"/>
  <c r="D9" i="30"/>
  <c r="E9" i="30"/>
  <c r="F9" i="30"/>
  <c r="G9" i="30"/>
  <c r="C9" i="30"/>
  <c r="D8" i="30"/>
  <c r="E8" i="30"/>
  <c r="F8" i="30"/>
  <c r="G8" i="30"/>
  <c r="C8" i="30"/>
  <c r="D6" i="30"/>
  <c r="D19" i="30" s="1"/>
  <c r="E6" i="30"/>
  <c r="E19" i="30" s="1"/>
  <c r="F6" i="30"/>
  <c r="F19" i="30" s="1"/>
  <c r="G6" i="30"/>
  <c r="G19" i="30" s="1"/>
  <c r="C6" i="30"/>
  <c r="C19" i="30" s="1"/>
  <c r="C4" i="30"/>
  <c r="B2" i="30"/>
  <c r="B106" i="29"/>
  <c r="B93" i="29"/>
  <c r="B92" i="29"/>
  <c r="B101" i="29" s="1"/>
  <c r="G89" i="29"/>
  <c r="F89" i="29"/>
  <c r="E89" i="29"/>
  <c r="D89" i="29"/>
  <c r="H89" i="29"/>
  <c r="G85" i="29"/>
  <c r="F85" i="29"/>
  <c r="E85" i="29"/>
  <c r="D85" i="29"/>
  <c r="H85" i="29"/>
  <c r="B84" i="29"/>
  <c r="G79" i="29"/>
  <c r="G93" i="29" s="1"/>
  <c r="F79" i="29"/>
  <c r="F93" i="29" s="1"/>
  <c r="E79" i="29"/>
  <c r="E93" i="29" s="1"/>
  <c r="D79" i="29"/>
  <c r="D93" i="29" s="1"/>
  <c r="H79" i="29"/>
  <c r="H93" i="29" s="1"/>
  <c r="G78" i="29"/>
  <c r="G100" i="29" s="1"/>
  <c r="F78" i="29"/>
  <c r="F100" i="29" s="1"/>
  <c r="E78" i="29"/>
  <c r="E100" i="29" s="1"/>
  <c r="D78" i="29"/>
  <c r="D100" i="29" s="1"/>
  <c r="H78" i="29"/>
  <c r="H100" i="29" s="1"/>
  <c r="G77" i="29"/>
  <c r="F77" i="29"/>
  <c r="E77" i="29"/>
  <c r="D77" i="29"/>
  <c r="H77" i="29"/>
  <c r="B5" i="29"/>
  <c r="B3" i="29"/>
  <c r="B4" i="29" s="1"/>
  <c r="C9" i="26"/>
  <c r="E9" i="26"/>
  <c r="C6" i="26"/>
  <c r="E6" i="26"/>
  <c r="F6" i="26"/>
  <c r="D6" i="26"/>
  <c r="C8" i="26"/>
  <c r="E8" i="26"/>
  <c r="F8" i="26"/>
  <c r="D8" i="26"/>
  <c r="C7" i="26"/>
  <c r="E7" i="26"/>
  <c r="F7" i="26"/>
  <c r="D7" i="26"/>
  <c r="E5" i="26"/>
  <c r="C5" i="26"/>
  <c r="F5" i="26"/>
  <c r="D5" i="26"/>
  <c r="P28" i="27"/>
  <c r="O28" i="27"/>
  <c r="N28" i="27"/>
  <c r="P23" i="27"/>
  <c r="P26" i="27"/>
  <c r="P25" i="27"/>
  <c r="P24" i="27"/>
  <c r="O26" i="27"/>
  <c r="O25" i="27"/>
  <c r="N25" i="27"/>
  <c r="O24" i="27"/>
  <c r="O23" i="27"/>
  <c r="N26" i="27"/>
  <c r="N24" i="27"/>
  <c r="N23" i="27"/>
  <c r="O19" i="27"/>
  <c r="P19" i="27"/>
  <c r="N19" i="27"/>
  <c r="O18" i="27"/>
  <c r="P18" i="27"/>
  <c r="N18" i="27"/>
  <c r="O17" i="27"/>
  <c r="P17" i="27"/>
  <c r="N17" i="27"/>
  <c r="O16" i="27"/>
  <c r="P16" i="27"/>
  <c r="N16" i="27"/>
  <c r="O15" i="27"/>
  <c r="P15" i="27"/>
  <c r="N15" i="27"/>
  <c r="O14" i="27"/>
  <c r="P14" i="27"/>
  <c r="N14" i="27"/>
  <c r="P12" i="27"/>
  <c r="P11" i="27"/>
  <c r="P10" i="27"/>
  <c r="P9" i="27"/>
  <c r="P8" i="27"/>
  <c r="P7" i="27"/>
  <c r="O12" i="27"/>
  <c r="O11" i="27"/>
  <c r="O10" i="27"/>
  <c r="O9" i="27"/>
  <c r="O8" i="27"/>
  <c r="O7" i="27"/>
  <c r="N11" i="27"/>
  <c r="N12" i="27"/>
  <c r="N10" i="27"/>
  <c r="N9" i="27"/>
  <c r="N8" i="27"/>
  <c r="N7" i="27"/>
  <c r="L7" i="27"/>
  <c r="K7" i="27"/>
  <c r="J7" i="27"/>
  <c r="F7" i="27"/>
  <c r="E12" i="27"/>
  <c r="E11" i="27"/>
  <c r="E10" i="27"/>
  <c r="E9" i="27"/>
  <c r="E8" i="27"/>
  <c r="E7" i="27"/>
  <c r="D7" i="27"/>
  <c r="G32" i="1"/>
  <c r="D27" i="25"/>
  <c r="E27" i="25" s="1"/>
  <c r="F27" i="25" s="1"/>
  <c r="G27" i="25" s="1"/>
  <c r="H12" i="24"/>
  <c r="N4" i="22"/>
  <c r="K6" i="22" s="1"/>
  <c r="K12" i="22" s="1"/>
  <c r="G6" i="24" s="1"/>
  <c r="H14" i="24" s="1"/>
  <c r="G111" i="22"/>
  <c r="G110" i="22"/>
  <c r="G109" i="22"/>
  <c r="G108" i="22"/>
  <c r="G107" i="22"/>
  <c r="G106" i="22"/>
  <c r="G105" i="22"/>
  <c r="G104" i="22"/>
  <c r="G103" i="22"/>
  <c r="G102" i="22"/>
  <c r="G101" i="22"/>
  <c r="G100" i="22"/>
  <c r="G99" i="22"/>
  <c r="G98" i="22"/>
  <c r="G97" i="22"/>
  <c r="G96" i="22"/>
  <c r="G95" i="22"/>
  <c r="G94" i="22"/>
  <c r="G93" i="22"/>
  <c r="G92" i="22"/>
  <c r="G91" i="22"/>
  <c r="G90" i="22"/>
  <c r="G89" i="22"/>
  <c r="G88" i="22"/>
  <c r="G87" i="22"/>
  <c r="G86" i="22"/>
  <c r="G85" i="22"/>
  <c r="G84" i="22"/>
  <c r="G83" i="22"/>
  <c r="G82" i="22"/>
  <c r="G81" i="22"/>
  <c r="G80" i="22"/>
  <c r="G79" i="22"/>
  <c r="G78" i="22"/>
  <c r="G77" i="22"/>
  <c r="G76" i="22"/>
  <c r="G75" i="22"/>
  <c r="G74" i="22"/>
  <c r="G73" i="22"/>
  <c r="G72" i="22"/>
  <c r="G71" i="22"/>
  <c r="G70" i="22"/>
  <c r="G69" i="22"/>
  <c r="G68" i="22"/>
  <c r="G67" i="22"/>
  <c r="G66" i="22"/>
  <c r="G65" i="22"/>
  <c r="G64" i="22"/>
  <c r="G63" i="22"/>
  <c r="G62" i="22"/>
  <c r="G61" i="22"/>
  <c r="G60" i="22"/>
  <c r="G59" i="22"/>
  <c r="G58" i="22"/>
  <c r="G57" i="22"/>
  <c r="G56" i="22"/>
  <c r="G55" i="22"/>
  <c r="G54" i="22"/>
  <c r="G53" i="22"/>
  <c r="G52" i="22"/>
  <c r="G51" i="22"/>
  <c r="G50" i="22"/>
  <c r="G49" i="22"/>
  <c r="G48" i="22"/>
  <c r="G47" i="22"/>
  <c r="G46" i="22"/>
  <c r="G45" i="22"/>
  <c r="G44" i="22"/>
  <c r="G43" i="22"/>
  <c r="G42" i="22"/>
  <c r="G41" i="22"/>
  <c r="G40" i="22"/>
  <c r="G39" i="22"/>
  <c r="G38" i="22"/>
  <c r="G37" i="22"/>
  <c r="G36" i="22"/>
  <c r="G35" i="22"/>
  <c r="G34" i="22"/>
  <c r="G33" i="22"/>
  <c r="G32" i="22"/>
  <c r="G31" i="22"/>
  <c r="G30" i="22"/>
  <c r="G29" i="22"/>
  <c r="G28" i="22"/>
  <c r="G27" i="22"/>
  <c r="G26" i="22"/>
  <c r="G25" i="22"/>
  <c r="G24" i="22"/>
  <c r="G23" i="22"/>
  <c r="G22" i="22"/>
  <c r="G21" i="22"/>
  <c r="G20" i="22"/>
  <c r="G19" i="22"/>
  <c r="G18" i="22"/>
  <c r="G17" i="22"/>
  <c r="G16" i="22"/>
  <c r="G15" i="22"/>
  <c r="G14" i="22"/>
  <c r="G13" i="22"/>
  <c r="G12" i="22"/>
  <c r="G11" i="22"/>
  <c r="G10" i="22"/>
  <c r="G9" i="22"/>
  <c r="G8" i="22"/>
  <c r="D9" i="22"/>
  <c r="D10" i="22"/>
  <c r="D11" i="22"/>
  <c r="D12" i="22"/>
  <c r="D13" i="22"/>
  <c r="D14" i="22"/>
  <c r="D15" i="22"/>
  <c r="D16" i="22"/>
  <c r="D17" i="22"/>
  <c r="D18" i="22"/>
  <c r="D19" i="22"/>
  <c r="D20" i="22"/>
  <c r="D21" i="22"/>
  <c r="D22" i="22"/>
  <c r="D23" i="22"/>
  <c r="D24" i="22"/>
  <c r="D25" i="22"/>
  <c r="D26" i="22"/>
  <c r="D27" i="22"/>
  <c r="D28" i="22"/>
  <c r="D29" i="22"/>
  <c r="D30" i="22"/>
  <c r="D31" i="22"/>
  <c r="D32" i="22"/>
  <c r="D33" i="22"/>
  <c r="D34" i="22"/>
  <c r="D35" i="22"/>
  <c r="D36" i="22"/>
  <c r="D37" i="22"/>
  <c r="D38" i="22"/>
  <c r="D39" i="22"/>
  <c r="D40" i="22"/>
  <c r="D41" i="22"/>
  <c r="D42" i="22"/>
  <c r="D43" i="22"/>
  <c r="D44" i="22"/>
  <c r="D45" i="22"/>
  <c r="D46" i="22"/>
  <c r="D47" i="22"/>
  <c r="D48" i="22"/>
  <c r="D49" i="22"/>
  <c r="D50" i="22"/>
  <c r="D51" i="22"/>
  <c r="D52" i="22"/>
  <c r="D53" i="22"/>
  <c r="D54" i="22"/>
  <c r="D55" i="22"/>
  <c r="D56" i="22"/>
  <c r="D57" i="22"/>
  <c r="D58" i="22"/>
  <c r="D59" i="22"/>
  <c r="D60" i="22"/>
  <c r="D61" i="22"/>
  <c r="D62" i="22"/>
  <c r="D63" i="22"/>
  <c r="D64" i="22"/>
  <c r="D65" i="22"/>
  <c r="D66" i="22"/>
  <c r="D67" i="22"/>
  <c r="D68" i="22"/>
  <c r="D69" i="22"/>
  <c r="D70" i="22"/>
  <c r="D71" i="22"/>
  <c r="D72" i="22"/>
  <c r="D73" i="22"/>
  <c r="D74" i="22"/>
  <c r="D75" i="22"/>
  <c r="D76" i="22"/>
  <c r="D77" i="22"/>
  <c r="D78" i="22"/>
  <c r="D79" i="22"/>
  <c r="D80" i="22"/>
  <c r="D81" i="22"/>
  <c r="D82" i="22"/>
  <c r="D83" i="22"/>
  <c r="D84" i="22"/>
  <c r="D85" i="22"/>
  <c r="D86" i="22"/>
  <c r="D87" i="22"/>
  <c r="D88" i="22"/>
  <c r="D89" i="22"/>
  <c r="D90" i="22"/>
  <c r="D91" i="22"/>
  <c r="D92" i="22"/>
  <c r="D93" i="22"/>
  <c r="D94" i="22"/>
  <c r="D95" i="22"/>
  <c r="D96" i="22"/>
  <c r="D97" i="22"/>
  <c r="D98" i="22"/>
  <c r="D99" i="22"/>
  <c r="D100" i="22"/>
  <c r="D101" i="22"/>
  <c r="D102" i="22"/>
  <c r="D103" i="22"/>
  <c r="D104" i="22"/>
  <c r="D105" i="22"/>
  <c r="D106" i="22"/>
  <c r="D107" i="22"/>
  <c r="D108" i="22"/>
  <c r="D109" i="22"/>
  <c r="D110" i="22"/>
  <c r="D111" i="22"/>
  <c r="D8" i="22"/>
  <c r="F5" i="21"/>
  <c r="F7" i="21" s="1"/>
  <c r="B27" i="20"/>
  <c r="B21" i="20"/>
  <c r="B33" i="20"/>
  <c r="B34" i="20"/>
  <c r="B32" i="20"/>
  <c r="B29" i="20"/>
  <c r="B30" i="20"/>
  <c r="B31" i="20"/>
  <c r="B28" i="20"/>
  <c r="B25" i="20"/>
  <c r="B23" i="20"/>
  <c r="B24" i="20"/>
  <c r="B22" i="20"/>
  <c r="B17" i="20"/>
  <c r="B11" i="20"/>
  <c r="B13" i="20"/>
  <c r="B15" i="20"/>
  <c r="B14" i="20"/>
  <c r="B12" i="20"/>
  <c r="B10" i="20"/>
  <c r="B9" i="20"/>
  <c r="B8" i="20"/>
  <c r="B7" i="20"/>
  <c r="B6" i="20"/>
  <c r="B2" i="20"/>
  <c r="O28" i="19"/>
  <c r="N28" i="19"/>
  <c r="L34" i="19"/>
  <c r="K34" i="19"/>
  <c r="J34" i="19"/>
  <c r="I34" i="19"/>
  <c r="H34" i="19"/>
  <c r="G34" i="19"/>
  <c r="F34" i="19"/>
  <c r="E34" i="19"/>
  <c r="D34" i="19"/>
  <c r="C34" i="19"/>
  <c r="B2" i="19"/>
  <c r="G3" i="19"/>
  <c r="H3" i="19" s="1"/>
  <c r="I3" i="19" s="1"/>
  <c r="J3" i="19" s="1"/>
  <c r="K3" i="19" s="1"/>
  <c r="L3" i="19" s="1"/>
  <c r="F3" i="19"/>
  <c r="E3" i="19"/>
  <c r="D3" i="19"/>
  <c r="C3" i="19"/>
  <c r="I35" i="15"/>
  <c r="J35" i="15" s="1"/>
  <c r="K35" i="15" s="1"/>
  <c r="L35" i="15" s="1"/>
  <c r="I34" i="15"/>
  <c r="J34" i="15" s="1"/>
  <c r="K34" i="15" s="1"/>
  <c r="L34" i="15" s="1"/>
  <c r="L33" i="15"/>
  <c r="K33" i="15"/>
  <c r="J33" i="15"/>
  <c r="I33" i="15"/>
  <c r="H33" i="15"/>
  <c r="H36" i="15" s="1"/>
  <c r="I32" i="15"/>
  <c r="J32" i="15" s="1"/>
  <c r="K32" i="15" s="1"/>
  <c r="L32" i="15" s="1"/>
  <c r="I31" i="15"/>
  <c r="J31" i="15" s="1"/>
  <c r="K31" i="15" s="1"/>
  <c r="L31" i="15" s="1"/>
  <c r="I30" i="15"/>
  <c r="J30" i="15" s="1"/>
  <c r="K30" i="15" s="1"/>
  <c r="L30" i="15" s="1"/>
  <c r="I29" i="15"/>
  <c r="J29" i="15" s="1"/>
  <c r="I24" i="15"/>
  <c r="J24" i="15" s="1"/>
  <c r="K24" i="15" s="1"/>
  <c r="L24" i="15" s="1"/>
  <c r="I23" i="15"/>
  <c r="J23" i="15" s="1"/>
  <c r="K23" i="15" s="1"/>
  <c r="L23" i="15" s="1"/>
  <c r="I22" i="15"/>
  <c r="J22" i="15" s="1"/>
  <c r="K22" i="15" s="1"/>
  <c r="L22" i="15" s="1"/>
  <c r="I21" i="15"/>
  <c r="J21" i="15" s="1"/>
  <c r="K21" i="15" s="1"/>
  <c r="L21" i="15" s="1"/>
  <c r="I20" i="15"/>
  <c r="J20" i="15" s="1"/>
  <c r="K20" i="15" s="1"/>
  <c r="L20" i="15" s="1"/>
  <c r="I19" i="15"/>
  <c r="J19" i="15" s="1"/>
  <c r="K19" i="15" s="1"/>
  <c r="L19" i="15" s="1"/>
  <c r="I17" i="15"/>
  <c r="J17" i="15" s="1"/>
  <c r="K17" i="15" s="1"/>
  <c r="L17" i="15" s="1"/>
  <c r="I12" i="15"/>
  <c r="J12" i="15" s="1"/>
  <c r="K12" i="15" s="1"/>
  <c r="L12" i="15" s="1"/>
  <c r="I8" i="15"/>
  <c r="J8" i="15" s="1"/>
  <c r="K8" i="15" s="1"/>
  <c r="L8" i="15" s="1"/>
  <c r="B4" i="18"/>
  <c r="H26" i="1"/>
  <c r="G10" i="17"/>
  <c r="F10" i="17"/>
  <c r="E10" i="17"/>
  <c r="D10" i="17"/>
  <c r="C10" i="17"/>
  <c r="G11" i="17"/>
  <c r="F11" i="17"/>
  <c r="E11" i="17"/>
  <c r="D11" i="17"/>
  <c r="B2" i="15"/>
  <c r="G35" i="15"/>
  <c r="F35" i="15"/>
  <c r="E35" i="15"/>
  <c r="D35" i="15"/>
  <c r="C35" i="15"/>
  <c r="G34" i="15"/>
  <c r="F34" i="15"/>
  <c r="E34" i="15"/>
  <c r="D34" i="15"/>
  <c r="C34" i="15"/>
  <c r="G33" i="15"/>
  <c r="F33" i="15"/>
  <c r="E33" i="15"/>
  <c r="D33" i="15"/>
  <c r="C33" i="15"/>
  <c r="G32" i="15"/>
  <c r="F32" i="15"/>
  <c r="E32" i="15"/>
  <c r="D32" i="15"/>
  <c r="C32" i="15"/>
  <c r="G31" i="15"/>
  <c r="F31" i="15"/>
  <c r="E31" i="15"/>
  <c r="D31" i="15"/>
  <c r="C31" i="15"/>
  <c r="G30" i="15"/>
  <c r="F30" i="15"/>
  <c r="E30" i="15"/>
  <c r="D30" i="15"/>
  <c r="C30" i="15"/>
  <c r="G29" i="15"/>
  <c r="G36" i="15" s="1"/>
  <c r="F29" i="15"/>
  <c r="E29" i="15"/>
  <c r="D29" i="15"/>
  <c r="C29" i="15"/>
  <c r="G25" i="15"/>
  <c r="F25" i="15"/>
  <c r="E25" i="15"/>
  <c r="D25" i="15"/>
  <c r="C25" i="15"/>
  <c r="G24" i="15"/>
  <c r="F24" i="15"/>
  <c r="E24" i="15"/>
  <c r="D24" i="15"/>
  <c r="C24" i="15"/>
  <c r="G23" i="15"/>
  <c r="F23" i="15"/>
  <c r="E23" i="15"/>
  <c r="D23" i="15"/>
  <c r="C23" i="15"/>
  <c r="G22" i="15"/>
  <c r="F22" i="15"/>
  <c r="E22" i="15"/>
  <c r="D22" i="15"/>
  <c r="C22" i="15"/>
  <c r="G21" i="15"/>
  <c r="F21" i="15"/>
  <c r="E21" i="15"/>
  <c r="D21" i="15"/>
  <c r="C21" i="15"/>
  <c r="G20" i="15"/>
  <c r="F20" i="15"/>
  <c r="E20" i="15"/>
  <c r="D20" i="15"/>
  <c r="C20" i="15"/>
  <c r="G19" i="15"/>
  <c r="F19" i="15"/>
  <c r="E19" i="15"/>
  <c r="D19" i="15"/>
  <c r="C19" i="15"/>
  <c r="G18" i="15"/>
  <c r="F18" i="15"/>
  <c r="E18" i="15"/>
  <c r="D18" i="15"/>
  <c r="C18" i="15"/>
  <c r="G17" i="15"/>
  <c r="F17" i="15"/>
  <c r="E17" i="15"/>
  <c r="D17" i="15"/>
  <c r="C17" i="15"/>
  <c r="G16" i="15"/>
  <c r="F16" i="15"/>
  <c r="E16" i="15"/>
  <c r="D16" i="15"/>
  <c r="C16" i="15"/>
  <c r="G12" i="15"/>
  <c r="F12" i="15"/>
  <c r="E12" i="15"/>
  <c r="D12" i="15"/>
  <c r="C12" i="15"/>
  <c r="G11" i="15"/>
  <c r="F11" i="15"/>
  <c r="E11" i="15"/>
  <c r="D11" i="15"/>
  <c r="C11" i="15"/>
  <c r="G10" i="15"/>
  <c r="F10" i="15"/>
  <c r="E10" i="15"/>
  <c r="D10" i="15"/>
  <c r="C10" i="15"/>
  <c r="G9" i="15"/>
  <c r="H9" i="15" s="1"/>
  <c r="I9" i="15" s="1"/>
  <c r="J9" i="15" s="1"/>
  <c r="K9" i="15" s="1"/>
  <c r="L9" i="15" s="1"/>
  <c r="F9" i="15"/>
  <c r="E9" i="15"/>
  <c r="D9" i="15"/>
  <c r="C9" i="15"/>
  <c r="G8" i="15"/>
  <c r="F8" i="15"/>
  <c r="E8" i="15"/>
  <c r="D8" i="15"/>
  <c r="C8" i="15"/>
  <c r="G7" i="15"/>
  <c r="F7" i="15"/>
  <c r="E7" i="15"/>
  <c r="D7" i="15"/>
  <c r="C7" i="15"/>
  <c r="G6" i="15"/>
  <c r="G13" i="15" s="1"/>
  <c r="F6" i="15"/>
  <c r="F13" i="15" s="1"/>
  <c r="E6" i="15"/>
  <c r="E13" i="15" s="1"/>
  <c r="D6" i="15"/>
  <c r="D13" i="15" s="1"/>
  <c r="C6" i="15"/>
  <c r="C13" i="15" s="1"/>
  <c r="G3" i="15"/>
  <c r="F3" i="15"/>
  <c r="F4" i="20" s="1"/>
  <c r="F19" i="20" s="1"/>
  <c r="E3" i="15"/>
  <c r="E4" i="20" s="1"/>
  <c r="E19" i="20" s="1"/>
  <c r="D3" i="15"/>
  <c r="D4" i="20" s="1"/>
  <c r="D19" i="20" s="1"/>
  <c r="C3" i="15"/>
  <c r="C4" i="20" s="1"/>
  <c r="C19" i="20" s="1"/>
  <c r="G17" i="14"/>
  <c r="F17" i="14"/>
  <c r="E17" i="14"/>
  <c r="D17" i="14"/>
  <c r="C17" i="14"/>
  <c r="G16" i="14"/>
  <c r="H16" i="14" s="1"/>
  <c r="F16" i="14"/>
  <c r="E16" i="14"/>
  <c r="D16" i="14"/>
  <c r="C16" i="14"/>
  <c r="G15" i="14"/>
  <c r="F15" i="14"/>
  <c r="E15" i="14"/>
  <c r="D15" i="14"/>
  <c r="C15" i="14"/>
  <c r="G13" i="14"/>
  <c r="G20" i="18" s="1"/>
  <c r="F13" i="14"/>
  <c r="F20" i="18" s="1"/>
  <c r="E13" i="14"/>
  <c r="E20" i="18" s="1"/>
  <c r="D13" i="14"/>
  <c r="D20" i="18" s="1"/>
  <c r="C13" i="14"/>
  <c r="C20" i="18" s="1"/>
  <c r="G12" i="14"/>
  <c r="G16" i="18" s="1"/>
  <c r="F12" i="14"/>
  <c r="F16" i="18" s="1"/>
  <c r="E12" i="14"/>
  <c r="E16" i="18" s="1"/>
  <c r="D12" i="14"/>
  <c r="D16" i="18" s="1"/>
  <c r="C12" i="14"/>
  <c r="C16" i="18" s="1"/>
  <c r="G11" i="14"/>
  <c r="G12" i="18" s="1"/>
  <c r="F11" i="14"/>
  <c r="F12" i="18" s="1"/>
  <c r="E11" i="14"/>
  <c r="E12" i="18" s="1"/>
  <c r="D11" i="14"/>
  <c r="D12" i="18" s="1"/>
  <c r="C11" i="14"/>
  <c r="C12" i="18" s="1"/>
  <c r="G10" i="14"/>
  <c r="F10" i="14"/>
  <c r="E10" i="14"/>
  <c r="D10" i="14"/>
  <c r="C10" i="14"/>
  <c r="G8" i="14"/>
  <c r="G8" i="18" s="1"/>
  <c r="F8" i="14"/>
  <c r="F8" i="18" s="1"/>
  <c r="E8" i="14"/>
  <c r="E8" i="18" s="1"/>
  <c r="D8" i="14"/>
  <c r="D8" i="18" s="1"/>
  <c r="C8" i="14"/>
  <c r="C8" i="18" s="1"/>
  <c r="G7" i="14"/>
  <c r="F7" i="14"/>
  <c r="E7" i="14"/>
  <c r="D7" i="14"/>
  <c r="C7" i="14"/>
  <c r="G6" i="14"/>
  <c r="G6" i="18" s="1"/>
  <c r="F6" i="14"/>
  <c r="E6" i="14"/>
  <c r="D6" i="14"/>
  <c r="C6" i="14"/>
  <c r="G5" i="14"/>
  <c r="F5" i="14"/>
  <c r="E5" i="14"/>
  <c r="D5" i="14"/>
  <c r="C5" i="14"/>
  <c r="B2" i="14"/>
  <c r="G3" i="14"/>
  <c r="H3" i="14" s="1"/>
  <c r="I3" i="14" s="1"/>
  <c r="J3" i="14" s="1"/>
  <c r="K3" i="14" s="1"/>
  <c r="L3" i="14" s="1"/>
  <c r="F3" i="14"/>
  <c r="E3" i="14"/>
  <c r="D3" i="14"/>
  <c r="C3" i="14"/>
  <c r="G38" i="1"/>
  <c r="C41" i="25" s="1"/>
  <c r="F38" i="1"/>
  <c r="F43" i="1" s="1"/>
  <c r="E38" i="1"/>
  <c r="E43" i="1" s="1"/>
  <c r="D38" i="1"/>
  <c r="D43" i="1" s="1"/>
  <c r="C38" i="1"/>
  <c r="C43" i="1" s="1"/>
  <c r="F32" i="1"/>
  <c r="E32" i="1"/>
  <c r="D32" i="1"/>
  <c r="C32" i="1"/>
  <c r="G26" i="1"/>
  <c r="F26" i="1"/>
  <c r="E26" i="1"/>
  <c r="D26" i="1"/>
  <c r="C26" i="1"/>
  <c r="G20" i="1"/>
  <c r="F20" i="1"/>
  <c r="E20" i="1"/>
  <c r="D20" i="1"/>
  <c r="C20" i="1"/>
  <c r="G14" i="1"/>
  <c r="F14" i="1"/>
  <c r="E14" i="1"/>
  <c r="D14" i="1"/>
  <c r="C14" i="1"/>
  <c r="G8" i="1"/>
  <c r="F8" i="1"/>
  <c r="E8" i="1"/>
  <c r="D8" i="1"/>
  <c r="C8" i="1"/>
  <c r="G5" i="1"/>
  <c r="F5" i="1"/>
  <c r="E5" i="1"/>
  <c r="D5" i="1"/>
  <c r="C5" i="1"/>
  <c r="D3" i="1"/>
  <c r="E3" i="1"/>
  <c r="F3" i="1"/>
  <c r="G3" i="1"/>
  <c r="C3" i="1"/>
  <c r="B2" i="1"/>
  <c r="K7" i="11"/>
  <c r="J7" i="11"/>
  <c r="I7" i="11"/>
  <c r="H7" i="11"/>
  <c r="G7" i="11"/>
  <c r="F7" i="11"/>
  <c r="E7" i="11"/>
  <c r="D7" i="11"/>
  <c r="C7" i="11"/>
  <c r="B7" i="11"/>
  <c r="K6" i="11"/>
  <c r="J6" i="11"/>
  <c r="I6" i="11"/>
  <c r="H6" i="11"/>
  <c r="G6" i="11"/>
  <c r="F6" i="11"/>
  <c r="E6" i="11"/>
  <c r="D6" i="11"/>
  <c r="C6" i="11"/>
  <c r="B6" i="11"/>
  <c r="K5" i="11"/>
  <c r="J5" i="11"/>
  <c r="I5" i="11"/>
  <c r="H5" i="11"/>
  <c r="G5" i="11"/>
  <c r="F5" i="11"/>
  <c r="E5" i="11"/>
  <c r="D5" i="11"/>
  <c r="C5" i="11"/>
  <c r="B5" i="11"/>
  <c r="K4" i="11"/>
  <c r="J4" i="11"/>
  <c r="I4" i="11"/>
  <c r="H4" i="11"/>
  <c r="G4" i="11"/>
  <c r="F4" i="11"/>
  <c r="E4" i="11"/>
  <c r="D4" i="11"/>
  <c r="C4" i="11"/>
  <c r="B4" i="11"/>
  <c r="K3" i="11"/>
  <c r="J3" i="11"/>
  <c r="I3" i="11"/>
  <c r="H3" i="11"/>
  <c r="G3" i="11"/>
  <c r="F3" i="11"/>
  <c r="E3" i="11"/>
  <c r="D3" i="11"/>
  <c r="C3" i="11"/>
  <c r="B3" i="11"/>
  <c r="K18" i="10"/>
  <c r="K21" i="10" s="1"/>
  <c r="J18" i="10"/>
  <c r="J21" i="10" s="1"/>
  <c r="I18" i="10"/>
  <c r="I21" i="10" s="1"/>
  <c r="H18" i="10"/>
  <c r="H21" i="10" s="1"/>
  <c r="G18" i="10"/>
  <c r="G21" i="10" s="1"/>
  <c r="F18" i="10"/>
  <c r="F21" i="10" s="1"/>
  <c r="E18" i="10"/>
  <c r="E21" i="10" s="1"/>
  <c r="D18" i="10"/>
  <c r="D21" i="10" s="1"/>
  <c r="C18" i="10"/>
  <c r="C21" i="10" s="1"/>
  <c r="B18" i="10"/>
  <c r="B21" i="10" s="1"/>
  <c r="K17" i="10"/>
  <c r="J17" i="10"/>
  <c r="I17" i="10"/>
  <c r="H17" i="10"/>
  <c r="G17" i="10"/>
  <c r="F17" i="10"/>
  <c r="E17" i="10"/>
  <c r="D17" i="10"/>
  <c r="C17" i="10"/>
  <c r="B17" i="10"/>
  <c r="K14" i="10"/>
  <c r="J14" i="10"/>
  <c r="I14" i="10"/>
  <c r="H14" i="10"/>
  <c r="G14" i="10"/>
  <c r="F14" i="10"/>
  <c r="E14" i="10"/>
  <c r="D14" i="10"/>
  <c r="C14" i="10"/>
  <c r="B14" i="10"/>
  <c r="K13" i="10"/>
  <c r="J13" i="10"/>
  <c r="I13" i="10"/>
  <c r="H13" i="10"/>
  <c r="G13" i="10"/>
  <c r="F13" i="10"/>
  <c r="E13" i="10"/>
  <c r="D13" i="10"/>
  <c r="C13" i="10"/>
  <c r="B13" i="10"/>
  <c r="K12" i="10"/>
  <c r="J12" i="10"/>
  <c r="I12" i="10"/>
  <c r="H12" i="10"/>
  <c r="G12" i="10"/>
  <c r="F12" i="10"/>
  <c r="E12" i="10"/>
  <c r="D12" i="10"/>
  <c r="C12" i="10"/>
  <c r="B12" i="10"/>
  <c r="K11" i="10"/>
  <c r="J11" i="10"/>
  <c r="I11" i="10"/>
  <c r="H11" i="10"/>
  <c r="G11" i="10"/>
  <c r="F11" i="10"/>
  <c r="E11" i="10"/>
  <c r="D11" i="10"/>
  <c r="C11" i="10"/>
  <c r="B11" i="10"/>
  <c r="K10" i="10"/>
  <c r="J10" i="10"/>
  <c r="I10" i="10"/>
  <c r="H10" i="10"/>
  <c r="G10" i="10"/>
  <c r="F10" i="10"/>
  <c r="E10" i="10"/>
  <c r="D10" i="10"/>
  <c r="C10" i="10"/>
  <c r="B10" i="10"/>
  <c r="K8" i="10"/>
  <c r="J8" i="10"/>
  <c r="I8" i="10"/>
  <c r="H8" i="10"/>
  <c r="G8" i="10"/>
  <c r="F8" i="10"/>
  <c r="E8" i="10"/>
  <c r="D8" i="10"/>
  <c r="C8" i="10"/>
  <c r="B8" i="10"/>
  <c r="K7" i="10"/>
  <c r="J7" i="10"/>
  <c r="I7" i="10"/>
  <c r="H7" i="10"/>
  <c r="G7" i="10"/>
  <c r="F7" i="10"/>
  <c r="E7" i="10"/>
  <c r="D7" i="10"/>
  <c r="C7" i="10"/>
  <c r="B7" i="10"/>
  <c r="K6" i="10"/>
  <c r="J6" i="10"/>
  <c r="I6" i="10"/>
  <c r="H6" i="10"/>
  <c r="G6" i="10"/>
  <c r="F6" i="10"/>
  <c r="E6" i="10"/>
  <c r="D6" i="10"/>
  <c r="C6" i="10"/>
  <c r="B6" i="10"/>
  <c r="K5" i="10"/>
  <c r="J5" i="10"/>
  <c r="I5" i="10"/>
  <c r="H5" i="10"/>
  <c r="G5" i="10"/>
  <c r="F5" i="10"/>
  <c r="E5" i="10"/>
  <c r="D5" i="10"/>
  <c r="C5" i="10"/>
  <c r="B5" i="10"/>
  <c r="K4" i="10"/>
  <c r="J4" i="10"/>
  <c r="I4" i="10"/>
  <c r="H4" i="10"/>
  <c r="G4" i="10"/>
  <c r="F4" i="10"/>
  <c r="E4" i="10"/>
  <c r="D4" i="10"/>
  <c r="C4" i="10"/>
  <c r="B4" i="10"/>
  <c r="K3" i="10"/>
  <c r="J3" i="10"/>
  <c r="I3" i="10"/>
  <c r="H3" i="10"/>
  <c r="G3" i="10"/>
  <c r="F3" i="10"/>
  <c r="E3" i="10"/>
  <c r="D3" i="10"/>
  <c r="C3" i="10"/>
  <c r="B3" i="10"/>
  <c r="K12" i="9"/>
  <c r="J12" i="9"/>
  <c r="I12" i="9"/>
  <c r="H12" i="9"/>
  <c r="L12" i="8" s="1"/>
  <c r="G12" i="9"/>
  <c r="F12" i="9"/>
  <c r="E12" i="9"/>
  <c r="D12" i="9"/>
  <c r="C12" i="9"/>
  <c r="B12" i="9"/>
  <c r="K11" i="9"/>
  <c r="J11" i="9"/>
  <c r="I11" i="9"/>
  <c r="H11" i="9"/>
  <c r="L11" i="8" s="1"/>
  <c r="G11" i="9"/>
  <c r="F11" i="9"/>
  <c r="E11" i="9"/>
  <c r="D11" i="9"/>
  <c r="C11" i="9"/>
  <c r="B11" i="9"/>
  <c r="K10" i="9"/>
  <c r="J10" i="9"/>
  <c r="I10" i="9"/>
  <c r="H10" i="9"/>
  <c r="L10" i="8" s="1"/>
  <c r="G10" i="9"/>
  <c r="F10" i="9"/>
  <c r="E10" i="9"/>
  <c r="D10" i="9"/>
  <c r="C10" i="9"/>
  <c r="B10" i="9"/>
  <c r="K9" i="9"/>
  <c r="J9" i="9"/>
  <c r="I9" i="9"/>
  <c r="H9" i="9"/>
  <c r="L9" i="8" s="1"/>
  <c r="G9" i="9"/>
  <c r="F9" i="9"/>
  <c r="E9" i="9"/>
  <c r="D9" i="9"/>
  <c r="C9" i="9"/>
  <c r="B9" i="9"/>
  <c r="K8" i="9"/>
  <c r="J8" i="9"/>
  <c r="I8" i="9"/>
  <c r="H8" i="9"/>
  <c r="L8" i="8" s="1"/>
  <c r="G8" i="9"/>
  <c r="F8" i="9"/>
  <c r="E8" i="9"/>
  <c r="D8" i="9"/>
  <c r="C8" i="9"/>
  <c r="B8" i="9"/>
  <c r="K7" i="9"/>
  <c r="J7" i="9"/>
  <c r="I7" i="9"/>
  <c r="H7" i="9"/>
  <c r="L7" i="8" s="1"/>
  <c r="G7" i="9"/>
  <c r="F7" i="9"/>
  <c r="E7" i="9"/>
  <c r="D7" i="9"/>
  <c r="C7" i="9"/>
  <c r="B7" i="9"/>
  <c r="K6" i="9"/>
  <c r="J6" i="9"/>
  <c r="I6" i="9"/>
  <c r="H6" i="9"/>
  <c r="L6" i="8" s="1"/>
  <c r="G6" i="9"/>
  <c r="F6" i="9"/>
  <c r="E6" i="9"/>
  <c r="D6" i="9"/>
  <c r="C6" i="9"/>
  <c r="B6" i="9"/>
  <c r="K5" i="9"/>
  <c r="J5" i="9"/>
  <c r="I5" i="9"/>
  <c r="H5" i="9"/>
  <c r="L5" i="8" s="1"/>
  <c r="G5" i="9"/>
  <c r="F5" i="9"/>
  <c r="E5" i="9"/>
  <c r="D5" i="9"/>
  <c r="C5" i="9"/>
  <c r="B5" i="9"/>
  <c r="K4" i="9"/>
  <c r="K14" i="9" s="1"/>
  <c r="J4" i="9"/>
  <c r="J14" i="9" s="1"/>
  <c r="I4" i="9"/>
  <c r="I14" i="9" s="1"/>
  <c r="H4" i="9"/>
  <c r="G4" i="9"/>
  <c r="G14" i="9" s="1"/>
  <c r="F4" i="9"/>
  <c r="F14" i="9" s="1"/>
  <c r="E4" i="9"/>
  <c r="E14" i="9" s="1"/>
  <c r="D4" i="9"/>
  <c r="D14" i="9" s="1"/>
  <c r="C4" i="9"/>
  <c r="B4" i="9"/>
  <c r="K3" i="9"/>
  <c r="J3" i="9"/>
  <c r="I3" i="9"/>
  <c r="H3" i="9"/>
  <c r="G3" i="9"/>
  <c r="F3" i="9"/>
  <c r="E3" i="9"/>
  <c r="D3" i="9"/>
  <c r="C3" i="9"/>
  <c r="B3" i="9"/>
  <c r="K18" i="8"/>
  <c r="J18" i="8"/>
  <c r="I18" i="8"/>
  <c r="H18" i="8"/>
  <c r="G18" i="8"/>
  <c r="F18" i="8"/>
  <c r="E18" i="8"/>
  <c r="D18" i="8"/>
  <c r="C18" i="8"/>
  <c r="B18" i="8"/>
  <c r="L15" i="8"/>
  <c r="K15" i="8"/>
  <c r="J15" i="8"/>
  <c r="I15" i="8"/>
  <c r="H15" i="8"/>
  <c r="G15" i="8"/>
  <c r="F15" i="8"/>
  <c r="E15" i="8"/>
  <c r="D15" i="8"/>
  <c r="C15" i="8"/>
  <c r="B15" i="8"/>
  <c r="K12" i="8"/>
  <c r="K13" i="8" s="1"/>
  <c r="K14" i="8" s="1"/>
  <c r="J12" i="8"/>
  <c r="I12" i="8"/>
  <c r="H12" i="8"/>
  <c r="H13" i="8" s="1"/>
  <c r="H14" i="8" s="1"/>
  <c r="G12" i="8"/>
  <c r="G13" i="8" s="1"/>
  <c r="G14" i="8" s="1"/>
  <c r="F12" i="8"/>
  <c r="F13" i="8" s="1"/>
  <c r="E12" i="8"/>
  <c r="E13" i="8" s="1"/>
  <c r="D12" i="8"/>
  <c r="D13" i="8" s="1"/>
  <c r="C12" i="8"/>
  <c r="C13" i="8" s="1"/>
  <c r="B12" i="8"/>
  <c r="B13" i="8" s="1"/>
  <c r="K11" i="8"/>
  <c r="J11" i="8"/>
  <c r="I11" i="8"/>
  <c r="H11" i="8"/>
  <c r="G11" i="8"/>
  <c r="F11" i="8"/>
  <c r="E11" i="8"/>
  <c r="D11" i="8"/>
  <c r="C11" i="8"/>
  <c r="B11" i="8"/>
  <c r="K10" i="8"/>
  <c r="J10" i="8"/>
  <c r="I10" i="8"/>
  <c r="H10" i="8"/>
  <c r="G10" i="8"/>
  <c r="F10" i="8"/>
  <c r="E10" i="8"/>
  <c r="D10" i="8"/>
  <c r="C10" i="8"/>
  <c r="B10" i="8"/>
  <c r="K9" i="8"/>
  <c r="J9" i="8"/>
  <c r="I9" i="8"/>
  <c r="H9" i="8"/>
  <c r="G9" i="8"/>
  <c r="F9" i="8"/>
  <c r="E9" i="8"/>
  <c r="D9" i="8"/>
  <c r="C9" i="8"/>
  <c r="B9" i="8"/>
  <c r="K8" i="8"/>
  <c r="J8" i="8"/>
  <c r="I8" i="8"/>
  <c r="H8" i="8"/>
  <c r="G8" i="8"/>
  <c r="F8" i="8"/>
  <c r="E8" i="8"/>
  <c r="D8" i="8"/>
  <c r="C8" i="8"/>
  <c r="B8" i="8"/>
  <c r="K7" i="8"/>
  <c r="J7" i="8"/>
  <c r="I7" i="8"/>
  <c r="H7" i="8"/>
  <c r="G7" i="8"/>
  <c r="F7" i="8"/>
  <c r="E7" i="8"/>
  <c r="D7" i="8"/>
  <c r="C7" i="8"/>
  <c r="B7" i="8"/>
  <c r="K5" i="8"/>
  <c r="J5" i="8"/>
  <c r="I5" i="8"/>
  <c r="H5" i="8"/>
  <c r="G5" i="8"/>
  <c r="F5" i="8"/>
  <c r="E5" i="8"/>
  <c r="D5" i="8"/>
  <c r="C5" i="8"/>
  <c r="B5" i="8"/>
  <c r="K4" i="8"/>
  <c r="J4" i="8"/>
  <c r="I4" i="8"/>
  <c r="H4" i="8"/>
  <c r="K23" i="8" s="1"/>
  <c r="G4" i="8"/>
  <c r="F4" i="8"/>
  <c r="J23" i="8" s="1"/>
  <c r="E4" i="8"/>
  <c r="D4" i="8"/>
  <c r="I23" i="8" s="1"/>
  <c r="C4" i="8"/>
  <c r="B4" i="8"/>
  <c r="H23" i="8" s="1"/>
  <c r="K3" i="8"/>
  <c r="J3" i="8"/>
  <c r="I3" i="8"/>
  <c r="H3" i="8"/>
  <c r="G3" i="8"/>
  <c r="F3" i="8"/>
  <c r="E3" i="8"/>
  <c r="D3" i="8"/>
  <c r="C3" i="8"/>
  <c r="B3" i="8"/>
  <c r="A1" i="8"/>
  <c r="B6" i="6"/>
  <c r="E1" i="6"/>
  <c r="J36" i="8" l="1"/>
  <c r="J35" i="8"/>
  <c r="C36" i="8"/>
  <c r="C35" i="8"/>
  <c r="D36" i="8"/>
  <c r="D35" i="8"/>
  <c r="E36" i="8"/>
  <c r="E35" i="8"/>
  <c r="F36" i="8"/>
  <c r="F35" i="8"/>
  <c r="G36" i="8"/>
  <c r="G35" i="8"/>
  <c r="H36" i="8"/>
  <c r="H35" i="8"/>
  <c r="I36" i="8"/>
  <c r="I35" i="8"/>
  <c r="K35" i="8"/>
  <c r="K36" i="8"/>
  <c r="B36" i="8"/>
  <c r="B35" i="8"/>
  <c r="G92" i="29"/>
  <c r="G94" i="29" s="1"/>
  <c r="G101" i="29"/>
  <c r="F92" i="29"/>
  <c r="F94" i="29" s="1"/>
  <c r="F101" i="29"/>
  <c r="E101" i="29"/>
  <c r="E92" i="29"/>
  <c r="E94" i="29" s="1"/>
  <c r="D101" i="29"/>
  <c r="D92" i="29"/>
  <c r="D94" i="29" s="1"/>
  <c r="H101" i="29"/>
  <c r="H92" i="29"/>
  <c r="H94" i="29" s="1"/>
  <c r="G88" i="29"/>
  <c r="G90" i="29" s="1"/>
  <c r="G107" i="29"/>
  <c r="G110" i="29" s="1"/>
  <c r="F107" i="29"/>
  <c r="F110" i="29" s="1"/>
  <c r="F88" i="29"/>
  <c r="F90" i="29" s="1"/>
  <c r="E88" i="29"/>
  <c r="E90" i="29" s="1"/>
  <c r="E107" i="29"/>
  <c r="E110" i="29" s="1"/>
  <c r="D107" i="29"/>
  <c r="D88" i="29"/>
  <c r="D90" i="29" s="1"/>
  <c r="H107" i="29"/>
  <c r="H110" i="29" s="1"/>
  <c r="H88" i="29"/>
  <c r="H90" i="29" s="1"/>
  <c r="G106" i="29"/>
  <c r="F106" i="29"/>
  <c r="E106" i="29"/>
  <c r="D106" i="29"/>
  <c r="H106" i="29"/>
  <c r="G83" i="29"/>
  <c r="G99" i="29"/>
  <c r="G105" i="29" s="1"/>
  <c r="F83" i="29"/>
  <c r="F99" i="29"/>
  <c r="F105" i="29" s="1"/>
  <c r="E83" i="29"/>
  <c r="E99" i="29"/>
  <c r="E105" i="29" s="1"/>
  <c r="D83" i="29"/>
  <c r="D99" i="29"/>
  <c r="D105" i="29" s="1"/>
  <c r="H83" i="29"/>
  <c r="H99" i="29"/>
  <c r="H105" i="29" s="1"/>
  <c r="G84" i="29"/>
  <c r="G86" i="29" s="1"/>
  <c r="G80" i="29"/>
  <c r="F84" i="29"/>
  <c r="F86" i="29" s="1"/>
  <c r="F80" i="29"/>
  <c r="E80" i="29"/>
  <c r="E84" i="29"/>
  <c r="E86" i="29" s="1"/>
  <c r="D84" i="29"/>
  <c r="D86" i="29" s="1"/>
  <c r="D80" i="29"/>
  <c r="H84" i="29"/>
  <c r="H86" i="29" s="1"/>
  <c r="H80" i="29"/>
  <c r="H3" i="15"/>
  <c r="G4" i="20"/>
  <c r="G19" i="20" s="1"/>
  <c r="G26" i="15"/>
  <c r="G38" i="15" s="1"/>
  <c r="F26" i="15"/>
  <c r="E26" i="15"/>
  <c r="D26" i="15"/>
  <c r="C26" i="15"/>
  <c r="E12" i="20"/>
  <c r="D12" i="20"/>
  <c r="C12" i="20"/>
  <c r="G8" i="20"/>
  <c r="F8" i="20"/>
  <c r="E8" i="20"/>
  <c r="D8" i="20"/>
  <c r="C8" i="20"/>
  <c r="G7" i="20"/>
  <c r="F7" i="20"/>
  <c r="E7" i="20"/>
  <c r="D7" i="20"/>
  <c r="C7" i="20"/>
  <c r="C14" i="9"/>
  <c r="B14" i="9"/>
  <c r="H14" i="9"/>
  <c r="L4" i="8"/>
  <c r="D14" i="20"/>
  <c r="F12" i="20"/>
  <c r="F36" i="15"/>
  <c r="F38" i="15" s="1"/>
  <c r="E36" i="15"/>
  <c r="D36" i="15"/>
  <c r="C36" i="15"/>
  <c r="F14" i="20"/>
  <c r="E14" i="20"/>
  <c r="C14" i="20"/>
  <c r="G6" i="17"/>
  <c r="G12" i="17" s="1"/>
  <c r="G10" i="20"/>
  <c r="F6" i="17"/>
  <c r="F12" i="17" s="1"/>
  <c r="F10" i="20"/>
  <c r="E6" i="17"/>
  <c r="E12" i="17" s="1"/>
  <c r="E10" i="20"/>
  <c r="D6" i="17"/>
  <c r="D12" i="17" s="1"/>
  <c r="D10" i="20"/>
  <c r="C6" i="17"/>
  <c r="C12" i="17" s="1"/>
  <c r="C10" i="20"/>
  <c r="G6" i="1"/>
  <c r="H5" i="1" s="1"/>
  <c r="H27" i="1" s="1"/>
  <c r="G6" i="20"/>
  <c r="G4" i="18"/>
  <c r="F6" i="1"/>
  <c r="F6" i="20"/>
  <c r="F4" i="18"/>
  <c r="E6" i="1"/>
  <c r="E6" i="20"/>
  <c r="E4" i="18"/>
  <c r="D6" i="1"/>
  <c r="D4" i="18"/>
  <c r="D6" i="20"/>
  <c r="C6" i="20"/>
  <c r="C4" i="18"/>
  <c r="H7" i="14"/>
  <c r="C38" i="25"/>
  <c r="F6" i="18"/>
  <c r="E6" i="18"/>
  <c r="D6" i="18"/>
  <c r="C6" i="18"/>
  <c r="F9" i="14"/>
  <c r="F22" i="20" s="1"/>
  <c r="E9" i="14"/>
  <c r="E22" i="20" s="1"/>
  <c r="D9" i="14"/>
  <c r="D22" i="20" s="1"/>
  <c r="C9" i="14"/>
  <c r="C22" i="20" s="1"/>
  <c r="G12" i="20"/>
  <c r="C12" i="24"/>
  <c r="H10" i="17"/>
  <c r="F14" i="14"/>
  <c r="E14" i="14"/>
  <c r="D14" i="14"/>
  <c r="C14" i="14"/>
  <c r="O34" i="19"/>
  <c r="N34" i="19"/>
  <c r="C36" i="25"/>
  <c r="G30" i="18"/>
  <c r="H28" i="18" s="1"/>
  <c r="G18" i="14"/>
  <c r="G24" i="18"/>
  <c r="F18" i="14"/>
  <c r="F24" i="18"/>
  <c r="E18" i="14"/>
  <c r="E24" i="18"/>
  <c r="D18" i="14"/>
  <c r="D24" i="18"/>
  <c r="C18" i="14"/>
  <c r="C24" i="18"/>
  <c r="G14" i="14"/>
  <c r="H9" i="17"/>
  <c r="G27" i="1"/>
  <c r="F27" i="1"/>
  <c r="E27" i="1"/>
  <c r="D27" i="1"/>
  <c r="C27" i="1"/>
  <c r="G21" i="1"/>
  <c r="G15" i="1"/>
  <c r="G17" i="19" s="1"/>
  <c r="F15" i="1"/>
  <c r="F17" i="19" s="1"/>
  <c r="E15" i="1"/>
  <c r="E17" i="19" s="1"/>
  <c r="D15" i="1"/>
  <c r="D17" i="19" s="1"/>
  <c r="C15" i="1"/>
  <c r="C17" i="19" s="1"/>
  <c r="G9" i="1"/>
  <c r="F9" i="1"/>
  <c r="E9" i="1"/>
  <c r="D9" i="1"/>
  <c r="C9" i="1"/>
  <c r="K23" i="10"/>
  <c r="G14" i="20"/>
  <c r="H13" i="24"/>
  <c r="H15" i="24" s="1"/>
  <c r="H6" i="24"/>
  <c r="I26" i="1"/>
  <c r="J26" i="1" s="1"/>
  <c r="G38" i="19"/>
  <c r="G40" i="19"/>
  <c r="F38" i="19"/>
  <c r="F40" i="19"/>
  <c r="E38" i="19"/>
  <c r="E40" i="19"/>
  <c r="D38" i="19"/>
  <c r="D40" i="19"/>
  <c r="C38" i="19"/>
  <c r="C40" i="19"/>
  <c r="G9" i="14"/>
  <c r="H5" i="14"/>
  <c r="I5" i="14" s="1"/>
  <c r="J5" i="14" s="1"/>
  <c r="K5" i="14" s="1"/>
  <c r="L5" i="14" s="1"/>
  <c r="G43" i="1"/>
  <c r="G9" i="19" s="1"/>
  <c r="H38" i="1"/>
  <c r="F9" i="19"/>
  <c r="E9" i="19"/>
  <c r="D9" i="19"/>
  <c r="G4" i="17"/>
  <c r="G31" i="19"/>
  <c r="G5" i="19"/>
  <c r="G30" i="19"/>
  <c r="G29" i="19"/>
  <c r="G35" i="19" s="1"/>
  <c r="G27" i="19"/>
  <c r="G33" i="19" s="1"/>
  <c r="F29" i="19"/>
  <c r="F35" i="19" s="1"/>
  <c r="F5" i="19"/>
  <c r="F4" i="17"/>
  <c r="F31" i="19"/>
  <c r="F27" i="19"/>
  <c r="F33" i="19" s="1"/>
  <c r="F30" i="19"/>
  <c r="E27" i="19"/>
  <c r="E33" i="19" s="1"/>
  <c r="E30" i="19"/>
  <c r="E5" i="19"/>
  <c r="E29" i="19"/>
  <c r="E35" i="19" s="1"/>
  <c r="E31" i="19"/>
  <c r="E4" i="17"/>
  <c r="D5" i="19"/>
  <c r="D30" i="19"/>
  <c r="D29" i="19"/>
  <c r="D35" i="19" s="1"/>
  <c r="D31" i="19"/>
  <c r="D4" i="17"/>
  <c r="D27" i="19"/>
  <c r="D33" i="19" s="1"/>
  <c r="D36" i="19" s="1"/>
  <c r="C11" i="1"/>
  <c r="C4" i="17"/>
  <c r="C27" i="19"/>
  <c r="C29" i="19"/>
  <c r="C30" i="19"/>
  <c r="C31" i="19"/>
  <c r="D2" i="17"/>
  <c r="D2" i="18"/>
  <c r="E2" i="17"/>
  <c r="E2" i="18"/>
  <c r="F2" i="17"/>
  <c r="F2" i="18"/>
  <c r="H3" i="1"/>
  <c r="C3" i="25" s="1"/>
  <c r="G2" i="17"/>
  <c r="G2" i="18"/>
  <c r="C2" i="17"/>
  <c r="C2" i="18"/>
  <c r="K29" i="15"/>
  <c r="I16" i="14"/>
  <c r="G11" i="1"/>
  <c r="G12" i="1" s="1"/>
  <c r="G11" i="19" s="1"/>
  <c r="F21" i="1"/>
  <c r="F11" i="1"/>
  <c r="E11" i="1"/>
  <c r="E21" i="1"/>
  <c r="D21" i="1"/>
  <c r="D11" i="1"/>
  <c r="C21" i="1"/>
  <c r="K24" i="10"/>
  <c r="F14" i="8"/>
  <c r="E14" i="8"/>
  <c r="D14" i="8"/>
  <c r="C14" i="8"/>
  <c r="B14" i="8"/>
  <c r="K16" i="10"/>
  <c r="G16" i="10"/>
  <c r="B16" i="10"/>
  <c r="C16" i="10"/>
  <c r="J16" i="10"/>
  <c r="D16" i="10"/>
  <c r="H16" i="10"/>
  <c r="F16" i="10"/>
  <c r="J24" i="10"/>
  <c r="I16" i="10"/>
  <c r="E16" i="10"/>
  <c r="I24" i="10"/>
  <c r="H23" i="10"/>
  <c r="H24" i="10"/>
  <c r="G23" i="10"/>
  <c r="G24" i="10"/>
  <c r="F23" i="10"/>
  <c r="F24" i="10"/>
  <c r="E23" i="10"/>
  <c r="D23" i="10"/>
  <c r="E24" i="10"/>
  <c r="C23" i="10"/>
  <c r="D24" i="10"/>
  <c r="C24" i="10"/>
  <c r="B23" i="10"/>
  <c r="J13" i="8"/>
  <c r="J14" i="8" s="1"/>
  <c r="J23" i="10"/>
  <c r="I13" i="8"/>
  <c r="I14" i="8" s="1"/>
  <c r="I23" i="10"/>
  <c r="N11" i="8"/>
  <c r="M11" i="8"/>
  <c r="N9" i="8"/>
  <c r="M9" i="8"/>
  <c r="N8" i="8"/>
  <c r="M8" i="8"/>
  <c r="K20" i="10"/>
  <c r="K6" i="8"/>
  <c r="K19" i="8" s="1"/>
  <c r="J20" i="10"/>
  <c r="J6" i="8"/>
  <c r="J19" i="8" s="1"/>
  <c r="I6" i="8"/>
  <c r="I19" i="8" s="1"/>
  <c r="K24" i="8" s="1"/>
  <c r="I20" i="10"/>
  <c r="H6" i="8"/>
  <c r="H19" i="8" s="1"/>
  <c r="H20" i="10"/>
  <c r="G20" i="10"/>
  <c r="G6" i="8"/>
  <c r="G19" i="8" s="1"/>
  <c r="F6" i="8"/>
  <c r="F19" i="8" s="1"/>
  <c r="F20" i="10"/>
  <c r="E20" i="10"/>
  <c r="E6" i="8"/>
  <c r="E19" i="8" s="1"/>
  <c r="D6" i="8"/>
  <c r="D19" i="8" s="1"/>
  <c r="D20" i="10"/>
  <c r="C6" i="8"/>
  <c r="C19" i="8" s="1"/>
  <c r="C20" i="10"/>
  <c r="B6" i="8"/>
  <c r="B19" i="8" s="1"/>
  <c r="B20" i="10"/>
  <c r="A1" i="9"/>
  <c r="A1" i="10"/>
  <c r="A1" i="11" s="1"/>
  <c r="L13" i="8"/>
  <c r="L14" i="8" s="1"/>
  <c r="L25" i="8" s="1"/>
  <c r="H1" i="8"/>
  <c r="E1" i="10"/>
  <c r="E1" i="9"/>
  <c r="E1" i="11"/>
  <c r="H96" i="29" l="1"/>
  <c r="E108" i="29"/>
  <c r="D96" i="29"/>
  <c r="D110" i="29"/>
  <c r="D108" i="29"/>
  <c r="H108" i="29"/>
  <c r="G108" i="29"/>
  <c r="F108" i="29"/>
  <c r="G96" i="29"/>
  <c r="F96" i="29"/>
  <c r="E96" i="29"/>
  <c r="G111" i="29"/>
  <c r="G112" i="29" s="1"/>
  <c r="G102" i="29"/>
  <c r="F111" i="29"/>
  <c r="F112" i="29" s="1"/>
  <c r="F102" i="29"/>
  <c r="E111" i="29"/>
  <c r="E112" i="29" s="1"/>
  <c r="E102" i="29"/>
  <c r="D111" i="29"/>
  <c r="D102" i="29"/>
  <c r="H111" i="29"/>
  <c r="H112" i="29" s="1"/>
  <c r="H102" i="29"/>
  <c r="E38" i="15"/>
  <c r="C21" i="18"/>
  <c r="C17" i="18"/>
  <c r="D38" i="15"/>
  <c r="G36" i="19"/>
  <c r="D21" i="18"/>
  <c r="D17" i="18"/>
  <c r="C38" i="15"/>
  <c r="L23" i="8"/>
  <c r="L19" i="8"/>
  <c r="L24" i="8" s="1"/>
  <c r="M24" i="8" s="1"/>
  <c r="F21" i="18"/>
  <c r="F17" i="18"/>
  <c r="E21" i="18"/>
  <c r="E17" i="18"/>
  <c r="H4" i="20"/>
  <c r="H19" i="20" s="1"/>
  <c r="I3" i="15"/>
  <c r="G21" i="18"/>
  <c r="G17" i="18"/>
  <c r="G25" i="18"/>
  <c r="F25" i="18"/>
  <c r="E25" i="18"/>
  <c r="D25" i="18"/>
  <c r="C25" i="18"/>
  <c r="G26" i="18" s="1"/>
  <c r="F20" i="14"/>
  <c r="E20" i="14"/>
  <c r="D20" i="14"/>
  <c r="C20" i="14"/>
  <c r="G9" i="18"/>
  <c r="G13" i="18"/>
  <c r="F9" i="18"/>
  <c r="F13" i="18"/>
  <c r="E9" i="18"/>
  <c r="E13" i="18"/>
  <c r="D9" i="18"/>
  <c r="D13" i="18"/>
  <c r="C9" i="18"/>
  <c r="C13" i="18"/>
  <c r="C6" i="24"/>
  <c r="I7" i="14"/>
  <c r="J7" i="14" s="1"/>
  <c r="K7" i="14" s="1"/>
  <c r="L7" i="14" s="1"/>
  <c r="F21" i="20"/>
  <c r="F23" i="20"/>
  <c r="F25" i="20"/>
  <c r="F24" i="20"/>
  <c r="E21" i="20"/>
  <c r="E23" i="20"/>
  <c r="E25" i="20"/>
  <c r="E24" i="20"/>
  <c r="D21" i="20"/>
  <c r="D23" i="20"/>
  <c r="D25" i="20"/>
  <c r="D24" i="20"/>
  <c r="C21" i="20"/>
  <c r="C23" i="20"/>
  <c r="C25" i="20"/>
  <c r="C24" i="20"/>
  <c r="G20" i="14"/>
  <c r="H16" i="15"/>
  <c r="H11" i="17"/>
  <c r="I10" i="17" s="1"/>
  <c r="C10" i="25"/>
  <c r="C12" i="1"/>
  <c r="C11" i="19" s="1"/>
  <c r="C17" i="1"/>
  <c r="F36" i="19"/>
  <c r="I24" i="8"/>
  <c r="H24" i="8"/>
  <c r="G25" i="20"/>
  <c r="G24" i="20"/>
  <c r="G23" i="20"/>
  <c r="G22" i="20"/>
  <c r="G21" i="20"/>
  <c r="G7" i="17"/>
  <c r="G18" i="19"/>
  <c r="H9" i="1"/>
  <c r="H8" i="1" s="1"/>
  <c r="L9" i="1"/>
  <c r="I9" i="1"/>
  <c r="J9" i="1"/>
  <c r="K9" i="1"/>
  <c r="I38" i="1"/>
  <c r="H43" i="1"/>
  <c r="H9" i="19" s="1"/>
  <c r="H4" i="18"/>
  <c r="H5" i="19"/>
  <c r="H29" i="19"/>
  <c r="H12" i="20"/>
  <c r="H6" i="20"/>
  <c r="H14" i="1"/>
  <c r="H4" i="17"/>
  <c r="H6" i="1"/>
  <c r="I5" i="1" s="1"/>
  <c r="C33" i="19"/>
  <c r="C35" i="19"/>
  <c r="H2" i="18"/>
  <c r="H2" i="17"/>
  <c r="I3" i="1"/>
  <c r="D3" i="25" s="1"/>
  <c r="E36" i="19"/>
  <c r="F18" i="19"/>
  <c r="F7" i="17"/>
  <c r="E18" i="19"/>
  <c r="E7" i="17"/>
  <c r="D18" i="19"/>
  <c r="D7" i="17"/>
  <c r="C18" i="19"/>
  <c r="C7" i="17"/>
  <c r="H21" i="1"/>
  <c r="H20" i="1" s="1"/>
  <c r="L29" i="15"/>
  <c r="J16" i="14"/>
  <c r="K26" i="1"/>
  <c r="G17" i="1"/>
  <c r="F17" i="1"/>
  <c r="F12" i="1"/>
  <c r="F11" i="19" s="1"/>
  <c r="E12" i="1"/>
  <c r="E11" i="19" s="1"/>
  <c r="E17" i="1"/>
  <c r="D17" i="1"/>
  <c r="D12" i="1"/>
  <c r="D11" i="19" s="1"/>
  <c r="J24" i="8"/>
  <c r="I25" i="8"/>
  <c r="H25" i="8"/>
  <c r="J25" i="8"/>
  <c r="K25" i="8"/>
  <c r="M25" i="8" s="1"/>
  <c r="M14" i="8" s="1"/>
  <c r="E114" i="29" l="1"/>
  <c r="F114" i="29"/>
  <c r="H114" i="29"/>
  <c r="D112" i="29"/>
  <c r="D114" i="29" s="1"/>
  <c r="G114" i="29"/>
  <c r="G22" i="18"/>
  <c r="H20" i="18" s="1"/>
  <c r="G18" i="18"/>
  <c r="H16" i="18" s="1"/>
  <c r="G10" i="18"/>
  <c r="H8" i="18" s="1"/>
  <c r="G14" i="18"/>
  <c r="H12" i="18" s="1"/>
  <c r="N23" i="8"/>
  <c r="N4" i="8" s="1"/>
  <c r="M23" i="8"/>
  <c r="M4" i="8" s="1"/>
  <c r="I4" i="20"/>
  <c r="I19" i="20" s="1"/>
  <c r="J3" i="15"/>
  <c r="N24" i="8"/>
  <c r="F27" i="20"/>
  <c r="F28" i="20"/>
  <c r="F29" i="20"/>
  <c r="F22" i="14"/>
  <c r="F33" i="20"/>
  <c r="F32" i="20"/>
  <c r="F31" i="20"/>
  <c r="F30" i="20"/>
  <c r="F34" i="20"/>
  <c r="F39" i="19"/>
  <c r="E39" i="19"/>
  <c r="E31" i="20"/>
  <c r="E32" i="20"/>
  <c r="E29" i="20"/>
  <c r="E28" i="20"/>
  <c r="E30" i="20"/>
  <c r="E33" i="20"/>
  <c r="E34" i="20"/>
  <c r="E22" i="14"/>
  <c r="E27" i="20"/>
  <c r="D39" i="19"/>
  <c r="D30" i="20"/>
  <c r="D32" i="20"/>
  <c r="D22" i="14"/>
  <c r="D29" i="20"/>
  <c r="D31" i="20"/>
  <c r="D33" i="20"/>
  <c r="D27" i="20"/>
  <c r="D28" i="20"/>
  <c r="D34" i="20"/>
  <c r="C34" i="20"/>
  <c r="C32" i="20"/>
  <c r="C22" i="14"/>
  <c r="C31" i="20"/>
  <c r="C33" i="20"/>
  <c r="C39" i="19"/>
  <c r="C27" i="20"/>
  <c r="C28" i="20"/>
  <c r="C29" i="20"/>
  <c r="C30" i="20"/>
  <c r="I16" i="15"/>
  <c r="D10" i="25"/>
  <c r="I11" i="17"/>
  <c r="J10" i="17" s="1"/>
  <c r="C23" i="1"/>
  <c r="C18" i="1"/>
  <c r="C12" i="19" s="1"/>
  <c r="C9" i="20"/>
  <c r="G22" i="14"/>
  <c r="G39" i="19"/>
  <c r="G29" i="20"/>
  <c r="G30" i="20"/>
  <c r="G32" i="20"/>
  <c r="G33" i="20"/>
  <c r="G34" i="20"/>
  <c r="G31" i="20"/>
  <c r="G28" i="20"/>
  <c r="G27" i="20"/>
  <c r="H11" i="1"/>
  <c r="H7" i="20"/>
  <c r="I43" i="1"/>
  <c r="I9" i="19" s="1"/>
  <c r="J38" i="1"/>
  <c r="H24" i="18"/>
  <c r="I27" i="1"/>
  <c r="I8" i="1"/>
  <c r="I14" i="1"/>
  <c r="I4" i="17"/>
  <c r="I4" i="18"/>
  <c r="I5" i="19"/>
  <c r="I29" i="19"/>
  <c r="I12" i="20"/>
  <c r="I6" i="20"/>
  <c r="I6" i="1"/>
  <c r="J5" i="1" s="1"/>
  <c r="H8" i="20"/>
  <c r="H15" i="1"/>
  <c r="H17" i="19" s="1"/>
  <c r="H6" i="17"/>
  <c r="H12" i="17" s="1"/>
  <c r="H13" i="17" s="1"/>
  <c r="H10" i="20"/>
  <c r="C9" i="25"/>
  <c r="C36" i="19"/>
  <c r="I2" i="17"/>
  <c r="I2" i="18"/>
  <c r="J3" i="1"/>
  <c r="E3" i="25" s="1"/>
  <c r="I21" i="1"/>
  <c r="I20" i="1" s="1"/>
  <c r="H7" i="17"/>
  <c r="H18" i="19"/>
  <c r="H35" i="19"/>
  <c r="G9" i="20"/>
  <c r="G6" i="19"/>
  <c r="F9" i="20"/>
  <c r="F6" i="19"/>
  <c r="E9" i="20"/>
  <c r="E6" i="19"/>
  <c r="D9" i="20"/>
  <c r="D6" i="19"/>
  <c r="K16" i="14"/>
  <c r="L26" i="1"/>
  <c r="G23" i="1"/>
  <c r="G18" i="1"/>
  <c r="G12" i="19" s="1"/>
  <c r="F18" i="1"/>
  <c r="F12" i="19" s="1"/>
  <c r="F23" i="1"/>
  <c r="E18" i="1"/>
  <c r="E12" i="19" s="1"/>
  <c r="E23" i="1"/>
  <c r="D18" i="1"/>
  <c r="D12" i="19" s="1"/>
  <c r="D23" i="1"/>
  <c r="N25" i="8"/>
  <c r="N14" i="8" s="1"/>
  <c r="N6" i="8" l="1"/>
  <c r="M6" i="8"/>
  <c r="J4" i="20"/>
  <c r="J19" i="20" s="1"/>
  <c r="K3" i="15"/>
  <c r="C29" i="1"/>
  <c r="C24" i="1"/>
  <c r="C13" i="19" s="1"/>
  <c r="C19" i="19" s="1"/>
  <c r="E10" i="25"/>
  <c r="J16" i="15"/>
  <c r="J11" i="17"/>
  <c r="K10" i="17" s="1"/>
  <c r="C21" i="19"/>
  <c r="C25" i="19"/>
  <c r="C11" i="20"/>
  <c r="H12" i="1"/>
  <c r="H11" i="19" s="1"/>
  <c r="H17" i="1"/>
  <c r="I7" i="20"/>
  <c r="I11" i="1"/>
  <c r="J43" i="1"/>
  <c r="J9" i="19" s="1"/>
  <c r="K38" i="1"/>
  <c r="H9" i="18"/>
  <c r="H8" i="14"/>
  <c r="H15" i="14"/>
  <c r="H25" i="18"/>
  <c r="H11" i="14"/>
  <c r="H13" i="18"/>
  <c r="H12" i="14"/>
  <c r="H17" i="18"/>
  <c r="H13" i="14"/>
  <c r="H21" i="18"/>
  <c r="I15" i="1"/>
  <c r="I17" i="19" s="1"/>
  <c r="I8" i="20"/>
  <c r="I6" i="17"/>
  <c r="I12" i="17" s="1"/>
  <c r="I10" i="20"/>
  <c r="D9" i="25"/>
  <c r="I8" i="18"/>
  <c r="I24" i="18"/>
  <c r="I12" i="18"/>
  <c r="I16" i="18"/>
  <c r="I20" i="18"/>
  <c r="J27" i="1"/>
  <c r="J12" i="20"/>
  <c r="J6" i="1"/>
  <c r="K5" i="1" s="1"/>
  <c r="J14" i="1"/>
  <c r="J8" i="1"/>
  <c r="J4" i="17"/>
  <c r="J4" i="18"/>
  <c r="J5" i="19"/>
  <c r="J29" i="19"/>
  <c r="J35" i="19" s="1"/>
  <c r="J6" i="20"/>
  <c r="I9" i="17"/>
  <c r="H10" i="14"/>
  <c r="J2" i="18"/>
  <c r="J2" i="17"/>
  <c r="K3" i="1"/>
  <c r="F3" i="25" s="1"/>
  <c r="J21" i="1"/>
  <c r="J20" i="1" s="1"/>
  <c r="I7" i="17"/>
  <c r="I18" i="19"/>
  <c r="I35" i="19"/>
  <c r="G11" i="20"/>
  <c r="G25" i="19"/>
  <c r="G21" i="19"/>
  <c r="G7" i="19"/>
  <c r="F25" i="19"/>
  <c r="F21" i="19"/>
  <c r="F7" i="19"/>
  <c r="F11" i="20"/>
  <c r="E11" i="20"/>
  <c r="E25" i="19"/>
  <c r="E21" i="19"/>
  <c r="E7" i="19"/>
  <c r="D11" i="20"/>
  <c r="D25" i="19"/>
  <c r="D21" i="19"/>
  <c r="D7" i="19"/>
  <c r="L16" i="14"/>
  <c r="G29" i="1"/>
  <c r="G24" i="1"/>
  <c r="G13" i="19" s="1"/>
  <c r="G19" i="19" s="1"/>
  <c r="F29" i="1"/>
  <c r="F13" i="20" s="1"/>
  <c r="F24" i="1"/>
  <c r="F13" i="19" s="1"/>
  <c r="F19" i="19" s="1"/>
  <c r="E29" i="1"/>
  <c r="E13" i="20" s="1"/>
  <c r="E24" i="1"/>
  <c r="E13" i="19" s="1"/>
  <c r="E19" i="19" s="1"/>
  <c r="D29" i="1"/>
  <c r="D13" i="20" s="1"/>
  <c r="D24" i="1"/>
  <c r="D13" i="19" s="1"/>
  <c r="M10" i="8" l="1"/>
  <c r="M12" i="8" s="1"/>
  <c r="M13" i="8" s="1"/>
  <c r="M15" i="8" s="1"/>
  <c r="M5" i="8"/>
  <c r="N5" i="8"/>
  <c r="N10" i="8"/>
  <c r="N12" i="8" s="1"/>
  <c r="N13" i="8" s="1"/>
  <c r="N15" i="8" s="1"/>
  <c r="K4" i="20"/>
  <c r="K19" i="20" s="1"/>
  <c r="L3" i="15"/>
  <c r="L4" i="20" s="1"/>
  <c r="L19" i="20" s="1"/>
  <c r="J7" i="20"/>
  <c r="J11" i="1"/>
  <c r="C35" i="1"/>
  <c r="C30" i="1"/>
  <c r="C14" i="19" s="1"/>
  <c r="C33" i="1"/>
  <c r="C13" i="20"/>
  <c r="K16" i="15"/>
  <c r="K11" i="17"/>
  <c r="L10" i="17" s="1"/>
  <c r="F10" i="25"/>
  <c r="H6" i="19"/>
  <c r="H23" i="1"/>
  <c r="H18" i="1"/>
  <c r="H12" i="19" s="1"/>
  <c r="H9" i="20"/>
  <c r="I12" i="1"/>
  <c r="I11" i="19" s="1"/>
  <c r="I17" i="1"/>
  <c r="K43" i="1"/>
  <c r="K9" i="19" s="1"/>
  <c r="L38" i="1"/>
  <c r="L43" i="1" s="1"/>
  <c r="L9" i="19" s="1"/>
  <c r="H27" i="19"/>
  <c r="H7" i="15"/>
  <c r="H25" i="15"/>
  <c r="H18" i="15"/>
  <c r="H26" i="15" s="1"/>
  <c r="I9" i="18"/>
  <c r="I8" i="14"/>
  <c r="I15" i="14"/>
  <c r="I7" i="15" s="1"/>
  <c r="I25" i="18"/>
  <c r="I11" i="14"/>
  <c r="I25" i="15" s="1"/>
  <c r="I13" i="18"/>
  <c r="I12" i="14"/>
  <c r="I18" i="15" s="1"/>
  <c r="I17" i="18"/>
  <c r="I13" i="14"/>
  <c r="I21" i="18"/>
  <c r="K27" i="1"/>
  <c r="K12" i="20"/>
  <c r="K6" i="1"/>
  <c r="L5" i="1" s="1"/>
  <c r="K14" i="1"/>
  <c r="K8" i="1"/>
  <c r="K4" i="17"/>
  <c r="K4" i="18"/>
  <c r="K5" i="19"/>
  <c r="K29" i="19"/>
  <c r="K6" i="20"/>
  <c r="J15" i="1"/>
  <c r="J17" i="19" s="1"/>
  <c r="J8" i="20"/>
  <c r="J6" i="17"/>
  <c r="J12" i="17" s="1"/>
  <c r="J10" i="20"/>
  <c r="E9" i="25"/>
  <c r="J8" i="18"/>
  <c r="J24" i="18"/>
  <c r="J12" i="18"/>
  <c r="J16" i="18"/>
  <c r="J20" i="18"/>
  <c r="H30" i="19"/>
  <c r="H14" i="14"/>
  <c r="K2" i="18"/>
  <c r="K2" i="17"/>
  <c r="L3" i="1"/>
  <c r="G3" i="25" s="1"/>
  <c r="J7" i="17"/>
  <c r="J18" i="19"/>
  <c r="K21" i="1"/>
  <c r="K20" i="1" s="1"/>
  <c r="H10" i="15"/>
  <c r="I13" i="17"/>
  <c r="G13" i="20"/>
  <c r="G33" i="1"/>
  <c r="E6" i="24" s="1"/>
  <c r="C13" i="24" s="1"/>
  <c r="C14" i="24" s="1"/>
  <c r="D19" i="19"/>
  <c r="G30" i="1"/>
  <c r="G14" i="19" s="1"/>
  <c r="G35" i="1"/>
  <c r="F33" i="1"/>
  <c r="F30" i="1"/>
  <c r="F14" i="19" s="1"/>
  <c r="F35" i="1"/>
  <c r="E33" i="1"/>
  <c r="E30" i="1"/>
  <c r="E14" i="19" s="1"/>
  <c r="E35" i="1"/>
  <c r="D33" i="1"/>
  <c r="D35" i="1"/>
  <c r="D30" i="1"/>
  <c r="D14" i="19" s="1"/>
  <c r="J12" i="1" l="1"/>
  <c r="J11" i="19" s="1"/>
  <c r="J17" i="1"/>
  <c r="K7" i="20"/>
  <c r="K11" i="1"/>
  <c r="C36" i="1"/>
  <c r="C15" i="19" s="1"/>
  <c r="C15" i="20"/>
  <c r="C23" i="19"/>
  <c r="I26" i="15"/>
  <c r="L16" i="15"/>
  <c r="L11" i="17"/>
  <c r="G10" i="25"/>
  <c r="H33" i="1"/>
  <c r="C7" i="25"/>
  <c r="H29" i="1"/>
  <c r="H25" i="19"/>
  <c r="H11" i="20"/>
  <c r="H7" i="19"/>
  <c r="H24" i="1"/>
  <c r="H13" i="19" s="1"/>
  <c r="H19" i="19" s="1"/>
  <c r="I23" i="1"/>
  <c r="I6" i="19"/>
  <c r="I9" i="20"/>
  <c r="I18" i="1"/>
  <c r="I12" i="19" s="1"/>
  <c r="H11" i="15"/>
  <c r="O9" i="19"/>
  <c r="N9" i="19"/>
  <c r="H33" i="19"/>
  <c r="I27" i="19"/>
  <c r="L27" i="1"/>
  <c r="L12" i="20"/>
  <c r="L14" i="1"/>
  <c r="L8" i="1"/>
  <c r="L4" i="17"/>
  <c r="L4" i="18"/>
  <c r="L5" i="19"/>
  <c r="L29" i="19"/>
  <c r="L6" i="20"/>
  <c r="L6" i="1"/>
  <c r="K15" i="1"/>
  <c r="K17" i="19" s="1"/>
  <c r="K8" i="20"/>
  <c r="K6" i="17"/>
  <c r="K12" i="17" s="1"/>
  <c r="K10" i="20"/>
  <c r="F9" i="25"/>
  <c r="K8" i="18"/>
  <c r="K24" i="18"/>
  <c r="K12" i="18"/>
  <c r="K16" i="18"/>
  <c r="K20" i="18"/>
  <c r="K35" i="19"/>
  <c r="J9" i="18"/>
  <c r="J8" i="14"/>
  <c r="J25" i="18"/>
  <c r="J15" i="14"/>
  <c r="J7" i="15" s="1"/>
  <c r="J11" i="14"/>
  <c r="J13" i="18"/>
  <c r="J12" i="14"/>
  <c r="J17" i="18"/>
  <c r="J13" i="14"/>
  <c r="J21" i="18"/>
  <c r="L2" i="18"/>
  <c r="L2" i="17"/>
  <c r="K7" i="17"/>
  <c r="K18" i="19"/>
  <c r="L21" i="1"/>
  <c r="L20" i="1" s="1"/>
  <c r="I10" i="14"/>
  <c r="J9" i="17"/>
  <c r="J13" i="17" s="1"/>
  <c r="I10" i="15"/>
  <c r="I11" i="15" s="1"/>
  <c r="F15" i="20"/>
  <c r="F23" i="19"/>
  <c r="F8" i="19"/>
  <c r="E15" i="20"/>
  <c r="E23" i="19"/>
  <c r="E8" i="19"/>
  <c r="D15" i="20"/>
  <c r="D23" i="19"/>
  <c r="D8" i="19"/>
  <c r="G15" i="20"/>
  <c r="G23" i="19"/>
  <c r="G8" i="19"/>
  <c r="G40" i="1"/>
  <c r="G36" i="1"/>
  <c r="G15" i="19" s="1"/>
  <c r="F36" i="1"/>
  <c r="F15" i="19" s="1"/>
  <c r="F40" i="1"/>
  <c r="E36" i="1"/>
  <c r="E15" i="19" s="1"/>
  <c r="E40" i="1"/>
  <c r="D36" i="1"/>
  <c r="D15" i="19" s="1"/>
  <c r="D40" i="1"/>
  <c r="L7" i="20" l="1"/>
  <c r="L11" i="1"/>
  <c r="J23" i="1"/>
  <c r="J7" i="19" s="1"/>
  <c r="J6" i="19"/>
  <c r="J9" i="20"/>
  <c r="J18" i="1"/>
  <c r="J12" i="19" s="1"/>
  <c r="K17" i="1"/>
  <c r="K12" i="1"/>
  <c r="K11" i="19" s="1"/>
  <c r="I33" i="1"/>
  <c r="C8" i="25"/>
  <c r="C46" i="1"/>
  <c r="C22" i="19" s="1"/>
  <c r="C24" i="19" s="1"/>
  <c r="C44" i="1"/>
  <c r="J10" i="15"/>
  <c r="J11" i="15" s="1"/>
  <c r="H32" i="1"/>
  <c r="H14" i="20" s="1"/>
  <c r="H13" i="20"/>
  <c r="H35" i="1"/>
  <c r="H30" i="1"/>
  <c r="H14" i="19" s="1"/>
  <c r="I29" i="1"/>
  <c r="I7" i="19"/>
  <c r="I25" i="19"/>
  <c r="I11" i="20"/>
  <c r="D7" i="25"/>
  <c r="I24" i="1"/>
  <c r="I13" i="19" s="1"/>
  <c r="I19" i="19" s="1"/>
  <c r="L35" i="19"/>
  <c r="N29" i="19"/>
  <c r="O29" i="19"/>
  <c r="H36" i="19"/>
  <c r="L8" i="20"/>
  <c r="L15" i="1"/>
  <c r="L17" i="19" s="1"/>
  <c r="L6" i="17"/>
  <c r="L12" i="17" s="1"/>
  <c r="G9" i="25"/>
  <c r="L10" i="20"/>
  <c r="L8" i="18"/>
  <c r="L24" i="18"/>
  <c r="L12" i="18"/>
  <c r="L16" i="18"/>
  <c r="L20" i="18"/>
  <c r="N5" i="19"/>
  <c r="O5" i="19"/>
  <c r="K9" i="18"/>
  <c r="K8" i="14"/>
  <c r="K25" i="18"/>
  <c r="K15" i="14"/>
  <c r="K7" i="15" s="1"/>
  <c r="K11" i="14"/>
  <c r="K25" i="15" s="1"/>
  <c r="K13" i="18"/>
  <c r="K12" i="14"/>
  <c r="K18" i="15" s="1"/>
  <c r="K17" i="18"/>
  <c r="K13" i="14"/>
  <c r="K21" i="18"/>
  <c r="J27" i="19"/>
  <c r="J33" i="19" s="1"/>
  <c r="J25" i="15"/>
  <c r="J18" i="15"/>
  <c r="J26" i="15" s="1"/>
  <c r="L7" i="17"/>
  <c r="L18" i="19"/>
  <c r="I30" i="19"/>
  <c r="I14" i="14"/>
  <c r="K9" i="17"/>
  <c r="K13" i="17" s="1"/>
  <c r="J10" i="14"/>
  <c r="I33" i="19"/>
  <c r="I36" i="19" s="1"/>
  <c r="F46" i="1"/>
  <c r="F22" i="19" s="1"/>
  <c r="F24" i="19" s="1"/>
  <c r="F44" i="1"/>
  <c r="E46" i="1"/>
  <c r="E22" i="19" s="1"/>
  <c r="E24" i="19" s="1"/>
  <c r="E44" i="1"/>
  <c r="D46" i="1"/>
  <c r="D22" i="19" s="1"/>
  <c r="D24" i="19" s="1"/>
  <c r="D44" i="1"/>
  <c r="G44" i="1"/>
  <c r="G46" i="1"/>
  <c r="G22" i="19" s="1"/>
  <c r="G41" i="1"/>
  <c r="F41" i="1"/>
  <c r="E41" i="1"/>
  <c r="D41" i="1"/>
  <c r="K26" i="15" l="1"/>
  <c r="L17" i="1"/>
  <c r="L12" i="1"/>
  <c r="L11" i="19" s="1"/>
  <c r="K23" i="1"/>
  <c r="K6" i="19"/>
  <c r="K9" i="20"/>
  <c r="K18" i="1"/>
  <c r="K12" i="19" s="1"/>
  <c r="J24" i="1"/>
  <c r="J13" i="19" s="1"/>
  <c r="J19" i="19" s="1"/>
  <c r="E7" i="25"/>
  <c r="J11" i="20"/>
  <c r="J25" i="19"/>
  <c r="J29" i="1"/>
  <c r="J33" i="1"/>
  <c r="D8" i="25"/>
  <c r="H8" i="19"/>
  <c r="H6" i="15"/>
  <c r="H13" i="15" s="1"/>
  <c r="H15" i="20"/>
  <c r="H36" i="1"/>
  <c r="H15" i="19" s="1"/>
  <c r="H6" i="18"/>
  <c r="H6" i="14" s="1"/>
  <c r="H40" i="1"/>
  <c r="I32" i="1"/>
  <c r="I30" i="1"/>
  <c r="I14" i="19" s="1"/>
  <c r="I13" i="20"/>
  <c r="N35" i="19"/>
  <c r="O35" i="19"/>
  <c r="N17" i="19"/>
  <c r="O17" i="19"/>
  <c r="O18" i="19"/>
  <c r="N18" i="19"/>
  <c r="L9" i="18"/>
  <c r="L8" i="14"/>
  <c r="L25" i="18"/>
  <c r="L15" i="14"/>
  <c r="L11" i="14"/>
  <c r="L25" i="15" s="1"/>
  <c r="L13" i="18"/>
  <c r="L12" i="14"/>
  <c r="L18" i="15" s="1"/>
  <c r="L17" i="18"/>
  <c r="L13" i="14"/>
  <c r="L21" i="18"/>
  <c r="K27" i="19"/>
  <c r="L9" i="17"/>
  <c r="L13" i="17" s="1"/>
  <c r="L10" i="14" s="1"/>
  <c r="K10" i="14"/>
  <c r="J30" i="19"/>
  <c r="J14" i="14"/>
  <c r="K10" i="15"/>
  <c r="K11" i="15" s="1"/>
  <c r="J36" i="19"/>
  <c r="G24" i="19"/>
  <c r="I36" i="15"/>
  <c r="L23" i="1" l="1"/>
  <c r="L18" i="1"/>
  <c r="L12" i="19" s="1"/>
  <c r="L9" i="20"/>
  <c r="L6" i="19"/>
  <c r="G21" i="25"/>
  <c r="G24" i="25" s="1"/>
  <c r="N11" i="19"/>
  <c r="O11" i="19"/>
  <c r="K7" i="19"/>
  <c r="K25" i="19"/>
  <c r="L26" i="15"/>
  <c r="K29" i="1"/>
  <c r="K24" i="1"/>
  <c r="K13" i="19" s="1"/>
  <c r="K11" i="20"/>
  <c r="F7" i="25"/>
  <c r="J13" i="20"/>
  <c r="J30" i="1"/>
  <c r="J14" i="19" s="1"/>
  <c r="J32" i="1"/>
  <c r="K33" i="1"/>
  <c r="E8" i="25"/>
  <c r="H40" i="19"/>
  <c r="H38" i="19"/>
  <c r="H38" i="15"/>
  <c r="H29" i="18" s="1"/>
  <c r="H30" i="18" s="1"/>
  <c r="I35" i="1"/>
  <c r="I14" i="20"/>
  <c r="H41" i="1"/>
  <c r="H46" i="1"/>
  <c r="H22" i="19" s="1"/>
  <c r="H44" i="1"/>
  <c r="K33" i="19"/>
  <c r="H23" i="19"/>
  <c r="H31" i="19"/>
  <c r="H21" i="19"/>
  <c r="H9" i="14"/>
  <c r="D6" i="24"/>
  <c r="L30" i="19"/>
  <c r="L14" i="14"/>
  <c r="K30" i="19"/>
  <c r="K14" i="14"/>
  <c r="L10" i="15"/>
  <c r="L27" i="19"/>
  <c r="L7" i="15"/>
  <c r="K36" i="15"/>
  <c r="J36" i="15"/>
  <c r="L36" i="15"/>
  <c r="L29" i="1" l="1"/>
  <c r="L7" i="19"/>
  <c r="L25" i="19"/>
  <c r="L11" i="20"/>
  <c r="G7" i="25"/>
  <c r="L24" i="1"/>
  <c r="L13" i="19" s="1"/>
  <c r="O12" i="19"/>
  <c r="N12" i="19"/>
  <c r="O6" i="19"/>
  <c r="N6" i="19"/>
  <c r="K13" i="20"/>
  <c r="K30" i="1"/>
  <c r="K14" i="19" s="1"/>
  <c r="K32" i="1"/>
  <c r="K19" i="19"/>
  <c r="J14" i="20"/>
  <c r="J35" i="1"/>
  <c r="J8" i="19" s="1"/>
  <c r="F8" i="25"/>
  <c r="L33" i="1"/>
  <c r="H17" i="14"/>
  <c r="H18" i="14" s="1"/>
  <c r="I28" i="18"/>
  <c r="I6" i="18"/>
  <c r="I8" i="19"/>
  <c r="I40" i="1"/>
  <c r="I15" i="20"/>
  <c r="I36" i="1"/>
  <c r="I15" i="19" s="1"/>
  <c r="I6" i="15"/>
  <c r="I13" i="15" s="1"/>
  <c r="L33" i="19"/>
  <c r="O27" i="19"/>
  <c r="N27" i="19"/>
  <c r="L11" i="15"/>
  <c r="K36" i="19"/>
  <c r="H21" i="20"/>
  <c r="H25" i="20"/>
  <c r="H24" i="20"/>
  <c r="H22" i="20"/>
  <c r="H23" i="20"/>
  <c r="C20" i="24"/>
  <c r="C19" i="24"/>
  <c r="N30" i="19"/>
  <c r="O30" i="19"/>
  <c r="H24" i="19"/>
  <c r="O13" i="19" l="1"/>
  <c r="N13" i="19"/>
  <c r="L19" i="19"/>
  <c r="L13" i="20"/>
  <c r="L30" i="1"/>
  <c r="L14" i="19" s="1"/>
  <c r="N7" i="19"/>
  <c r="O7" i="19"/>
  <c r="N25" i="19"/>
  <c r="O25" i="19"/>
  <c r="K14" i="20"/>
  <c r="K35" i="1"/>
  <c r="J6" i="15"/>
  <c r="J13" i="15" s="1"/>
  <c r="J15" i="20"/>
  <c r="J40" i="1"/>
  <c r="J41" i="1" s="1"/>
  <c r="J36" i="1"/>
  <c r="J15" i="19" s="1"/>
  <c r="G8" i="25"/>
  <c r="L32" i="1"/>
  <c r="J6" i="18"/>
  <c r="I6" i="14"/>
  <c r="I46" i="1"/>
  <c r="I22" i="19" s="1"/>
  <c r="I41" i="1"/>
  <c r="I44" i="1"/>
  <c r="I38" i="15"/>
  <c r="I29" i="18" s="1"/>
  <c r="I30" i="18" s="1"/>
  <c r="I40" i="19"/>
  <c r="I38" i="19"/>
  <c r="L36" i="19"/>
  <c r="O33" i="19"/>
  <c r="N33" i="19"/>
  <c r="H20" i="14"/>
  <c r="C11" i="25"/>
  <c r="C12" i="25" s="1"/>
  <c r="C21" i="24"/>
  <c r="C16" i="25" s="1"/>
  <c r="O19" i="19" l="1"/>
  <c r="N19" i="19"/>
  <c r="O14" i="19"/>
  <c r="N14" i="19"/>
  <c r="N36" i="19"/>
  <c r="O36" i="19"/>
  <c r="K6" i="15"/>
  <c r="K13" i="15" s="1"/>
  <c r="K40" i="1"/>
  <c r="K15" i="20"/>
  <c r="K36" i="1"/>
  <c r="K15" i="19" s="1"/>
  <c r="K8" i="19"/>
  <c r="J38" i="19"/>
  <c r="J40" i="19"/>
  <c r="J38" i="15"/>
  <c r="J29" i="18" s="1"/>
  <c r="J46" i="1"/>
  <c r="J22" i="19" s="1"/>
  <c r="J44" i="1"/>
  <c r="L14" i="20"/>
  <c r="L35" i="1"/>
  <c r="J28" i="18"/>
  <c r="I17" i="14"/>
  <c r="I18" i="14" s="1"/>
  <c r="K6" i="18"/>
  <c r="J6" i="14"/>
  <c r="I21" i="19"/>
  <c r="I31" i="19"/>
  <c r="I9" i="14"/>
  <c r="I23" i="19"/>
  <c r="H22" i="14"/>
  <c r="H34" i="20"/>
  <c r="H39" i="19"/>
  <c r="H27" i="20"/>
  <c r="H33" i="20"/>
  <c r="H29" i="20"/>
  <c r="H32" i="20"/>
  <c r="H30" i="20"/>
  <c r="H31" i="20"/>
  <c r="H28" i="20"/>
  <c r="G29" i="25"/>
  <c r="C29" i="25"/>
  <c r="C30" i="25" s="1"/>
  <c r="F29" i="25"/>
  <c r="D29" i="25"/>
  <c r="E29" i="25"/>
  <c r="K38" i="19" l="1"/>
  <c r="K40" i="19"/>
  <c r="K38" i="15"/>
  <c r="K29" i="18" s="1"/>
  <c r="K44" i="1"/>
  <c r="K46" i="1"/>
  <c r="K22" i="19" s="1"/>
  <c r="K41" i="1"/>
  <c r="J30" i="18"/>
  <c r="L15" i="20"/>
  <c r="L36" i="1"/>
  <c r="L15" i="19" s="1"/>
  <c r="L6" i="15"/>
  <c r="L13" i="15" s="1"/>
  <c r="L40" i="1"/>
  <c r="L44" i="1" s="1"/>
  <c r="L8" i="19"/>
  <c r="D11" i="25"/>
  <c r="D12" i="25" s="1"/>
  <c r="D30" i="25" s="1"/>
  <c r="I20" i="14"/>
  <c r="L6" i="18"/>
  <c r="L6" i="14" s="1"/>
  <c r="K6" i="14"/>
  <c r="J9" i="14"/>
  <c r="J31" i="19"/>
  <c r="J21" i="19"/>
  <c r="J23" i="19"/>
  <c r="I23" i="20"/>
  <c r="I22" i="20"/>
  <c r="I21" i="20"/>
  <c r="I24" i="20"/>
  <c r="I25" i="20"/>
  <c r="I24" i="19"/>
  <c r="K28" i="18" l="1"/>
  <c r="K30" i="18" s="1"/>
  <c r="J17" i="14"/>
  <c r="J18" i="14" s="1"/>
  <c r="L38" i="19"/>
  <c r="L38" i="15"/>
  <c r="L29" i="18" s="1"/>
  <c r="L40" i="19"/>
  <c r="L41" i="1"/>
  <c r="L46" i="1"/>
  <c r="L22" i="19" s="1"/>
  <c r="O8" i="19"/>
  <c r="N8" i="19"/>
  <c r="N15" i="19"/>
  <c r="O15" i="19"/>
  <c r="I34" i="20"/>
  <c r="I32" i="20"/>
  <c r="I33" i="20"/>
  <c r="I27" i="20"/>
  <c r="I28" i="20"/>
  <c r="I29" i="20"/>
  <c r="I22" i="14"/>
  <c r="I31" i="20"/>
  <c r="I39" i="19"/>
  <c r="I30" i="20"/>
  <c r="L23" i="19"/>
  <c r="L9" i="14"/>
  <c r="L31" i="19"/>
  <c r="L21" i="19"/>
  <c r="K21" i="19"/>
  <c r="K31" i="19"/>
  <c r="K9" i="14"/>
  <c r="K23" i="19"/>
  <c r="J23" i="20"/>
  <c r="J24" i="20"/>
  <c r="J22" i="20"/>
  <c r="J21" i="20"/>
  <c r="J25" i="20"/>
  <c r="J24" i="19"/>
  <c r="L28" i="18" l="1"/>
  <c r="L30" i="18" s="1"/>
  <c r="L17" i="14" s="1"/>
  <c r="L18" i="14" s="1"/>
  <c r="K17" i="14"/>
  <c r="K18" i="14" s="1"/>
  <c r="E11" i="25"/>
  <c r="E12" i="25" s="1"/>
  <c r="E30" i="25" s="1"/>
  <c r="J20" i="14"/>
  <c r="N38" i="19"/>
  <c r="O38" i="19"/>
  <c r="O40" i="19"/>
  <c r="N40" i="19"/>
  <c r="O22" i="19"/>
  <c r="N22" i="19"/>
  <c r="N21" i="19"/>
  <c r="O21" i="19"/>
  <c r="L24" i="19"/>
  <c r="N23" i="19"/>
  <c r="L22" i="20"/>
  <c r="L21" i="20"/>
  <c r="L24" i="20"/>
  <c r="L25" i="20"/>
  <c r="L23" i="20"/>
  <c r="N31" i="19"/>
  <c r="O31" i="19"/>
  <c r="K25" i="20"/>
  <c r="K21" i="20"/>
  <c r="K22" i="20"/>
  <c r="K23" i="20"/>
  <c r="K24" i="20"/>
  <c r="O23" i="19"/>
  <c r="K24" i="19"/>
  <c r="F11" i="25" l="1"/>
  <c r="F12" i="25" s="1"/>
  <c r="F30" i="25" s="1"/>
  <c r="K20" i="14"/>
  <c r="J39" i="19"/>
  <c r="J32" i="20"/>
  <c r="J33" i="20"/>
  <c r="J30" i="20"/>
  <c r="J31" i="20"/>
  <c r="J22" i="14"/>
  <c r="J34" i="20"/>
  <c r="J29" i="20"/>
  <c r="J27" i="20"/>
  <c r="J28" i="20"/>
  <c r="L20" i="14"/>
  <c r="G11" i="25"/>
  <c r="G12" i="25" s="1"/>
  <c r="O24" i="19"/>
  <c r="N24" i="19"/>
  <c r="K31" i="20" l="1"/>
  <c r="K32" i="20"/>
  <c r="L34" i="20"/>
  <c r="L27" i="20"/>
  <c r="K39" i="19"/>
  <c r="K28" i="20"/>
  <c r="K27" i="20"/>
  <c r="K34" i="20"/>
  <c r="K29" i="20"/>
  <c r="K30" i="20"/>
  <c r="K33" i="20"/>
  <c r="K22" i="14"/>
  <c r="L29" i="20"/>
  <c r="L32" i="20"/>
  <c r="L31" i="20"/>
  <c r="L22" i="14"/>
  <c r="L33" i="20"/>
  <c r="L28" i="20"/>
  <c r="L39" i="19"/>
  <c r="L30" i="20"/>
  <c r="G30" i="25"/>
  <c r="G23" i="25"/>
  <c r="G25" i="25" s="1"/>
  <c r="G31" i="25" s="1"/>
  <c r="C32" i="25" l="1"/>
  <c r="C39" i="25" s="1"/>
  <c r="O39" i="19"/>
  <c r="N39" i="19"/>
  <c r="C42" i="25" l="1"/>
  <c r="B45" i="25" s="1"/>
</calcChain>
</file>

<file path=xl/sharedStrings.xml><?xml version="1.0" encoding="utf-8"?>
<sst xmlns="http://schemas.openxmlformats.org/spreadsheetml/2006/main" count="18573" uniqueCount="9939">
  <si>
    <t>Sales</t>
  </si>
  <si>
    <t>Sales Growth</t>
  </si>
  <si>
    <t>COGS</t>
  </si>
  <si>
    <t>COGS % Sales</t>
  </si>
  <si>
    <t>Gross Profit</t>
  </si>
  <si>
    <t>Gross Margin</t>
  </si>
  <si>
    <t>Selling &amp; Other Expenses</t>
  </si>
  <si>
    <t>EBITDA</t>
  </si>
  <si>
    <t>EBITDA % Sales</t>
  </si>
  <si>
    <t>Interest</t>
  </si>
  <si>
    <t>Depreciation</t>
  </si>
  <si>
    <t>EBT</t>
  </si>
  <si>
    <t>Tax</t>
  </si>
  <si>
    <t>Effective Tax Rate</t>
  </si>
  <si>
    <t>Retain Earning</t>
  </si>
  <si>
    <t>Equity Share Capital</t>
  </si>
  <si>
    <t>Reserves</t>
  </si>
  <si>
    <t>Borrowings</t>
  </si>
  <si>
    <t>Other Liabilities</t>
  </si>
  <si>
    <t>Capital Work in Progress</t>
  </si>
  <si>
    <t>Investments</t>
  </si>
  <si>
    <t>Other Assets</t>
  </si>
  <si>
    <t>Receivables</t>
  </si>
  <si>
    <t>Inventory</t>
  </si>
  <si>
    <t>Cash &amp; Bank</t>
  </si>
  <si>
    <t>Check</t>
  </si>
  <si>
    <t xml:space="preserve"> Operating Activities</t>
  </si>
  <si>
    <t>Profit from operations</t>
  </si>
  <si>
    <t>Payables</t>
  </si>
  <si>
    <t>Other WC items</t>
  </si>
  <si>
    <t>Working capital changes</t>
  </si>
  <si>
    <t>Direct taxes</t>
  </si>
  <si>
    <t>Cash form Operating Activities</t>
  </si>
  <si>
    <t xml:space="preserve"> Investing Activities </t>
  </si>
  <si>
    <t>Fixed assets purchased</t>
  </si>
  <si>
    <t>Fixed assets sold</t>
  </si>
  <si>
    <t>Investments purchased</t>
  </si>
  <si>
    <t>Investments sold</t>
  </si>
  <si>
    <t>Interest received</t>
  </si>
  <si>
    <t>Dividends received</t>
  </si>
  <si>
    <t>Redemp n Canc of Shares</t>
  </si>
  <si>
    <t>Acquisition of companies</t>
  </si>
  <si>
    <t>Inter corporate deposits</t>
  </si>
  <si>
    <t>Other investing items</t>
  </si>
  <si>
    <t xml:space="preserve">Cash form Investing Activities </t>
  </si>
  <si>
    <t xml:space="preserve"> Financing Activities </t>
  </si>
  <si>
    <t>Proceeds from shares</t>
  </si>
  <si>
    <t>Proceeds from borrowings</t>
  </si>
  <si>
    <t>Repayment of borrowings</t>
  </si>
  <si>
    <t>Interest paid fin</t>
  </si>
  <si>
    <t>Dividends paid</t>
  </si>
  <si>
    <t>Financial liabilities</t>
  </si>
  <si>
    <t>Other financing items</t>
  </si>
  <si>
    <t xml:space="preserve">Cash form Financing Activities </t>
  </si>
  <si>
    <t>Net Cash Flow</t>
  </si>
  <si>
    <t>Net Profit Margin</t>
  </si>
  <si>
    <t>Inventory Turnover</t>
  </si>
  <si>
    <t>Debtor Days</t>
  </si>
  <si>
    <t>EPS</t>
  </si>
  <si>
    <t>EPS Growth</t>
  </si>
  <si>
    <t>INFOSYS LTD</t>
  </si>
  <si>
    <t>LATEST VERSION</t>
  </si>
  <si>
    <t>PLEASE DO NOT MAKE ANY CHANGES TO THIS SHEET</t>
  </si>
  <si>
    <t>CURRENT VERSION</t>
  </si>
  <si>
    <t>META</t>
  </si>
  <si>
    <t>Number of shares</t>
  </si>
  <si>
    <t>Face Value</t>
  </si>
  <si>
    <t>Current Price</t>
  </si>
  <si>
    <t>Market Capitalization</t>
  </si>
  <si>
    <t>PROFIT &amp; LOSS</t>
  </si>
  <si>
    <t>Report Date</t>
  </si>
  <si>
    <t>Raw Material Cost</t>
  </si>
  <si>
    <t>Change in Inventory</t>
  </si>
  <si>
    <t>Power and Fuel</t>
  </si>
  <si>
    <t>Other Mfr. Exp</t>
  </si>
  <si>
    <t>Employee Cost</t>
  </si>
  <si>
    <t>Selling and admin</t>
  </si>
  <si>
    <t>Other Expenses</t>
  </si>
  <si>
    <t>Other Income</t>
  </si>
  <si>
    <t>Profit before tax</t>
  </si>
  <si>
    <t>Net profit</t>
  </si>
  <si>
    <t>Dividend Amount</t>
  </si>
  <si>
    <t>Quarters</t>
  </si>
  <si>
    <t>Expenses</t>
  </si>
  <si>
    <t>Operating Profit</t>
  </si>
  <si>
    <t>BALANCE SHEET</t>
  </si>
  <si>
    <t>Total</t>
  </si>
  <si>
    <t>Net Block</t>
  </si>
  <si>
    <t>No. of Equity Shares</t>
  </si>
  <si>
    <t>New Bonus Shares</t>
  </si>
  <si>
    <t>Face value</t>
  </si>
  <si>
    <t>CASH FLOW:</t>
  </si>
  <si>
    <t>Cash from Operating Activity</t>
  </si>
  <si>
    <t>Cash from Investing Activity</t>
  </si>
  <si>
    <t>Cash from Financing Activity</t>
  </si>
  <si>
    <t>PRICE:</t>
  </si>
  <si>
    <t>DERIVED:</t>
  </si>
  <si>
    <t>Adjusted Equity Shares in Cr</t>
  </si>
  <si>
    <t>Cash from Operating Activity -</t>
  </si>
  <si>
    <t>Cash from Investing Activity -</t>
  </si>
  <si>
    <t>Cash from Financing Activity -</t>
  </si>
  <si>
    <t>Free Cash Flow</t>
  </si>
  <si>
    <t>CFO/OP</t>
  </si>
  <si>
    <t>SCREENER.IN</t>
  </si>
  <si>
    <t>Narration</t>
  </si>
  <si>
    <t>Trailing</t>
  </si>
  <si>
    <t>Best Case</t>
  </si>
  <si>
    <t>Worst Case</t>
  </si>
  <si>
    <t>Price to earning</t>
  </si>
  <si>
    <t>Price</t>
  </si>
  <si>
    <t>RATIOS:</t>
  </si>
  <si>
    <t>Dividend Payout</t>
  </si>
  <si>
    <t>OPM</t>
  </si>
  <si>
    <t>TRENDS:</t>
  </si>
  <si>
    <t>10 YEARS</t>
  </si>
  <si>
    <t>7 YEARS</t>
  </si>
  <si>
    <t>5 YEARS</t>
  </si>
  <si>
    <t>3 YEARS</t>
  </si>
  <si>
    <t>RECENT</t>
  </si>
  <si>
    <t>BEST</t>
  </si>
  <si>
    <t>WORST</t>
  </si>
  <si>
    <t>Price to Earning</t>
  </si>
  <si>
    <t>Working Capital</t>
  </si>
  <si>
    <t>Debtors</t>
  </si>
  <si>
    <t>Return on Equity</t>
  </si>
  <si>
    <t>Return on Capital Emp</t>
  </si>
  <si>
    <t xml:space="preserve">Year </t>
  </si>
  <si>
    <t>S &amp; G % Sales</t>
  </si>
  <si>
    <t>Depreciation % Sales</t>
  </si>
  <si>
    <t>EBIT</t>
  </si>
  <si>
    <t>EBIT % of Sale</t>
  </si>
  <si>
    <t>Interest of Sale</t>
  </si>
  <si>
    <t>EBT % of sale</t>
  </si>
  <si>
    <t xml:space="preserve">Net Profit </t>
  </si>
  <si>
    <t>No. of Equity Share</t>
  </si>
  <si>
    <t>Earning Per Share</t>
  </si>
  <si>
    <t>Dividend Per Share</t>
  </si>
  <si>
    <t>Divivend Payout Ratio</t>
  </si>
  <si>
    <t>Total Liabilitis</t>
  </si>
  <si>
    <t>Total Non Current Assets</t>
  </si>
  <si>
    <t>Total Current Assets</t>
  </si>
  <si>
    <t>Total Assets</t>
  </si>
  <si>
    <t>Revenue</t>
  </si>
  <si>
    <t>Depreciation as % of Revenue</t>
  </si>
  <si>
    <t>Capital Expenditure</t>
  </si>
  <si>
    <t xml:space="preserve">Capital Expenditure growth </t>
  </si>
  <si>
    <t>Net BLOCK</t>
  </si>
  <si>
    <t>Other Liabilities % of Revenue</t>
  </si>
  <si>
    <t>Other Liabilities % of Revenue Average</t>
  </si>
  <si>
    <t>CWIP % Revenue</t>
  </si>
  <si>
    <t>CWIP % Revenue Average</t>
  </si>
  <si>
    <t>Investments % Revenue</t>
  </si>
  <si>
    <t>Investments % Revenue Average</t>
  </si>
  <si>
    <t>Other Assets % Revenue</t>
  </si>
  <si>
    <t>Other Assets % Revenue Average</t>
  </si>
  <si>
    <t>DSO</t>
  </si>
  <si>
    <t>DSO Average</t>
  </si>
  <si>
    <t>Cash Flow</t>
  </si>
  <si>
    <t>Ending Cash</t>
  </si>
  <si>
    <t>FINANCIAL MODEL</t>
  </si>
  <si>
    <t>All figures are in ₹ Crore unless otherwise stated.</t>
  </si>
  <si>
    <t>Retained Earnings</t>
  </si>
  <si>
    <t>Net Block / PP&amp;E</t>
  </si>
  <si>
    <t>Change in Receivables</t>
  </si>
  <si>
    <t>Total Working Capital Change</t>
  </si>
  <si>
    <t>Cash Flow from Operations</t>
  </si>
  <si>
    <t>Cash Flow from Investing</t>
  </si>
  <si>
    <t>Cash Flow from Financing</t>
  </si>
  <si>
    <t>Net Change in Cash</t>
  </si>
  <si>
    <t>Ending Cash &amp; Cash Equivalents</t>
  </si>
  <si>
    <t>FORECASTING ASSUMPTIONS &amp; METHODOLOGY</t>
  </si>
  <si>
    <t>1. INCOME STATEMENT</t>
  </si>
  <si>
    <t>Previous Year Revenue × (1 + Growth Rate) → Forecast Revenue</t>
  </si>
  <si>
    <t>Average Historical COGS Margin × Forecast Revenue → Forecast COGS</t>
  </si>
  <si>
    <t>Average Historical Expense-to-Revenue Ratio × Forecast Revenue → Forecast Expense</t>
  </si>
  <si>
    <t>Average Historical Depreciation-to-Revenue Ratio × Forecast Revenue → Forecast Depreciation</t>
  </si>
  <si>
    <t>Forecast Borrowings × 4.54% → Forecast Interest</t>
  </si>
  <si>
    <t>Average Historical Effective Tax Rate → Forecast Tax Rate</t>
  </si>
  <si>
    <t>2. EQUITY &amp; PROFIT RETENTION</t>
  </si>
  <si>
    <t>Equity Shares</t>
  </si>
  <si>
    <t>Last Historical Year Ending Shares → Forecast Shares</t>
  </si>
  <si>
    <t>Dividend Paid</t>
  </si>
  <si>
    <t>DPS × Number of Equity Shares → Dividend Paid</t>
  </si>
  <si>
    <t>Net Profit − Dividend → Retained Earnings</t>
  </si>
  <si>
    <t>Previous Year Equity Share Capital → Forecast Equity Share Capital</t>
  </si>
  <si>
    <t>Closing Reserves</t>
  </si>
  <si>
    <t>Beginning Reserves + Net Profit − Dividend → Closing Reserves</t>
  </si>
  <si>
    <t>3. BALANCE SHEET</t>
  </si>
  <si>
    <t>Last Historical Year Borrowings → Forecast Borrowings</t>
  </si>
  <si>
    <t>Average Historical Other Liabilities-to-Revenue Ratio × Forecast Revenue → Forecast Other Liabilities</t>
  </si>
  <si>
    <t>Beginning Net Block + Capex − Depreciation → Closing Net Block</t>
  </si>
  <si>
    <t>CWIP</t>
  </si>
  <si>
    <t>Average Historical CWIP-to-Revenue Ratio × Forecast Revenue → Forecast CWIP</t>
  </si>
  <si>
    <t>Average Historical Investment-to-Revenue Ratio × Forecast Revenue → Forecast Investments</t>
  </si>
  <si>
    <t>Average Historical Other Assets-to-Revenue Ratio × Forecast Revenue → Forecast Other Assets</t>
  </si>
  <si>
    <t>4. WORKING CAPITAL</t>
  </si>
  <si>
    <t>Average Historical DSO × Forecast Revenue ÷ 365 → Forecast Receivables</t>
  </si>
  <si>
    <t>DSO → Receivables ÷ Revenue × 365</t>
  </si>
  <si>
    <t>Average Historical Inventory Days × Forecast COGS ÷ 365 → Forecast Inventory</t>
  </si>
  <si>
    <t>Inventory Days → Inventory ÷ COGS × 365</t>
  </si>
  <si>
    <t>Previous Year Receivables − Current Year Receivables → Cash Flow Impact</t>
  </si>
  <si>
    <t>Previous Year Inventory − Current Year Inventory → Cash Flow Impact</t>
  </si>
  <si>
    <t>Other Working Capital</t>
  </si>
  <si>
    <t>Change in Other Liabilities − Change in Other Assets → Cash Flow Impact</t>
  </si>
  <si>
    <t>Receivables Change + Inventory Change + Other Working Capital Change</t>
  </si>
  <si>
    <t>5. CASH FLOW</t>
  </si>
  <si>
    <t>Net Profit + Depreciation + Working Capital Changes → CFO</t>
  </si>
  <si>
    <t>Capex + Increase in CWIP + Other Investing Items → CFI</t>
  </si>
  <si>
    <t>Dividend Paid + Debt Movements → CFF</t>
  </si>
  <si>
    <t>CFO + CFI + CFF → Net Change in Cash</t>
  </si>
  <si>
    <t>Beginning Cash + Net Change in Cash → Ending Cash</t>
  </si>
  <si>
    <t>6. BALANCE SHEET INTEGRITY</t>
  </si>
  <si>
    <r>
      <t>Total Assets</t>
    </r>
    <r>
      <rPr>
        <sz val="11"/>
        <color theme="1"/>
        <rFont val="Calibri"/>
        <family val="2"/>
        <charset val="1"/>
      </rPr>
      <t xml:space="preserve"> → Total Liabilities + Shareholders’ Equity</t>
    </r>
  </si>
  <si>
    <t>Cash &amp; Cash Equivalents is derived from the Cash Flow Statement and linked to the Balance Sheet, rather than being used as a balancing plug.</t>
  </si>
  <si>
    <t>EBITDA Growth</t>
  </si>
  <si>
    <t>EBIT Growth</t>
  </si>
  <si>
    <t>Net Profit Growth</t>
  </si>
  <si>
    <t>Dividend Growth</t>
  </si>
  <si>
    <t xml:space="preserve">Gross Margin </t>
  </si>
  <si>
    <t xml:space="preserve">EBITDA Margin </t>
  </si>
  <si>
    <t>EBIT Margin</t>
  </si>
  <si>
    <t>EBT Margin</t>
  </si>
  <si>
    <t>Sales Expenses%Sales</t>
  </si>
  <si>
    <t>Depreciation%Sales</t>
  </si>
  <si>
    <t>OperatingIncome%Sales</t>
  </si>
  <si>
    <t>Return on Capital Employed</t>
  </si>
  <si>
    <t>Retained Earning%</t>
  </si>
  <si>
    <t>Return on Equity%</t>
  </si>
  <si>
    <t>Self Sustained Growth Rate</t>
  </si>
  <si>
    <t>Interest Coverage Ratio</t>
  </si>
  <si>
    <t>Debtor Turnover Ratio</t>
  </si>
  <si>
    <t>Creditor Turnover Ratio</t>
  </si>
  <si>
    <t xml:space="preserve">Fixed Asset Turnover </t>
  </si>
  <si>
    <t>Capital Turnover Ratio</t>
  </si>
  <si>
    <t xml:space="preserve">Payable Days </t>
  </si>
  <si>
    <t xml:space="preserve">Inventory Days </t>
  </si>
  <si>
    <t>Cash Conversion Cycle (in days)</t>
  </si>
  <si>
    <t>CFO/Sales</t>
  </si>
  <si>
    <t>CFO/Total Assets</t>
  </si>
  <si>
    <t>CFO/Total debt</t>
  </si>
  <si>
    <t>Trend</t>
  </si>
  <si>
    <t>Mean</t>
  </si>
  <si>
    <t>Median</t>
  </si>
  <si>
    <t>Particulers</t>
  </si>
  <si>
    <r>
      <t>Balance Sheet Check</t>
    </r>
    <r>
      <rPr>
        <sz val="11"/>
        <color theme="1"/>
        <rFont val="Calibri"/>
        <family val="2"/>
        <charset val="1"/>
      </rPr>
      <t xml:space="preserve"> → Total Assets = Total Liabilities → </t>
    </r>
    <r>
      <rPr>
        <sz val="11"/>
        <color theme="1"/>
        <rFont val="calibri"/>
        <family val="2"/>
      </rPr>
      <t>TRUE</t>
    </r>
  </si>
  <si>
    <t>Returns on Market</t>
  </si>
  <si>
    <t>Year</t>
  </si>
  <si>
    <t>Annual</t>
  </si>
  <si>
    <t>Average Returns</t>
  </si>
  <si>
    <t>Dividend Yield</t>
  </si>
  <si>
    <t>Total Market Returns</t>
  </si>
  <si>
    <t>Beta - Regression</t>
  </si>
  <si>
    <t>Nifty Weekly Returns</t>
  </si>
  <si>
    <t>Infosys Weekly Returns</t>
  </si>
  <si>
    <t>Date</t>
  </si>
  <si>
    <t>Adj Close</t>
  </si>
  <si>
    <t>Oct 05, 2026</t>
  </si>
  <si>
    <t>Sep 28, 2026</t>
  </si>
  <si>
    <t>Sep 21, 2026</t>
  </si>
  <si>
    <t>Sep 14, 2026</t>
  </si>
  <si>
    <t>Sep 07, 2026</t>
  </si>
  <si>
    <t>Aug 31, 2026</t>
  </si>
  <si>
    <t>Aug 24, 2026</t>
  </si>
  <si>
    <t>Aug 17, 2026</t>
  </si>
  <si>
    <t>Aug 10, 2026</t>
  </si>
  <si>
    <t>Aug 03, 2026</t>
  </si>
  <si>
    <t>Jul 27, 2026</t>
  </si>
  <si>
    <t>Jul 20, 2026</t>
  </si>
  <si>
    <t>Jul 13, 2026</t>
  </si>
  <si>
    <t>Jul 06, 2026</t>
  </si>
  <si>
    <t>Jun 29, 2026</t>
  </si>
  <si>
    <t>Jun 22, 2026</t>
  </si>
  <si>
    <t>Jun 15, 2026</t>
  </si>
  <si>
    <t>Jun 08, 2026</t>
  </si>
  <si>
    <t>Jun 01, 2026</t>
  </si>
  <si>
    <t>May 25, 2026</t>
  </si>
  <si>
    <t>May 18, 2026</t>
  </si>
  <si>
    <t>May 11, 2026</t>
  </si>
  <si>
    <t>May 04, 2026</t>
  </si>
  <si>
    <t>Apr 27, 2026</t>
  </si>
  <si>
    <t>Apr 20, 2026</t>
  </si>
  <si>
    <t>Apr 13, 2026</t>
  </si>
  <si>
    <t>Apr 06, 2026</t>
  </si>
  <si>
    <t>Mar 30, 2026</t>
  </si>
  <si>
    <t>Mar 23, 2026</t>
  </si>
  <si>
    <t>Mar 16, 2026</t>
  </si>
  <si>
    <t>Mar 09, 2026</t>
  </si>
  <si>
    <t>Mar 02, 2026</t>
  </si>
  <si>
    <t>Feb 23, 2026</t>
  </si>
  <si>
    <t>Feb 16, 2026</t>
  </si>
  <si>
    <t>Feb 09, 2026</t>
  </si>
  <si>
    <t>Feb 02, 2026</t>
  </si>
  <si>
    <t>Jan 26, 2026</t>
  </si>
  <si>
    <t>Jan 19, 2026</t>
  </si>
  <si>
    <t>Jan 12, 2026</t>
  </si>
  <si>
    <t>Jan 05, 2026</t>
  </si>
  <si>
    <t>Dec 29, 2025</t>
  </si>
  <si>
    <t>Dec 22, 2025</t>
  </si>
  <si>
    <t>Dec 15, 2025</t>
  </si>
  <si>
    <t>Dec 08, 2025</t>
  </si>
  <si>
    <t>Dec 01, 2025</t>
  </si>
  <si>
    <t>Nov 24, 2025</t>
  </si>
  <si>
    <t>Nov 17, 2025</t>
  </si>
  <si>
    <t>Nov 10, 2025</t>
  </si>
  <si>
    <t>Nov 03, 2025</t>
  </si>
  <si>
    <t>Oct 27, 2025</t>
  </si>
  <si>
    <t>Oct 20, 2025</t>
  </si>
  <si>
    <t>Oct 13, 2025</t>
  </si>
  <si>
    <t>Oct 06, 2025</t>
  </si>
  <si>
    <t>Sep 29, 2025</t>
  </si>
  <si>
    <t>Sep 22, 2025</t>
  </si>
  <si>
    <t>Sep 15, 2025</t>
  </si>
  <si>
    <t>Sep 08, 2025</t>
  </si>
  <si>
    <t>Sep 01, 2025</t>
  </si>
  <si>
    <t>Aug 25, 2025</t>
  </si>
  <si>
    <t>Aug 18, 2025</t>
  </si>
  <si>
    <t>Aug 11, 2025</t>
  </si>
  <si>
    <t>Aug 04, 2025</t>
  </si>
  <si>
    <t>Jul 28, 2025</t>
  </si>
  <si>
    <t>Jul 21, 2025</t>
  </si>
  <si>
    <t>Jul 14, 2025</t>
  </si>
  <si>
    <t>Jul 07, 2025</t>
  </si>
  <si>
    <t>Jun 30, 2025</t>
  </si>
  <si>
    <t>Jun 23, 2025</t>
  </si>
  <si>
    <t>Jun 16, 2025</t>
  </si>
  <si>
    <t>Jun 09, 2025</t>
  </si>
  <si>
    <t>Jun 02, 2025</t>
  </si>
  <si>
    <t>May 26, 2025</t>
  </si>
  <si>
    <t>May 19, 2025</t>
  </si>
  <si>
    <t>May 12, 2025</t>
  </si>
  <si>
    <t>May 05, 2025</t>
  </si>
  <si>
    <t>Apr 28, 2025</t>
  </si>
  <si>
    <t>Apr 21, 2025</t>
  </si>
  <si>
    <t>Apr 14, 2025</t>
  </si>
  <si>
    <t>Apr 07, 2025</t>
  </si>
  <si>
    <t>Mar 31, 2025</t>
  </si>
  <si>
    <t>Mar 24, 2025</t>
  </si>
  <si>
    <t>Mar 17, 2025</t>
  </si>
  <si>
    <t>Mar 10, 2025</t>
  </si>
  <si>
    <t>Mar 03, 2025</t>
  </si>
  <si>
    <t>Feb 24, 2025</t>
  </si>
  <si>
    <t>Feb 17, 2025</t>
  </si>
  <si>
    <t>Feb 10, 2025</t>
  </si>
  <si>
    <t>Feb 03, 2025</t>
  </si>
  <si>
    <t>Jan 27, 2025</t>
  </si>
  <si>
    <t>Jan 20, 2025</t>
  </si>
  <si>
    <t>Jan 13, 2025</t>
  </si>
  <si>
    <t>Jan 06, 2025</t>
  </si>
  <si>
    <t>Dec 30, 2024</t>
  </si>
  <si>
    <t>Dec 23, 2024</t>
  </si>
  <si>
    <t>Dec 16, 2024</t>
  </si>
  <si>
    <t>Dec 09, 2024</t>
  </si>
  <si>
    <t>Dec 02, 2024</t>
  </si>
  <si>
    <t>Nov 25, 2024</t>
  </si>
  <si>
    <t>Nov 18, 2024</t>
  </si>
  <si>
    <t>Nov 11, 2024</t>
  </si>
  <si>
    <t>Nov 04, 2024</t>
  </si>
  <si>
    <t>Oct 28, 2024</t>
  </si>
  <si>
    <t>Oct 21, 2024</t>
  </si>
  <si>
    <t>Oct 14, 2024</t>
  </si>
  <si>
    <t>Oct 07, 2024</t>
  </si>
  <si>
    <t>Returns</t>
  </si>
  <si>
    <t xml:space="preserve">Beta Drifting </t>
  </si>
  <si>
    <t>Levered Raw Beta</t>
  </si>
  <si>
    <t>Raw Beta Weight</t>
  </si>
  <si>
    <t>Market Weight</t>
  </si>
  <si>
    <t xml:space="preserve">Market Beta Weight </t>
  </si>
  <si>
    <t xml:space="preserve">Adjusted Beta </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</si>
  <si>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</si>
  <si>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</si>
  <si>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</si>
  <si>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</si>
  <si>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</si>
  <si>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</si>
  <si>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</si>
  <si>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</si>
  <si>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</si>
  <si>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</si>
  <si>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</si>
  <si>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</si>
  <si>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</si>
  <si>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</si>
  <si>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</si>
  <si>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</si>
  <si>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</si>
  <si>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</si>
  <si>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</si>
  <si>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</si>
  <si>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</si>
  <si>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</si>
  <si>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</si>
  <si>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</si>
  <si>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 xml:space="preserve">Beta </t>
  </si>
  <si>
    <t>Weighted Average Cost of Capital</t>
  </si>
  <si>
    <t>Name of the Comp</t>
  </si>
  <si>
    <t>Total Debt</t>
  </si>
  <si>
    <t>Total Equity</t>
  </si>
  <si>
    <t>Tax Rate</t>
  </si>
  <si>
    <t>Risk Free Rate</t>
  </si>
  <si>
    <t>Beta</t>
  </si>
  <si>
    <t>Market Return</t>
  </si>
  <si>
    <t>Infosys</t>
  </si>
  <si>
    <t>Cost of Debt</t>
  </si>
  <si>
    <t>Pre-Tax Cost of Debt</t>
  </si>
  <si>
    <t>Post Tax Cost of Debt</t>
  </si>
  <si>
    <t>Cost of Equity</t>
  </si>
  <si>
    <t>Equity Risk Premium</t>
  </si>
  <si>
    <t xml:space="preserve">Levered Beta </t>
  </si>
  <si>
    <t>E / D +E</t>
  </si>
  <si>
    <t>D / D+E</t>
  </si>
  <si>
    <t>WACC</t>
  </si>
  <si>
    <t xml:space="preserve"> </t>
  </si>
  <si>
    <t>Discounted Cash Flow</t>
  </si>
  <si>
    <t>Growth rate</t>
  </si>
  <si>
    <t>EV/EBITDA Multiple</t>
  </si>
  <si>
    <t>Period</t>
  </si>
  <si>
    <t>Free Cash Flows</t>
  </si>
  <si>
    <t>D&amp;A</t>
  </si>
  <si>
    <t>CapEx</t>
  </si>
  <si>
    <t>Non-cash Work. Capital (inc) / dec</t>
  </si>
  <si>
    <t>FCF</t>
  </si>
  <si>
    <t>Terminal Value</t>
  </si>
  <si>
    <t>Perpertuity Growth TV</t>
  </si>
  <si>
    <t>EV/ EBITDA TV</t>
  </si>
  <si>
    <t>Equity Value</t>
  </si>
  <si>
    <t>Average</t>
  </si>
  <si>
    <t>Discounting Factor</t>
  </si>
  <si>
    <t>Mid Year Convention</t>
  </si>
  <si>
    <t>PV of FCF</t>
  </si>
  <si>
    <t>PV of TV</t>
  </si>
  <si>
    <t>Enterprise Value</t>
  </si>
  <si>
    <t>Enterprise Value to Equity Value</t>
  </si>
  <si>
    <t>Cash</t>
  </si>
  <si>
    <t>Marketable Securities</t>
  </si>
  <si>
    <t>Debt</t>
  </si>
  <si>
    <t>Shares Outstanding</t>
  </si>
  <si>
    <t>Implied Share Price</t>
  </si>
  <si>
    <t>Sensitivity Analysis</t>
  </si>
  <si>
    <t>Comparable Company Valuation</t>
  </si>
  <si>
    <t>Market Data</t>
  </si>
  <si>
    <t>Financials</t>
  </si>
  <si>
    <t>Valuation</t>
  </si>
  <si>
    <t>Company</t>
  </si>
  <si>
    <t>Share Price</t>
  </si>
  <si>
    <t>Net Debt</t>
  </si>
  <si>
    <t>Net Income</t>
  </si>
  <si>
    <t>EV/Revenue</t>
  </si>
  <si>
    <t>EV/EBITDA</t>
  </si>
  <si>
    <t>P/E</t>
  </si>
  <si>
    <t>TCS</t>
  </si>
  <si>
    <t>HCL Technologies</t>
  </si>
  <si>
    <t>Wipro</t>
  </si>
  <si>
    <t>Tech Mahindra</t>
  </si>
  <si>
    <t>LTM</t>
  </si>
  <si>
    <t>High</t>
  </si>
  <si>
    <t>75th Percentile</t>
  </si>
  <si>
    <t>25th Percentile</t>
  </si>
  <si>
    <t>Low</t>
  </si>
  <si>
    <t>Implied Enterprise Value</t>
  </si>
  <si>
    <t>Implied Market Value</t>
  </si>
  <si>
    <t>Implied Value per Share</t>
  </si>
  <si>
    <t>Infosys Comparable Valuation</t>
  </si>
  <si>
    <t>Comps</t>
  </si>
  <si>
    <t>52 W H/L</t>
  </si>
  <si>
    <t>OpenLow</t>
  </si>
  <si>
    <t>OpenHigh</t>
  </si>
  <si>
    <t>Football Field Analysis - Data</t>
  </si>
  <si>
    <t>DCF Bear</t>
  </si>
  <si>
    <t>DCF Base</t>
  </si>
  <si>
    <t>DCF Bull</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</si>
  <si>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</si>
  <si>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</si>
  <si>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</si>
  <si>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</si>
  <si>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</si>
  <si>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</si>
  <si>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</si>
  <si>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</si>
  <si>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</si>
  <si>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</si>
  <si>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</si>
  <si>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</si>
  <si>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</si>
  <si>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</si>
  <si>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</si>
  <si>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</si>
  <si>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</si>
  <si>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</si>
  <si>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</si>
  <si>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</si>
  <si>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</si>
  <si>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</si>
  <si>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</si>
  <si>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</si>
  <si>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</si>
  <si>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</si>
  <si>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</si>
  <si>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</si>
  <si>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</si>
  <si>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</si>
  <si>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</si>
  <si>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</si>
  <si>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</si>
  <si>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</si>
  <si>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</si>
  <si>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</si>
  <si>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</si>
  <si>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</si>
  <si>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</si>
  <si>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</si>
  <si>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</si>
  <si>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</si>
  <si>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</si>
  <si>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</si>
  <si>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</si>
  <si>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</si>
  <si>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</si>
  <si>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</si>
  <si>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</si>
  <si>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</si>
  <si>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</si>
  <si>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</si>
  <si>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</si>
  <si>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</si>
  <si>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</si>
  <si>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</si>
  <si>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</si>
  <si>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</si>
  <si>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</si>
  <si>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</si>
  <si>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</si>
  <si>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</si>
  <si>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</si>
  <si>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</si>
  <si>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</si>
  <si>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</si>
  <si>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</si>
  <si>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</si>
  <si>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</si>
  <si>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</si>
  <si>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</si>
  <si>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</si>
  <si>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</si>
  <si>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</si>
  <si>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</si>
  <si>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</si>
  <si>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</si>
  <si>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</si>
  <si>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</si>
  <si>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</si>
  <si>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</si>
  <si>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</si>
  <si>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</si>
  <si>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</si>
  <si>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 xml:space="preserve">Housing Finance </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</si>
  <si>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</si>
  <si>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</si>
  <si>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</si>
  <si>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</si>
  <si>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</si>
  <si>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</si>
  <si>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</si>
  <si>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</si>
  <si>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</si>
  <si>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</si>
  <si>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</si>
  <si>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</si>
  <si>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</si>
  <si>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</si>
  <si>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</si>
  <si>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</si>
  <si>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</si>
  <si>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</si>
  <si>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</si>
  <si>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</si>
  <si>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</si>
  <si>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</si>
  <si>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</si>
  <si>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</si>
  <si>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</si>
  <si>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</si>
  <si>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</si>
  <si>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</si>
  <si>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</si>
  <si>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</si>
  <si>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</si>
  <si>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</si>
  <si>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</si>
  <si>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</si>
  <si>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</si>
  <si>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</si>
  <si>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</si>
  <si>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</si>
  <si>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</si>
  <si>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</si>
  <si>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</si>
  <si>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</si>
  <si>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</si>
  <si>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</si>
  <si>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</si>
  <si>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</si>
  <si>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</si>
  <si>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</si>
  <si>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</si>
  <si>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</si>
  <si>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</si>
  <si>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</si>
  <si>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</si>
  <si>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</si>
  <si>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</si>
  <si>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</si>
  <si>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</si>
  <si>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</si>
  <si>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</si>
  <si>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</si>
  <si>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</si>
  <si>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</si>
  <si>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</si>
  <si>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</si>
  <si>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</si>
  <si>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</si>
  <si>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</si>
  <si>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</si>
  <si>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</si>
  <si>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</si>
  <si>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</si>
  <si>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</si>
  <si>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</si>
  <si>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</si>
  <si>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</si>
  <si>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</si>
  <si>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</si>
  <si>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</si>
  <si>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</si>
  <si>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</si>
  <si>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</si>
  <si>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</si>
  <si>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</si>
  <si>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</si>
  <si>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</si>
  <si>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</si>
  <si>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</si>
  <si>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</si>
  <si>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</si>
  <si>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</si>
  <si>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</si>
  <si>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</si>
  <si>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</si>
  <si>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</si>
  <si>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</si>
  <si>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</si>
  <si>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</si>
  <si>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</si>
  <si>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</si>
  <si>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</si>
  <si>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</si>
  <si>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</si>
  <si>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</si>
  <si>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</si>
  <si>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</si>
  <si>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</si>
  <si>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</si>
  <si>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</si>
  <si>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</si>
  <si>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</si>
  <si>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</si>
  <si>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</si>
  <si>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</si>
  <si>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</si>
  <si>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</si>
  <si>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</si>
  <si>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</si>
  <si>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</si>
  <si>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</si>
  <si>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</si>
  <si>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</si>
  <si>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</si>
  <si>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</si>
  <si>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</si>
  <si>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</si>
  <si>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</si>
  <si>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</si>
  <si>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</si>
  <si>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</si>
  <si>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</si>
  <si>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</si>
  <si>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</si>
  <si>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</si>
  <si>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</si>
  <si>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</si>
  <si>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</si>
  <si>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</si>
  <si>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</si>
  <si>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</si>
  <si>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</si>
  <si>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</si>
  <si>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</si>
  <si>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</si>
  <si>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</si>
  <si>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</si>
  <si>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</si>
  <si>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</si>
  <si>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</si>
  <si>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</si>
  <si>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</si>
  <si>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</si>
  <si>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</si>
  <si>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</si>
  <si>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</si>
  <si>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</si>
  <si>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</si>
  <si>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</si>
  <si>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</si>
  <si>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</si>
  <si>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</si>
  <si>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</si>
  <si>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</si>
  <si>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</si>
  <si>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</si>
  <si>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</si>
  <si>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</si>
  <si>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</si>
  <si>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</si>
  <si>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</si>
  <si>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</si>
  <si>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</si>
  <si>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</si>
  <si>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</si>
  <si>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</si>
  <si>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</si>
  <si>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</si>
  <si>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</si>
  <si>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</si>
  <si>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</si>
  <si>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</si>
  <si>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</si>
  <si>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</si>
  <si>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</si>
  <si>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</si>
  <si>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</si>
  <si>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</si>
  <si>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</si>
  <si>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</si>
  <si>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</si>
  <si>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</si>
  <si>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</si>
  <si>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</si>
  <si>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</si>
  <si>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</si>
  <si>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</si>
  <si>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</si>
  <si>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</si>
  <si>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</si>
  <si>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</si>
  <si>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</si>
  <si>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</si>
  <si>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</si>
  <si>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</si>
  <si>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</si>
  <si>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</si>
  <si>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</si>
  <si>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</si>
  <si>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</si>
  <si>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</si>
  <si>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</si>
  <si>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</si>
  <si>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</si>
  <si>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</si>
  <si>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</si>
  <si>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</si>
  <si>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</si>
  <si>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</si>
  <si>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</si>
  <si>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</si>
  <si>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</si>
  <si>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</si>
  <si>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</si>
  <si>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</si>
  <si>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</si>
  <si>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</si>
  <si>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</si>
  <si>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</si>
  <si>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</si>
  <si>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</si>
  <si>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</si>
  <si>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</si>
  <si>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</si>
  <si>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</si>
  <si>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</si>
  <si>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</si>
  <si>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</si>
  <si>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</si>
  <si>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</si>
  <si>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</si>
  <si>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</si>
  <si>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</si>
  <si>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</si>
  <si>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</si>
  <si>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</si>
  <si>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</si>
  <si>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</si>
  <si>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</si>
  <si>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</si>
  <si>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</si>
  <si>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</si>
  <si>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</si>
  <si>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</si>
  <si>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</si>
  <si>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</si>
  <si>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</si>
  <si>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</si>
  <si>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</si>
  <si>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</si>
  <si>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</si>
  <si>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</si>
  <si>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</si>
  <si>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</si>
  <si>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</si>
  <si>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</si>
  <si>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</si>
  <si>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</si>
  <si>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</si>
  <si>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</si>
  <si>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</si>
  <si>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</si>
  <si>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</si>
  <si>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</si>
  <si>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</si>
  <si>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</si>
  <si>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</si>
  <si>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</si>
  <si>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</si>
  <si>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</si>
  <si>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</si>
  <si>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</si>
  <si>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</si>
  <si>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</si>
  <si>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</si>
  <si>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</si>
  <si>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</si>
  <si>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</si>
  <si>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</si>
  <si>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</si>
  <si>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</si>
  <si>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</si>
  <si>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</si>
  <si>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</si>
  <si>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</si>
  <si>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</si>
  <si>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</si>
  <si>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</si>
  <si>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</si>
  <si>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</si>
  <si>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</si>
  <si>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</si>
  <si>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</si>
  <si>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</si>
  <si>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</si>
  <si>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</si>
  <si>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</si>
  <si>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</si>
  <si>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</si>
  <si>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</si>
  <si>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</si>
  <si>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</si>
  <si>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</si>
  <si>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</si>
  <si>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</si>
  <si>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</si>
  <si>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</si>
  <si>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</si>
  <si>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</si>
  <si>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</si>
  <si>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</si>
  <si>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</si>
  <si>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</si>
  <si>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</si>
  <si>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</si>
  <si>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</si>
  <si>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</si>
  <si>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</si>
  <si>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</si>
  <si>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</si>
  <si>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</si>
  <si>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</si>
  <si>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</si>
  <si>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</si>
  <si>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</si>
  <si>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</si>
  <si>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</si>
  <si>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</si>
  <si>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</si>
  <si>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</si>
  <si>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</si>
  <si>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</si>
  <si>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</si>
  <si>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</si>
  <si>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</si>
  <si>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</si>
  <si>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</si>
  <si>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</si>
  <si>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</si>
  <si>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</si>
  <si>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</si>
  <si>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</si>
  <si>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</si>
  <si>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</si>
  <si>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</si>
  <si>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</si>
  <si>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</si>
  <si>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</si>
  <si>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</si>
  <si>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</si>
  <si>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</si>
  <si>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</si>
  <si>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</si>
  <si>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</si>
  <si>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</si>
  <si>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</si>
  <si>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</si>
  <si>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</si>
  <si>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</si>
  <si>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</si>
  <si>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</si>
  <si>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</si>
  <si>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</si>
  <si>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</si>
  <si>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</si>
  <si>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</si>
  <si>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</si>
  <si>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</si>
  <si>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</si>
  <si>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</si>
  <si>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</si>
  <si>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</si>
  <si>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</si>
  <si>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</si>
  <si>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</si>
  <si>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</si>
  <si>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</si>
  <si>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</si>
  <si>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</si>
  <si>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</si>
  <si>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</si>
  <si>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</si>
  <si>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</si>
  <si>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</si>
  <si>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</si>
  <si>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</si>
  <si>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</si>
  <si>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</si>
  <si>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</si>
  <si>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</si>
  <si>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</si>
  <si>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</si>
  <si>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</si>
  <si>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</si>
  <si>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</si>
  <si>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</si>
  <si>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</si>
  <si>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</si>
  <si>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</si>
  <si>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</si>
  <si>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</si>
  <si>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</si>
  <si>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</si>
  <si>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</si>
  <si>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</si>
  <si>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</si>
  <si>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</si>
  <si>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</si>
  <si>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</si>
  <si>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</si>
  <si>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</si>
  <si>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</si>
  <si>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</si>
  <si>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</si>
  <si>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</si>
  <si>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</si>
  <si>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</si>
  <si>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</si>
  <si>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</si>
  <si>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</si>
  <si>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</si>
  <si>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</si>
  <si>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</si>
  <si>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</si>
  <si>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</si>
  <si>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</si>
  <si>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</si>
  <si>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</si>
  <si>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</si>
  <si>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</si>
  <si>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</si>
  <si>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 xml:space="preserve">Gift Articles-Toys &amp; Cards </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</si>
  <si>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</si>
  <si>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</si>
  <si>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</si>
  <si>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</si>
  <si>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</si>
  <si>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</si>
  <si>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</si>
  <si>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</si>
  <si>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</si>
  <si>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</si>
  <si>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</si>
  <si>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</si>
  <si>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</si>
  <si>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</si>
  <si>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</si>
  <si>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</si>
  <si>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</si>
  <si>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</si>
  <si>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</si>
  <si>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</si>
  <si>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</si>
  <si>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</si>
  <si>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</si>
  <si>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</si>
  <si>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</si>
  <si>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</si>
  <si>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</si>
  <si>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</si>
  <si>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</si>
  <si>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</si>
  <si>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</si>
  <si>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</si>
  <si>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</si>
  <si>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</si>
  <si>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</si>
  <si>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</si>
  <si>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</si>
  <si>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</si>
  <si>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</si>
  <si>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</si>
  <si>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</si>
  <si>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</si>
  <si>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</si>
  <si>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</si>
  <si>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</si>
  <si>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</si>
  <si>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</si>
  <si>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</si>
  <si>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</si>
  <si>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</si>
  <si>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</si>
  <si>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</si>
  <si>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</si>
  <si>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</si>
  <si>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</si>
  <si>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</si>
  <si>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</si>
  <si>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</si>
  <si>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</si>
  <si>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</si>
  <si>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</si>
  <si>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</si>
  <si>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</si>
  <si>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</si>
  <si>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</si>
  <si>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</si>
  <si>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</si>
  <si>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</si>
  <si>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</si>
  <si>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</si>
  <si>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</si>
  <si>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</si>
  <si>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</si>
  <si>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</si>
  <si>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</si>
  <si>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</si>
  <si>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</si>
  <si>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</si>
  <si>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</si>
  <si>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</si>
  <si>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</si>
  <si>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</si>
  <si>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</si>
  <si>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</si>
  <si>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</si>
  <si>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</si>
  <si>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</si>
  <si>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</si>
  <si>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</si>
  <si>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</si>
  <si>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</si>
  <si>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</si>
  <si>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</si>
  <si>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</si>
  <si>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</si>
  <si>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</si>
  <si>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</si>
  <si>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</si>
  <si>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</si>
  <si>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</si>
  <si>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</si>
  <si>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</si>
  <si>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</si>
  <si>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</si>
  <si>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</si>
  <si>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</si>
  <si>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</si>
  <si>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</si>
  <si>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</si>
  <si>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</si>
  <si>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</si>
  <si>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</si>
  <si>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</si>
  <si>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</si>
  <si>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</si>
  <si>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</si>
  <si>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</si>
  <si>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</si>
  <si>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</si>
  <si>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</si>
  <si>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</si>
  <si>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</si>
  <si>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</si>
  <si>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</si>
  <si>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</si>
  <si>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</si>
  <si>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</si>
  <si>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</si>
  <si>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</si>
  <si>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</si>
  <si>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</si>
  <si>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</si>
  <si>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</si>
  <si>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</si>
  <si>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</si>
  <si>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</si>
  <si>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</si>
  <si>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</si>
  <si>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</si>
  <si>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</si>
  <si>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</si>
  <si>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</si>
  <si>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</si>
  <si>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</si>
  <si>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</si>
  <si>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</si>
  <si>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</si>
  <si>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</si>
  <si>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</si>
  <si>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</si>
  <si>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</si>
  <si>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</si>
  <si>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</si>
  <si>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</si>
  <si>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</si>
  <si>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</si>
  <si>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</si>
  <si>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</si>
  <si>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</si>
  <si>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</si>
  <si>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</si>
  <si>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</si>
  <si>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</si>
  <si>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</si>
  <si>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</si>
  <si>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</si>
  <si>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</si>
  <si>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</si>
  <si>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</si>
  <si>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</si>
  <si>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</si>
  <si>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</si>
  <si>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</si>
  <si>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</si>
  <si>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</si>
  <si>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</si>
  <si>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</si>
  <si>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</si>
  <si>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</si>
  <si>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</si>
  <si>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</si>
  <si>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</si>
  <si>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</si>
  <si>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</si>
  <si>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</si>
  <si>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</si>
  <si>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</si>
  <si>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</si>
  <si>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</si>
  <si>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</si>
  <si>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</si>
  <si>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</si>
  <si>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</si>
  <si>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</si>
  <si>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</si>
  <si>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</si>
  <si>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</si>
  <si>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</si>
  <si>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</si>
  <si>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</si>
  <si>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</si>
  <si>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</si>
  <si>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</si>
  <si>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</si>
  <si>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</si>
  <si>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</si>
  <si>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</si>
  <si>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</si>
  <si>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</si>
  <si>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</si>
  <si>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</si>
  <si>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</si>
  <si>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</si>
  <si>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</si>
  <si>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</si>
  <si>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</si>
  <si>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</si>
  <si>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</si>
  <si>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</si>
  <si>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</si>
  <si>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</si>
  <si>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</si>
  <si>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</si>
  <si>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</si>
  <si>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</si>
  <si>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</si>
  <si>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</si>
  <si>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</si>
  <si>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</si>
  <si>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</si>
  <si>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</si>
  <si>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</si>
  <si>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</si>
  <si>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</si>
  <si>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</si>
  <si>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</si>
  <si>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</si>
  <si>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</si>
  <si>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</si>
  <si>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</si>
  <si>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</si>
  <si>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</si>
  <si>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</si>
  <si>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</si>
  <si>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</si>
  <si>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</si>
  <si>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</si>
  <si>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</si>
  <si>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</si>
  <si>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</si>
  <si>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</si>
  <si>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</si>
  <si>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</si>
  <si>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</si>
  <si>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</si>
  <si>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</si>
  <si>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</si>
  <si>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</si>
  <si>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</si>
  <si>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</si>
  <si>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</si>
  <si>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</si>
  <si>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</si>
  <si>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</si>
  <si>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</si>
  <si>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</si>
  <si>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</si>
  <si>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</si>
  <si>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</si>
  <si>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</si>
  <si>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</si>
  <si>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</si>
  <si>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</si>
  <si>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</si>
  <si>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</si>
  <si>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</si>
  <si>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</si>
  <si>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</si>
  <si>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</si>
  <si>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</si>
  <si>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</si>
  <si>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</si>
  <si>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</si>
  <si>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</si>
  <si>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</si>
  <si>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</si>
  <si>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</si>
  <si>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</si>
  <si>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</si>
  <si>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</si>
  <si>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</si>
  <si>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</si>
  <si>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</si>
  <si>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</si>
  <si>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</si>
  <si>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</si>
  <si>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</si>
  <si>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</si>
  <si>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</si>
  <si>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</si>
  <si>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</si>
  <si>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</si>
  <si>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</si>
  <si>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</si>
  <si>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</si>
  <si>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</si>
  <si>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</si>
  <si>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</si>
  <si>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</si>
  <si>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</si>
  <si>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</si>
  <si>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</si>
  <si>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</si>
  <si>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</si>
  <si>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</si>
  <si>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</si>
  <si>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</si>
  <si>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</si>
  <si>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</si>
  <si>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</si>
  <si>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</si>
  <si>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</si>
  <si>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</si>
  <si>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</si>
  <si>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</si>
  <si>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</si>
  <si>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</si>
  <si>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</si>
  <si>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</si>
  <si>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</si>
  <si>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</si>
  <si>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</si>
  <si>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</si>
  <si>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</si>
  <si>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</si>
  <si>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</si>
  <si>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</si>
  <si>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</si>
  <si>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</si>
  <si>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</si>
  <si>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</si>
  <si>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</si>
  <si>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</si>
  <si>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</si>
  <si>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</si>
  <si>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</si>
  <si>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</si>
  <si>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</si>
  <si>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</si>
  <si>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</si>
  <si>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</si>
  <si>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</si>
  <si>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</si>
  <si>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</si>
  <si>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</si>
  <si>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</si>
  <si>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</si>
  <si>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</si>
  <si>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</si>
  <si>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</si>
  <si>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</si>
  <si>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</si>
  <si>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</si>
  <si>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</si>
  <si>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</si>
  <si>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</si>
  <si>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</si>
  <si>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</si>
  <si>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</si>
  <si>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</si>
  <si>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</si>
  <si>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</si>
  <si>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</si>
  <si>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</si>
  <si>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</si>
  <si>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</si>
  <si>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</si>
  <si>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</si>
  <si>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</si>
  <si>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</si>
  <si>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</si>
  <si>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</si>
  <si>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</si>
  <si>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</si>
  <si>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</si>
  <si>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</si>
  <si>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</si>
  <si>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</si>
  <si>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</si>
  <si>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</si>
  <si>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</si>
  <si>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</si>
  <si>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</si>
  <si>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</si>
  <si>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</si>
  <si>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</si>
  <si>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</si>
  <si>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</si>
  <si>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</si>
  <si>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</si>
  <si>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</si>
  <si>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</si>
  <si>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</si>
  <si>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</si>
  <si>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</si>
  <si>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</si>
  <si>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</si>
  <si>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</si>
  <si>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</si>
  <si>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</si>
  <si>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</si>
  <si>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</si>
  <si>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</si>
  <si>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</si>
  <si>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</si>
  <si>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</si>
  <si>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</si>
  <si>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</si>
  <si>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</si>
  <si>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</si>
  <si>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</si>
  <si>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</si>
  <si>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</si>
  <si>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</si>
  <si>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</si>
  <si>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</si>
  <si>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</si>
  <si>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</si>
  <si>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</si>
  <si>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</si>
  <si>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</si>
  <si>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</si>
  <si>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</si>
  <si>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</si>
  <si>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</si>
  <si>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</si>
  <si>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</si>
  <si>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</si>
  <si>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</si>
  <si>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</si>
  <si>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</si>
  <si>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</si>
  <si>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</si>
  <si>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</si>
  <si>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</si>
  <si>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</si>
  <si>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</si>
  <si>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</si>
  <si>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</si>
  <si>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</si>
  <si>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</si>
  <si>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</si>
  <si>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</si>
  <si>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</si>
  <si>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</si>
  <si>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</si>
  <si>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</si>
  <si>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</si>
  <si>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</si>
  <si>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</si>
  <si>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</si>
  <si>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</si>
  <si>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</si>
  <si>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</si>
  <si>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</si>
  <si>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</si>
  <si>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</si>
  <si>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</si>
  <si>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</si>
  <si>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</si>
  <si>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</si>
  <si>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</si>
  <si>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</si>
  <si>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</si>
  <si>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</si>
  <si>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</si>
  <si>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</si>
  <si>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</si>
  <si>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</si>
  <si>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</si>
  <si>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</si>
  <si>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</si>
  <si>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</si>
  <si>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</si>
  <si>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</si>
  <si>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</si>
  <si>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</si>
  <si>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</si>
  <si>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</si>
  <si>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</si>
  <si>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</si>
  <si>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</si>
  <si>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</si>
  <si>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</si>
  <si>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</si>
  <si>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</si>
  <si>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</si>
  <si>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</si>
  <si>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</si>
  <si>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</si>
  <si>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</si>
  <si>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</si>
  <si>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</si>
  <si>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</si>
  <si>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</si>
  <si>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</si>
  <si>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</si>
  <si>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</si>
  <si>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</si>
  <si>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</si>
  <si>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</si>
  <si>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</si>
  <si>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</si>
  <si>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</si>
  <si>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</si>
  <si>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</si>
  <si>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</si>
  <si>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</si>
  <si>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</si>
  <si>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</si>
  <si>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</si>
  <si>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</si>
  <si>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</si>
  <si>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</si>
  <si>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</si>
  <si>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</si>
  <si>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</si>
  <si>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</si>
  <si>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</si>
  <si>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</si>
  <si>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</si>
  <si>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</si>
  <si>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</si>
  <si>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</si>
  <si>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</si>
  <si>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</si>
  <si>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</si>
  <si>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</si>
  <si>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</si>
  <si>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</si>
  <si>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</si>
  <si>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</si>
  <si>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</si>
  <si>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</si>
  <si>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</si>
  <si>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</si>
  <si>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</si>
  <si>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</si>
  <si>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</si>
  <si>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</si>
  <si>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</si>
  <si>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</si>
  <si>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</si>
  <si>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</si>
  <si>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</si>
  <si>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</si>
  <si>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</si>
  <si>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</si>
  <si>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</si>
  <si>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</si>
  <si>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</si>
  <si>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</si>
  <si>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</si>
  <si>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</si>
  <si>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</si>
  <si>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</si>
  <si>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</si>
  <si>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</si>
  <si>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</si>
  <si>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</si>
  <si>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</si>
  <si>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</si>
  <si>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</si>
  <si>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</si>
  <si>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</si>
  <si>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</si>
  <si>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</si>
  <si>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</si>
  <si>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</si>
  <si>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</si>
  <si>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</si>
  <si>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</si>
  <si>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</si>
  <si>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</si>
  <si>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</si>
  <si>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</si>
  <si>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</si>
  <si>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</si>
  <si>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</si>
  <si>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</si>
  <si>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</si>
  <si>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</si>
  <si>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</si>
  <si>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</si>
  <si>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</si>
  <si>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</si>
  <si>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</si>
  <si>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</si>
  <si>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</si>
  <si>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</si>
  <si>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</si>
  <si>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</si>
  <si>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</si>
  <si>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</si>
  <si>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</si>
  <si>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</si>
  <si>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</si>
  <si>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</si>
  <si>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</si>
  <si>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</si>
  <si>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</si>
  <si>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</si>
  <si>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</si>
  <si>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</si>
  <si>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</si>
  <si>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</si>
  <si>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</si>
  <si>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</si>
  <si>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</si>
  <si>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</si>
  <si>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</si>
  <si>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</si>
  <si>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</si>
  <si>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</si>
  <si>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</si>
  <si>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</si>
  <si>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</si>
  <si>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</si>
  <si>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</si>
  <si>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</si>
  <si>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</si>
  <si>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</si>
  <si>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</si>
  <si>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</si>
  <si>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</si>
  <si>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</si>
  <si>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</si>
  <si>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</si>
  <si>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</si>
  <si>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</si>
  <si>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</si>
  <si>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</si>
  <si>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</si>
  <si>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</si>
  <si>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</si>
  <si>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</si>
  <si>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</si>
  <si>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</si>
  <si>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</si>
  <si>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</si>
  <si>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</si>
  <si>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</si>
  <si>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</si>
  <si>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</si>
  <si>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</si>
  <si>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</si>
  <si>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</si>
  <si>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</si>
  <si>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</si>
  <si>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</si>
  <si>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</si>
  <si>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</si>
  <si>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</si>
  <si>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</si>
  <si>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</si>
  <si>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</si>
  <si>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</si>
  <si>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</si>
  <si>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</si>
  <si>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</si>
  <si>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</si>
  <si>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</si>
  <si>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</si>
  <si>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</si>
  <si>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</si>
  <si>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</si>
  <si>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</si>
  <si>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</si>
  <si>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</si>
  <si>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</si>
  <si>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</si>
  <si>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</si>
  <si>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</si>
  <si>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</si>
  <si>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</si>
  <si>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</si>
  <si>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</si>
  <si>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</si>
  <si>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</si>
  <si>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</si>
  <si>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</si>
  <si>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</si>
  <si>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</si>
  <si>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</si>
  <si>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</si>
  <si>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</si>
  <si>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</si>
  <si>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</si>
  <si>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</si>
  <si>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</si>
  <si>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</si>
  <si>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</si>
  <si>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</si>
  <si>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</si>
  <si>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</si>
  <si>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</si>
  <si>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</si>
  <si>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</si>
  <si>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</si>
  <si>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</si>
  <si>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</si>
  <si>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</si>
  <si>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</si>
  <si>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</si>
  <si>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</si>
  <si>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</si>
  <si>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</si>
  <si>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</si>
  <si>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</si>
  <si>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</si>
  <si>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</si>
  <si>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</si>
  <si>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</si>
  <si>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</si>
  <si>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</si>
  <si>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</si>
  <si>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</si>
  <si>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</si>
  <si>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</si>
  <si>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</si>
  <si>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</si>
  <si>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</si>
  <si>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</si>
  <si>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</si>
  <si>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</si>
  <si>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</si>
  <si>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</si>
  <si>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</si>
  <si>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</si>
  <si>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</si>
  <si>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</si>
  <si>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</si>
  <si>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</si>
  <si>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</si>
  <si>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</si>
  <si>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</si>
  <si>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</si>
  <si>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</si>
  <si>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</si>
  <si>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</si>
  <si>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</si>
  <si>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</si>
  <si>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</si>
  <si>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</si>
  <si>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</si>
  <si>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</si>
  <si>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</si>
  <si>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</si>
  <si>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</si>
  <si>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</si>
  <si>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</si>
  <si>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</si>
  <si>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</si>
  <si>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</si>
  <si>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</si>
  <si>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</si>
  <si>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</si>
  <si>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</si>
  <si>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</si>
  <si>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</si>
  <si>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</si>
  <si>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</si>
  <si>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</si>
  <si>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</si>
  <si>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</si>
  <si>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</si>
  <si>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</si>
  <si>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</si>
  <si>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</si>
  <si>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</si>
  <si>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</si>
  <si>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</si>
  <si>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</si>
  <si>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</si>
  <si>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</si>
  <si>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</si>
  <si>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</si>
  <si>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</si>
  <si>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</si>
  <si>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</si>
  <si>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</si>
  <si>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</si>
  <si>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</si>
  <si>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</si>
  <si>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</si>
  <si>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</si>
  <si>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</si>
  <si>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</si>
  <si>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</si>
  <si>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</si>
  <si>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</si>
  <si>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</si>
  <si>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</si>
  <si>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</si>
  <si>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</si>
  <si>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</si>
  <si>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</si>
  <si>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</si>
  <si>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</si>
  <si>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</si>
  <si>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</si>
  <si>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</si>
  <si>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</si>
  <si>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</si>
  <si>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</si>
  <si>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</si>
  <si>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</si>
  <si>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</si>
  <si>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</si>
  <si>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</si>
  <si>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</si>
  <si>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</si>
  <si>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</si>
  <si>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</si>
  <si>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</si>
  <si>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</si>
  <si>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</si>
  <si>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</si>
  <si>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</si>
  <si>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</si>
  <si>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</si>
  <si>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</si>
  <si>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</si>
  <si>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</si>
  <si>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</si>
  <si>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</si>
  <si>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</si>
  <si>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</si>
  <si>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</si>
  <si>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</si>
  <si>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</si>
  <si>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</si>
  <si>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</si>
  <si>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</si>
  <si>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</si>
  <si>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</si>
  <si>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</si>
  <si>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</si>
  <si>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</si>
  <si>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</si>
  <si>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</si>
  <si>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</si>
  <si>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</si>
  <si>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</si>
  <si>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</si>
  <si>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</si>
  <si>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</si>
  <si>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</si>
  <si>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</si>
  <si>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</si>
  <si>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</si>
  <si>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</si>
  <si>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</si>
  <si>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</si>
  <si>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</si>
  <si>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</si>
  <si>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</si>
  <si>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</si>
  <si>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</si>
  <si>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</si>
  <si>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</si>
  <si>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</si>
  <si>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</si>
  <si>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</si>
  <si>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</si>
  <si>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</si>
  <si>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</si>
  <si>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</si>
  <si>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</si>
  <si>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</si>
  <si>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</si>
  <si>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</si>
  <si>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</si>
  <si>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</si>
  <si>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</si>
  <si>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</si>
  <si>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</si>
  <si>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</si>
  <si>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</si>
  <si>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</si>
  <si>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</si>
  <si>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</si>
  <si>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</si>
  <si>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</si>
  <si>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</si>
  <si>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</si>
  <si>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</si>
  <si>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</si>
  <si>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</si>
  <si>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</si>
  <si>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</si>
  <si>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</si>
  <si>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</si>
  <si>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</si>
  <si>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</si>
  <si>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</si>
  <si>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</si>
  <si>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</si>
  <si>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</si>
  <si>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</si>
  <si>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</si>
  <si>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</si>
  <si>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</si>
  <si>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</si>
  <si>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</si>
  <si>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</si>
  <si>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</si>
  <si>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</si>
  <si>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</si>
  <si>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</si>
  <si>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</si>
  <si>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</si>
  <si>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</si>
  <si>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</si>
  <si>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</si>
  <si>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</si>
  <si>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</si>
  <si>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</si>
  <si>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</si>
  <si>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</si>
  <si>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</si>
  <si>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</si>
  <si>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</si>
  <si>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</si>
  <si>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</si>
  <si>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</si>
  <si>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</si>
  <si>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</si>
  <si>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</si>
  <si>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</si>
  <si>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</si>
  <si>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</si>
  <si>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</si>
  <si>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</si>
  <si>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</si>
  <si>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</si>
  <si>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</si>
  <si>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</si>
  <si>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</si>
  <si>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</si>
  <si>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</si>
  <si>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</si>
  <si>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</si>
  <si>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</si>
  <si>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</si>
  <si>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</si>
  <si>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</si>
  <si>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</si>
  <si>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</si>
  <si>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</si>
  <si>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</si>
  <si>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</si>
  <si>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</si>
  <si>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</si>
  <si>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</si>
  <si>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</si>
  <si>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</si>
  <si>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</si>
  <si>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</si>
  <si>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</si>
  <si>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</si>
  <si>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</si>
  <si>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</si>
  <si>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</si>
  <si>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</si>
  <si>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</si>
  <si>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</si>
  <si>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</si>
  <si>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</si>
  <si>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</si>
  <si>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</si>
  <si>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</si>
  <si>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</si>
  <si>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</si>
  <si>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</si>
  <si>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</si>
  <si>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</si>
  <si>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</si>
  <si>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</si>
  <si>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</si>
  <si>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</si>
  <si>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</si>
  <si>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</si>
  <si>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</si>
  <si>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</si>
  <si>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</si>
  <si>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</si>
  <si>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</si>
  <si>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</si>
  <si>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</si>
  <si>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</si>
  <si>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</si>
  <si>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</si>
  <si>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</si>
  <si>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</si>
  <si>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</si>
  <si>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</si>
  <si>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</si>
  <si>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</si>
  <si>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</si>
  <si>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</si>
  <si>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</si>
  <si>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</si>
  <si>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</si>
  <si>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</si>
  <si>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</si>
  <si>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</si>
  <si>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</si>
  <si>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</si>
  <si>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</si>
  <si>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</si>
  <si>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</si>
  <si>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</si>
  <si>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</si>
  <si>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</si>
  <si>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</si>
  <si>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</si>
  <si>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</si>
  <si>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</si>
  <si>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</si>
  <si>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</si>
  <si>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</si>
  <si>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</si>
  <si>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</si>
  <si>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</si>
  <si>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</si>
  <si>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</si>
  <si>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</si>
  <si>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</si>
  <si>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</si>
  <si>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</si>
  <si>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</si>
  <si>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</si>
  <si>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</si>
  <si>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</si>
  <si>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</si>
  <si>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</si>
  <si>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</si>
  <si>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</si>
  <si>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</si>
  <si>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</si>
  <si>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</si>
  <si>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</si>
  <si>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</si>
  <si>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</si>
  <si>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</si>
  <si>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</si>
  <si>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</si>
  <si>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</si>
  <si>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</si>
  <si>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</si>
  <si>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</si>
  <si>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</si>
  <si>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</si>
  <si>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</si>
  <si>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</si>
  <si>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</si>
  <si>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</si>
  <si>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</si>
  <si>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</si>
  <si>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</si>
  <si>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</si>
  <si>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</si>
  <si>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</si>
  <si>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</si>
  <si>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</si>
  <si>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</si>
  <si>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</si>
  <si>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</si>
  <si>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</si>
  <si>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</si>
  <si>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</si>
  <si>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</si>
  <si>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</si>
  <si>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</si>
  <si>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</si>
  <si>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</si>
  <si>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</si>
  <si>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</si>
  <si>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</si>
  <si>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</si>
  <si>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</si>
  <si>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</si>
  <si>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</si>
  <si>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</si>
  <si>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</si>
  <si>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</si>
  <si>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</si>
  <si>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</si>
  <si>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</si>
  <si>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</si>
  <si>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</si>
  <si>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</si>
  <si>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</si>
  <si>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</si>
  <si>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</si>
  <si>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</si>
  <si>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</si>
  <si>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</si>
  <si>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</si>
  <si>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</si>
  <si>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</si>
  <si>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</si>
  <si>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</si>
  <si>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</si>
  <si>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</si>
  <si>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</si>
  <si>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</si>
  <si>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</si>
  <si>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</si>
  <si>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</si>
  <si>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</si>
  <si>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</si>
  <si>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</si>
  <si>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</si>
  <si>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</si>
  <si>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</si>
  <si>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</si>
  <si>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</si>
  <si>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</si>
  <si>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</si>
  <si>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</si>
  <si>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</si>
  <si>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</si>
  <si>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</si>
  <si>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</si>
  <si>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</si>
  <si>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</si>
  <si>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</si>
  <si>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</si>
  <si>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</si>
  <si>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</si>
  <si>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</si>
  <si>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</si>
  <si>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</si>
  <si>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</si>
  <si>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</si>
  <si>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</si>
  <si>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</si>
  <si>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</si>
  <si>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</si>
  <si>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</si>
  <si>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</si>
  <si>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</si>
  <si>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</si>
  <si>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</si>
  <si>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</si>
  <si>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</si>
  <si>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</si>
  <si>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</si>
  <si>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</si>
  <si>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</si>
  <si>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</si>
  <si>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</si>
  <si>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</si>
  <si>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</si>
  <si>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</si>
  <si>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</si>
  <si>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</si>
  <si>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</si>
  <si>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</si>
  <si>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</si>
  <si>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</si>
  <si>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</si>
  <si>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</si>
  <si>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</si>
  <si>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</si>
  <si>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</si>
  <si>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</si>
  <si>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</si>
  <si>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</si>
  <si>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</si>
  <si>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</si>
  <si>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</si>
  <si>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</si>
  <si>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</si>
  <si>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</si>
  <si>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</si>
  <si>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</si>
  <si>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</si>
  <si>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</si>
  <si>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</si>
  <si>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</si>
  <si>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</si>
  <si>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</si>
  <si>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</si>
  <si>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</si>
  <si>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</si>
  <si>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</si>
  <si>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</si>
  <si>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</si>
  <si>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</si>
  <si>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</si>
  <si>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</si>
  <si>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</si>
  <si>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</si>
  <si>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</si>
  <si>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</si>
  <si>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</si>
  <si>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</si>
  <si>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</si>
  <si>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</si>
  <si>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</si>
  <si>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</si>
  <si>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</si>
  <si>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</si>
  <si>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</si>
  <si>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</si>
  <si>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</si>
  <si>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</si>
  <si>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</si>
  <si>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</si>
  <si>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</si>
  <si>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</si>
  <si>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</si>
  <si>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</si>
  <si>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</si>
  <si>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</si>
  <si>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</si>
  <si>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</si>
  <si>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</si>
  <si>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</si>
  <si>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</si>
  <si>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</si>
  <si>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</si>
  <si>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</si>
  <si>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</si>
  <si>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</si>
  <si>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</si>
  <si>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</si>
  <si>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</si>
  <si>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</si>
  <si>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</si>
  <si>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</si>
  <si>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</si>
  <si>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</si>
  <si>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</si>
  <si>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</si>
  <si>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</si>
  <si>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</si>
  <si>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</si>
  <si>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</si>
  <si>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</si>
  <si>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</si>
  <si>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</si>
  <si>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</si>
  <si>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</si>
  <si>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</si>
  <si>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</si>
  <si>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</si>
  <si>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</si>
  <si>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</si>
  <si>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</si>
  <si>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</si>
  <si>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</si>
  <si>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</si>
  <si>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</si>
  <si>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</si>
  <si>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</si>
  <si>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</si>
  <si>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</si>
  <si>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</si>
  <si>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</si>
  <si>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</si>
  <si>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</si>
  <si>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</si>
  <si>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</si>
  <si>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</si>
  <si>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</si>
  <si>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</si>
  <si>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</si>
  <si>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</si>
  <si>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</si>
  <si>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</si>
  <si>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</si>
  <si>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</si>
  <si>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</si>
  <si>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</si>
  <si>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</si>
  <si>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</si>
  <si>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</si>
  <si>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</si>
  <si>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</si>
  <si>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</si>
  <si>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</si>
  <si>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</si>
  <si>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</si>
  <si>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</si>
  <si>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</si>
  <si>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</si>
  <si>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</si>
  <si>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</si>
  <si>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</si>
  <si>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</si>
  <si>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</si>
  <si>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</si>
  <si>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</si>
  <si>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</si>
  <si>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</si>
  <si>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</si>
  <si>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</si>
  <si>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</si>
  <si>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</si>
  <si>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</si>
  <si>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</si>
  <si>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</si>
  <si>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</si>
  <si>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</si>
  <si>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</si>
  <si>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</si>
  <si>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</si>
  <si>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</si>
  <si>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</si>
  <si>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</si>
  <si>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</si>
  <si>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</si>
  <si>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</si>
  <si>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</si>
  <si>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</si>
  <si>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</si>
  <si>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</si>
  <si>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</si>
  <si>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</si>
  <si>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</si>
  <si>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</si>
  <si>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</si>
  <si>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</si>
  <si>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</si>
  <si>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</si>
  <si>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</si>
  <si>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</si>
  <si>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</si>
  <si>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</si>
  <si>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</si>
  <si>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</si>
  <si>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</si>
  <si>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</si>
  <si>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</si>
  <si>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</si>
  <si>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</si>
  <si>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</si>
  <si>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</si>
  <si>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</si>
  <si>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</si>
  <si>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</si>
  <si>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</si>
  <si>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</si>
  <si>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</si>
  <si>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</si>
  <si>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</si>
  <si>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</si>
  <si>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</si>
  <si>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</si>
  <si>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</si>
  <si>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</si>
  <si>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</si>
  <si>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</si>
  <si>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</si>
  <si>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</si>
  <si>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</si>
  <si>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</si>
  <si>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</si>
  <si>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</si>
  <si>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</si>
  <si>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</si>
  <si>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</si>
  <si>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</si>
  <si>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</si>
  <si>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</si>
  <si>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</si>
  <si>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</si>
  <si>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</si>
  <si>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</si>
  <si>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</si>
  <si>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</si>
  <si>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</si>
  <si>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</si>
  <si>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</si>
  <si>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</si>
  <si>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</si>
  <si>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</si>
  <si>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</si>
  <si>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</si>
  <si>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</si>
  <si>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</si>
  <si>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</si>
  <si>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</si>
  <si>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</si>
  <si>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</si>
  <si>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</si>
  <si>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</si>
  <si>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</si>
  <si>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</si>
  <si>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</si>
  <si>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</si>
  <si>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</si>
  <si>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</si>
  <si>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</si>
  <si>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</si>
  <si>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</si>
  <si>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</si>
  <si>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</si>
  <si>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</si>
  <si>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</si>
  <si>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</si>
  <si>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</si>
  <si>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</si>
  <si>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</si>
  <si>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</si>
  <si>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</si>
  <si>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</si>
  <si>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</si>
  <si>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</si>
  <si>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</si>
  <si>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</si>
  <si>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</si>
  <si>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</si>
  <si>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</si>
  <si>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</si>
  <si>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</si>
  <si>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</si>
  <si>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</si>
  <si>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</si>
  <si>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</si>
  <si>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</si>
  <si>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</si>
  <si>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</si>
  <si>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</si>
  <si>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</si>
  <si>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</si>
  <si>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</si>
  <si>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</si>
  <si>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</si>
  <si>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</si>
  <si>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</si>
  <si>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</si>
  <si>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</si>
  <si>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</si>
  <si>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</si>
  <si>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</si>
  <si>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</si>
  <si>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</si>
  <si>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</si>
  <si>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</si>
  <si>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</si>
  <si>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</si>
  <si>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</si>
  <si>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</si>
  <si>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</si>
  <si>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</si>
  <si>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</si>
  <si>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</si>
  <si>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</si>
  <si>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</si>
  <si>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</si>
  <si>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</si>
  <si>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</si>
  <si>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</si>
  <si>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</si>
  <si>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</si>
  <si>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</si>
  <si>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</si>
  <si>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</si>
  <si>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</si>
  <si>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</si>
  <si>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</si>
  <si>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</si>
  <si>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</si>
  <si>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</si>
  <si>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</si>
  <si>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</si>
  <si>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</si>
  <si>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</si>
  <si>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</si>
  <si>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</si>
  <si>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</si>
  <si>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</si>
  <si>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</si>
  <si>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</si>
  <si>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</si>
  <si>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</si>
  <si>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</si>
  <si>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</si>
  <si>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</si>
  <si>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</si>
  <si>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</si>
  <si>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</si>
  <si>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</si>
  <si>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</si>
  <si>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</si>
  <si>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</si>
  <si>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</si>
  <si>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</si>
  <si>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</si>
  <si>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</si>
  <si>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</si>
  <si>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</si>
  <si>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</si>
  <si>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</si>
  <si>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</si>
  <si>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</si>
  <si>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</si>
  <si>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</si>
  <si>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</si>
  <si>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</si>
  <si>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</si>
  <si>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</si>
  <si>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</si>
  <si>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</si>
  <si>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</si>
  <si>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</si>
  <si>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</si>
  <si>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</si>
  <si>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</si>
  <si>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</si>
  <si>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</si>
  <si>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</si>
  <si>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</si>
  <si>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</si>
  <si>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</si>
  <si>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</si>
  <si>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</si>
  <si>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</si>
  <si>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</si>
  <si>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</si>
  <si>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</si>
  <si>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</si>
  <si>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</si>
  <si>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</si>
  <si>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</si>
  <si>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</si>
  <si>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</si>
  <si>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</si>
  <si>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</si>
  <si>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</si>
  <si>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</si>
  <si>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</si>
  <si>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</si>
  <si>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</si>
  <si>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</si>
  <si>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</si>
  <si>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</si>
  <si>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</si>
  <si>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</si>
  <si>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</si>
  <si>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</si>
  <si>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</si>
  <si>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</si>
  <si>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</si>
  <si>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</si>
  <si>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</si>
  <si>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</si>
  <si>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</si>
  <si>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</si>
  <si>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</si>
  <si>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</si>
  <si>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</si>
  <si>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</si>
  <si>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</si>
  <si>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</si>
  <si>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</si>
  <si>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</si>
  <si>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</si>
  <si>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</si>
  <si>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</si>
  <si>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</si>
  <si>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</si>
  <si>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</si>
  <si>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</si>
  <si>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</si>
  <si>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</si>
  <si>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</si>
  <si>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</si>
  <si>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</si>
  <si>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</si>
  <si>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</si>
  <si>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</si>
  <si>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</si>
  <si>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</si>
  <si>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</si>
  <si>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</si>
  <si>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</si>
  <si>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</si>
  <si>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</si>
  <si>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</si>
  <si>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</si>
  <si>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</si>
  <si>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</si>
  <si>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</si>
  <si>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</si>
  <si>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</si>
  <si>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</si>
  <si>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</si>
  <si>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</si>
  <si>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</si>
  <si>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</si>
  <si>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</si>
  <si>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</si>
  <si>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</si>
  <si>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</si>
  <si>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</si>
  <si>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</si>
  <si>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</si>
  <si>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</si>
  <si>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</si>
  <si>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</si>
  <si>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</si>
  <si>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</si>
  <si>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</si>
  <si>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</si>
  <si>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</si>
  <si>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</si>
  <si>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</si>
  <si>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</si>
  <si>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</si>
  <si>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</si>
  <si>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</si>
  <si>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</si>
  <si>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</si>
  <si>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</si>
  <si>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</si>
  <si>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</si>
  <si>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</si>
  <si>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</si>
  <si>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</si>
  <si>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</si>
  <si>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</si>
  <si>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</si>
  <si>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</si>
  <si>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</si>
  <si>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</si>
  <si>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</si>
  <si>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</si>
  <si>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</si>
  <si>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</si>
  <si>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</si>
  <si>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</si>
  <si>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</si>
  <si>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</si>
  <si>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</si>
  <si>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</si>
  <si>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</si>
  <si>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</si>
  <si>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</si>
  <si>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</si>
  <si>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</si>
  <si>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</si>
  <si>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</si>
  <si>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</si>
  <si>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</si>
  <si>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</si>
  <si>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</si>
  <si>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</si>
  <si>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</si>
  <si>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</si>
  <si>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</si>
  <si>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</si>
  <si>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</si>
  <si>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</si>
  <si>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</si>
  <si>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</si>
  <si>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</si>
  <si>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</si>
  <si>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</si>
  <si>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</si>
  <si>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</si>
  <si>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</si>
  <si>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</si>
  <si>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</si>
  <si>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</si>
  <si>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</si>
  <si>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</si>
  <si>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</si>
  <si>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</si>
  <si>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</si>
  <si>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</si>
  <si>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</si>
  <si>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</si>
  <si>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</si>
  <si>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</si>
  <si>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</si>
  <si>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</si>
  <si>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</si>
  <si>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</si>
  <si>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</si>
  <si>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</si>
  <si>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</si>
  <si>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</si>
  <si>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</si>
  <si>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</si>
  <si>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</si>
  <si>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</si>
  <si>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</si>
  <si>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</si>
  <si>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</si>
  <si>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</si>
  <si>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</si>
  <si>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</si>
  <si>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</si>
  <si>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</si>
  <si>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</si>
  <si>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</si>
  <si>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</si>
  <si>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</si>
  <si>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</si>
  <si>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</si>
  <si>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</si>
  <si>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</si>
  <si>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</si>
  <si>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</si>
  <si>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</si>
  <si>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</si>
  <si>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</si>
  <si>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</si>
  <si>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</si>
  <si>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</si>
  <si>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</si>
  <si>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</si>
  <si>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</si>
  <si>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</si>
  <si>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</si>
  <si>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</si>
  <si>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</si>
  <si>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</si>
  <si>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</si>
  <si>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</si>
  <si>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</si>
  <si>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</si>
  <si>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</si>
  <si>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</si>
  <si>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</si>
  <si>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</si>
  <si>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</si>
  <si>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</si>
  <si>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</si>
  <si>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</si>
  <si>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</si>
  <si>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</si>
  <si>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</si>
  <si>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</si>
  <si>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</si>
  <si>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</si>
  <si>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</si>
  <si>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</si>
  <si>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</si>
  <si>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</si>
  <si>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</si>
  <si>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</si>
  <si>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</si>
  <si>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</si>
  <si>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</si>
  <si>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</si>
  <si>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</si>
  <si>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</si>
  <si>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</si>
  <si>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</si>
  <si>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</si>
  <si>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</si>
  <si>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</si>
  <si>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</si>
  <si>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</si>
  <si>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</si>
  <si>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</si>
  <si>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</si>
  <si>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</si>
  <si>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</si>
  <si>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</si>
  <si>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</si>
  <si>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</si>
  <si>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</si>
  <si>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</si>
  <si>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</si>
  <si>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</si>
  <si>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</si>
  <si>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</si>
  <si>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</si>
  <si>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</si>
  <si>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</si>
  <si>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</si>
  <si>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</si>
  <si>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</si>
  <si>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</si>
  <si>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</si>
  <si>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</si>
  <si>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</si>
  <si>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</si>
  <si>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</si>
  <si>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</si>
  <si>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</si>
  <si>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</si>
  <si>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</si>
  <si>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</si>
  <si>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</si>
  <si>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</si>
  <si>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</si>
  <si>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</si>
  <si>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</si>
  <si>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</si>
  <si>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</si>
  <si>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</si>
  <si>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</si>
  <si>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</si>
  <si>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</si>
  <si>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</si>
  <si>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</si>
  <si>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</si>
  <si>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</si>
  <si>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</si>
  <si>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</si>
  <si>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</si>
  <si>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</si>
  <si>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</si>
  <si>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</si>
  <si>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</si>
  <si>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</si>
  <si>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</si>
  <si>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</si>
  <si>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</si>
  <si>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</si>
  <si>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</si>
  <si>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</si>
  <si>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</si>
  <si>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</si>
  <si>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</si>
  <si>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</si>
  <si>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</si>
  <si>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</si>
  <si>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</si>
  <si>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</si>
  <si>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</si>
  <si>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</si>
  <si>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</si>
  <si>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</si>
  <si>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</si>
  <si>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</si>
  <si>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</si>
  <si>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</si>
  <si>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</si>
  <si>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</si>
  <si>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</si>
  <si>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</si>
  <si>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</si>
  <si>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</si>
  <si>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</si>
  <si>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</si>
  <si>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</si>
  <si>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</si>
  <si>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</si>
  <si>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</si>
  <si>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</si>
  <si>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</si>
  <si>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</si>
  <si>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</si>
  <si>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</si>
  <si>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</si>
  <si>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</si>
  <si>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</si>
  <si>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</si>
  <si>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</si>
  <si>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</si>
  <si>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</si>
  <si>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</si>
  <si>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</si>
  <si>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</si>
  <si>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</si>
  <si>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</si>
  <si>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</si>
  <si>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</si>
  <si>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</si>
  <si>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</si>
  <si>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</si>
  <si>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</si>
  <si>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</si>
  <si>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</si>
  <si>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</si>
  <si>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</si>
  <si>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</si>
  <si>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</si>
  <si>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</si>
  <si>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</si>
  <si>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</si>
  <si>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</si>
  <si>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</si>
  <si>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</si>
  <si>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</si>
  <si>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</si>
  <si>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</si>
  <si>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</si>
  <si>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</si>
  <si>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</si>
  <si>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</si>
  <si>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</si>
  <si>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</si>
  <si>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</si>
  <si>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</si>
  <si>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</si>
  <si>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</si>
  <si>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</si>
  <si>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</si>
  <si>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</si>
  <si>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</si>
  <si>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</si>
  <si>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</si>
  <si>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</si>
  <si>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</si>
  <si>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</si>
  <si>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</si>
  <si>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</si>
  <si>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</si>
  <si>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</si>
  <si>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</si>
  <si>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</si>
  <si>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</si>
  <si>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</si>
  <si>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</si>
  <si>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</si>
  <si>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</si>
  <si>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</si>
  <si>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</si>
  <si>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</si>
  <si>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</si>
  <si>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</si>
  <si>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</si>
  <si>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</si>
  <si>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</si>
  <si>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</si>
  <si>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</si>
  <si>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</si>
  <si>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</si>
  <si>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</si>
  <si>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</si>
  <si>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</si>
  <si>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</si>
  <si>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</si>
  <si>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</si>
  <si>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</si>
  <si>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</si>
  <si>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</si>
  <si>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</si>
  <si>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</si>
  <si>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</si>
  <si>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</si>
  <si>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</si>
  <si>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</si>
  <si>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</si>
  <si>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</si>
  <si>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</si>
  <si>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</si>
  <si>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</si>
  <si>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</si>
  <si>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</si>
  <si>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</si>
  <si>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</si>
  <si>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</si>
  <si>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</si>
  <si>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</si>
  <si>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</si>
  <si>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</si>
  <si>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</si>
  <si>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</si>
  <si>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</si>
  <si>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</si>
  <si>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</si>
  <si>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</si>
  <si>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</si>
  <si>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</si>
  <si>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</si>
  <si>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</si>
  <si>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</si>
  <si>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</si>
  <si>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</si>
  <si>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</si>
  <si>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</si>
  <si>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</si>
  <si>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</si>
  <si>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</si>
  <si>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</si>
  <si>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</si>
  <si>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</si>
  <si>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</si>
  <si>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</si>
  <si>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</si>
  <si>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</si>
  <si>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</si>
  <si>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</si>
  <si>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</si>
  <si>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</si>
  <si>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</si>
  <si>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</si>
  <si>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</si>
  <si>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</si>
  <si>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</si>
  <si>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</si>
  <si>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</si>
  <si>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</si>
  <si>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</si>
  <si>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</si>
  <si>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</si>
  <si>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</si>
  <si>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</si>
  <si>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</si>
  <si>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</si>
  <si>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HINDUSTAN UNILEVER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</si>
  <si>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</si>
  <si>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</si>
  <si>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</si>
  <si>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</si>
  <si>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</si>
  <si>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</si>
  <si>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</si>
  <si>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</si>
  <si>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</si>
  <si>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</si>
  <si>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</si>
  <si>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</si>
  <si>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</si>
  <si>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</si>
  <si>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</si>
  <si>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</si>
  <si>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</si>
  <si>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</si>
  <si>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</si>
  <si>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</si>
  <si>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</si>
  <si>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</si>
  <si>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</si>
  <si>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</si>
  <si>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</si>
  <si>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</si>
  <si>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</si>
  <si>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</si>
  <si>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</si>
  <si>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</si>
  <si>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</si>
  <si>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</si>
  <si>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</si>
  <si>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</si>
  <si>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</si>
  <si>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</si>
  <si>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</si>
  <si>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</si>
  <si>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</si>
  <si>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</si>
  <si>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</si>
  <si>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</si>
  <si>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</si>
  <si>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</si>
  <si>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</si>
  <si>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</si>
  <si>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</si>
  <si>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</si>
  <si>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</si>
  <si>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</si>
  <si>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</si>
  <si>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</si>
  <si>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</si>
  <si>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</si>
  <si>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</si>
  <si>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</si>
  <si>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</si>
  <si>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</si>
  <si>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</si>
  <si>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</si>
  <si>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</si>
  <si>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</si>
  <si>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</si>
  <si>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</si>
  <si>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</si>
  <si>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</si>
  <si>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</si>
  <si>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</si>
  <si>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</si>
  <si>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</si>
  <si>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</si>
  <si>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</si>
  <si>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</si>
  <si>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</si>
  <si>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</si>
  <si>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</si>
  <si>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</si>
  <si>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</si>
  <si>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</si>
  <si>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</si>
  <si>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</si>
  <si>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</si>
  <si>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</si>
  <si>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</si>
  <si>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</si>
  <si>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</si>
  <si>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</si>
  <si>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</si>
  <si>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</si>
  <si>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</si>
  <si>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</si>
  <si>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</si>
  <si>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</si>
  <si>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</si>
  <si>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</si>
  <si>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</si>
  <si>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</si>
  <si>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</si>
  <si>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</si>
  <si>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</si>
  <si>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</si>
  <si>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</si>
  <si>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</si>
  <si>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</si>
  <si>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</si>
  <si>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</si>
  <si>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</si>
  <si>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</si>
  <si>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</si>
  <si>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</si>
  <si>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</si>
  <si>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</si>
  <si>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</si>
  <si>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</si>
  <si>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</si>
  <si>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</si>
  <si>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</si>
  <si>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</si>
  <si>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</si>
  <si>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</si>
  <si>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</si>
  <si>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</si>
  <si>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</si>
  <si>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</si>
  <si>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</si>
  <si>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</si>
  <si>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</si>
  <si>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</si>
  <si>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</si>
  <si>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</si>
  <si>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</si>
  <si>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</si>
  <si>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</si>
  <si>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</si>
  <si>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</si>
  <si>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</si>
  <si>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</si>
  <si>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</si>
  <si>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</si>
  <si>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</si>
  <si>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</si>
  <si>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</si>
  <si>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</si>
  <si>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</si>
  <si>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</si>
  <si>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</si>
  <si>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</si>
  <si>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</si>
  <si>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</si>
  <si>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</si>
  <si>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</si>
  <si>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</si>
  <si>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</si>
  <si>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</si>
  <si>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</si>
  <si>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</si>
  <si>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</si>
  <si>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</si>
  <si>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</si>
  <si>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</si>
  <si>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</si>
  <si>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</si>
  <si>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</si>
  <si>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</si>
  <si>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</si>
  <si>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</si>
  <si>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</si>
  <si>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</si>
  <si>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</si>
  <si>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</si>
  <si>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</si>
  <si>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</si>
  <si>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</si>
  <si>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</si>
  <si>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</si>
  <si>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</si>
  <si>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</si>
  <si>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</si>
  <si>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</si>
  <si>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</si>
  <si>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</si>
  <si>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</si>
  <si>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</si>
  <si>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</si>
  <si>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</si>
  <si>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</si>
  <si>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</si>
  <si>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</si>
  <si>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</si>
  <si>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</si>
  <si>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</si>
  <si>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</si>
  <si>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</si>
  <si>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</si>
  <si>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</si>
  <si>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</si>
  <si>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</si>
  <si>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</si>
  <si>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</si>
  <si>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</si>
  <si>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</si>
  <si>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</si>
  <si>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</si>
  <si>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</si>
  <si>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</si>
  <si>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</si>
  <si>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</si>
  <si>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</si>
  <si>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</si>
  <si>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</si>
  <si>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</si>
  <si>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</si>
  <si>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</si>
  <si>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</si>
  <si>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</si>
  <si>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</si>
  <si>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</si>
  <si>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</si>
  <si>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</si>
  <si>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</si>
  <si>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</si>
  <si>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</si>
  <si>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</si>
  <si>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</si>
  <si>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</si>
  <si>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</si>
  <si>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</si>
  <si>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</si>
  <si>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</si>
  <si>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</si>
  <si>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</si>
  <si>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</si>
  <si>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</si>
  <si>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</si>
  <si>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</si>
  <si>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</si>
  <si>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</si>
  <si>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</si>
  <si>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</si>
  <si>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</si>
  <si>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</si>
  <si>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</si>
  <si>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</si>
  <si>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</si>
  <si>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</si>
  <si>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</si>
  <si>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</si>
  <si>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</si>
  <si>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</si>
  <si>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</si>
  <si>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</si>
  <si>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</si>
  <si>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</si>
  <si>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</si>
  <si>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</si>
  <si>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</si>
  <si>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</si>
  <si>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</si>
  <si>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</si>
  <si>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</si>
  <si>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</si>
  <si>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</si>
  <si>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</si>
  <si>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</si>
  <si>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</si>
  <si>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</si>
  <si>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</si>
  <si>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</si>
  <si>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</si>
  <si>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</si>
  <si>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</si>
  <si>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</si>
  <si>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</si>
  <si>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</si>
  <si>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</si>
  <si>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</si>
  <si>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</si>
  <si>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</si>
  <si>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</si>
  <si>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</si>
  <si>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</si>
  <si>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</si>
  <si>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</si>
  <si>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</si>
  <si>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</si>
  <si>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</si>
  <si>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</si>
  <si>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</si>
  <si>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</si>
  <si>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</si>
  <si>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</si>
  <si>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</si>
  <si>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</si>
  <si>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</si>
  <si>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</si>
  <si>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</si>
  <si>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</si>
  <si>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</si>
  <si>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</si>
  <si>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</si>
  <si>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</si>
  <si>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</si>
  <si>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</si>
  <si>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</si>
  <si>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</si>
  <si>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</si>
  <si>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</si>
  <si>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</si>
  <si>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</si>
  <si>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</si>
  <si>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</si>
  <si>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</si>
  <si>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</si>
  <si>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</si>
  <si>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</si>
  <si>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</si>
  <si>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</si>
  <si>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</si>
  <si>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</si>
  <si>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</si>
  <si>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</si>
  <si>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</si>
  <si>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</si>
  <si>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</si>
  <si>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</si>
  <si>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</si>
  <si>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</si>
  <si>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</si>
  <si>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</si>
  <si>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</si>
  <si>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</si>
  <si>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</si>
  <si>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</si>
  <si>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</si>
  <si>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</si>
  <si>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</si>
  <si>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</si>
  <si>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</si>
  <si>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</si>
  <si>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</si>
  <si>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</si>
  <si>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</si>
  <si>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</si>
  <si>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</si>
  <si>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</si>
  <si>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</si>
  <si>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</si>
  <si>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</si>
  <si>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</si>
  <si>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</si>
  <si>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</si>
  <si>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</si>
  <si>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</si>
  <si>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</si>
  <si>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</si>
  <si>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</si>
  <si>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</si>
  <si>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</si>
  <si>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</si>
  <si>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</si>
  <si>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</si>
  <si>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</si>
  <si>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</si>
  <si>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</si>
  <si>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</si>
  <si>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</si>
  <si>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</si>
  <si>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</si>
  <si>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</si>
  <si>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</si>
  <si>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</si>
  <si>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</si>
  <si>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</si>
  <si>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</si>
  <si>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</si>
  <si>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</si>
  <si>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</si>
  <si>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</si>
  <si>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</si>
  <si>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</si>
  <si>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</si>
  <si>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</si>
  <si>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</si>
  <si>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</si>
  <si>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</si>
  <si>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</si>
  <si>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</si>
  <si>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</si>
  <si>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</si>
  <si>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</si>
  <si>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</si>
  <si>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</si>
  <si>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</si>
  <si>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</si>
  <si>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</si>
  <si>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</si>
  <si>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</si>
  <si>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</si>
  <si>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</si>
  <si>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</si>
  <si>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</si>
  <si>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</si>
  <si>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</si>
  <si>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</si>
  <si>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</si>
  <si>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</si>
  <si>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</si>
  <si>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</si>
  <si>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</si>
  <si>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</si>
  <si>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</si>
  <si>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</si>
  <si>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</si>
  <si>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</si>
  <si>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</si>
  <si>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</si>
  <si>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</si>
  <si>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</si>
  <si>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</si>
  <si>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</si>
  <si>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</si>
  <si>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</si>
  <si>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</si>
  <si>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</si>
  <si>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</si>
  <si>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</si>
  <si>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</si>
  <si>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</si>
  <si>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</si>
  <si>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</si>
  <si>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</si>
  <si>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</si>
  <si>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</si>
  <si>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</si>
  <si>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</si>
  <si>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</si>
  <si>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</si>
  <si>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</si>
  <si>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</si>
  <si>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</si>
  <si>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</si>
  <si>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</si>
  <si>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</si>
  <si>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</si>
  <si>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</si>
  <si>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</si>
  <si>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</si>
  <si>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</si>
  <si>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</si>
  <si>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</si>
  <si>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</si>
  <si>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</si>
  <si>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</si>
  <si>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</si>
  <si>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</si>
  <si>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</si>
  <si>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</si>
  <si>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</si>
  <si>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</si>
  <si>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</si>
  <si>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</si>
  <si>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</si>
  <si>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</si>
  <si>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</si>
  <si>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</si>
  <si>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</si>
  <si>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</si>
  <si>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</si>
  <si>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</si>
  <si>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</si>
  <si>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</si>
  <si>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</si>
  <si>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</si>
  <si>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</si>
  <si>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</si>
  <si>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</si>
  <si>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</si>
  <si>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</si>
  <si>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</si>
  <si>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</si>
  <si>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</si>
  <si>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</si>
  <si>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</si>
  <si>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</si>
  <si>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</si>
  <si>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</si>
  <si>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</si>
  <si>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</si>
  <si>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</si>
  <si>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</si>
  <si>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</si>
  <si>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</si>
  <si>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</si>
  <si>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</si>
  <si>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</si>
  <si>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</si>
  <si>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</si>
  <si>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</si>
  <si>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</si>
  <si>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</si>
  <si>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</si>
  <si>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</si>
  <si>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</si>
  <si>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</si>
  <si>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</si>
  <si>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</si>
  <si>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</si>
  <si>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</si>
  <si>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</si>
  <si>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</si>
  <si>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</si>
  <si>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</si>
  <si>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</si>
  <si>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</si>
  <si>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</si>
  <si>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</si>
  <si>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</si>
  <si>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</si>
  <si>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</si>
  <si>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</si>
  <si>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</si>
  <si>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</si>
  <si>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</si>
  <si>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</si>
  <si>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</si>
  <si>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</si>
  <si>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</si>
  <si>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</si>
  <si>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</si>
  <si>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</si>
  <si>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</si>
  <si>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</si>
  <si>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</si>
  <si>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</si>
  <si>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</si>
  <si>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</si>
  <si>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</si>
  <si>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</si>
  <si>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</si>
  <si>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</si>
  <si>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</si>
  <si>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</si>
  <si>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</si>
  <si>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</si>
  <si>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</si>
  <si>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</si>
  <si>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</si>
  <si>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</si>
  <si>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</si>
  <si>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</si>
  <si>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</si>
  <si>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</si>
  <si>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</si>
  <si>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</si>
  <si>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</si>
  <si>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</si>
  <si>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</si>
  <si>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</si>
  <si>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</si>
  <si>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</si>
  <si>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</si>
  <si>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</si>
  <si>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</si>
  <si>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</si>
  <si>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</si>
  <si>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</si>
  <si>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</si>
  <si>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</si>
  <si>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</si>
  <si>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</si>
  <si>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</si>
  <si>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</si>
  <si>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</si>
  <si>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</si>
  <si>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</si>
  <si>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</si>
  <si>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</si>
  <si>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</si>
  <si>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</si>
  <si>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</si>
  <si>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</si>
  <si>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</si>
  <si>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</si>
  <si>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</si>
  <si>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</si>
  <si>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</si>
  <si>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</si>
  <si>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</si>
  <si>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</si>
  <si>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</si>
  <si>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</si>
  <si>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</si>
  <si>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</si>
  <si>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</si>
  <si>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</si>
  <si>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</si>
  <si>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</si>
  <si>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</si>
  <si>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</si>
  <si>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</si>
  <si>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</si>
  <si>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</si>
  <si>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</si>
  <si>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</si>
  <si>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</si>
  <si>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</si>
  <si>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</si>
  <si>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</si>
  <si>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</si>
  <si>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</si>
  <si>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</si>
  <si>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</si>
  <si>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</si>
  <si>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</si>
  <si>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</si>
  <si>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</si>
  <si>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</si>
  <si>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</si>
  <si>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</si>
  <si>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</si>
  <si>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</si>
  <si>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</si>
  <si>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</si>
  <si>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</si>
  <si>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</si>
  <si>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</si>
  <si>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</si>
  <si>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</si>
  <si>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</si>
  <si>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</si>
  <si>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</si>
  <si>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</si>
  <si>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</si>
  <si>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</si>
  <si>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</si>
  <si>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</si>
  <si>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</si>
  <si>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</si>
  <si>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</si>
  <si>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</si>
  <si>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</si>
  <si>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</si>
  <si>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</si>
  <si>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</si>
  <si>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</si>
  <si>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</si>
  <si>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</si>
  <si>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</si>
  <si>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</si>
  <si>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</si>
  <si>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</si>
  <si>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</si>
  <si>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</si>
  <si>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</si>
  <si>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</si>
  <si>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</si>
  <si>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</si>
  <si>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</si>
  <si>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</si>
  <si>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</si>
  <si>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</si>
  <si>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</si>
  <si>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</si>
  <si>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</si>
  <si>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</si>
  <si>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</si>
  <si>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</si>
  <si>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</si>
  <si>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</si>
  <si>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</si>
  <si>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</si>
  <si>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</si>
  <si>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</si>
  <si>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</si>
  <si>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</si>
  <si>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</si>
  <si>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</si>
  <si>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</si>
  <si>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</si>
  <si>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</si>
  <si>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</si>
  <si>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</si>
  <si>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</si>
  <si>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</si>
  <si>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</si>
  <si>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</si>
  <si>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</si>
  <si>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</si>
  <si>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</si>
  <si>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</si>
  <si>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</si>
  <si>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</si>
  <si>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</si>
  <si>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</si>
  <si>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</si>
  <si>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</si>
  <si>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</si>
  <si>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</si>
  <si>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</si>
  <si>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</si>
  <si>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</si>
  <si>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</si>
  <si>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</si>
  <si>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</si>
  <si>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</si>
  <si>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</si>
  <si>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</si>
  <si>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</si>
  <si>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</si>
  <si>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</si>
  <si>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</si>
  <si>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</si>
  <si>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</si>
  <si>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</si>
  <si>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</si>
  <si>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</si>
  <si>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</si>
  <si>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</si>
  <si>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</si>
  <si>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</si>
  <si>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</si>
  <si>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</si>
  <si>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</si>
  <si>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</si>
  <si>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</si>
  <si>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</si>
  <si>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</si>
  <si>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</si>
  <si>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</si>
  <si>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</si>
  <si>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</si>
  <si>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</si>
  <si>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</si>
  <si>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</si>
  <si>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</si>
  <si>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</si>
  <si>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</si>
  <si>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</si>
  <si>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</si>
  <si>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</si>
  <si>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</si>
  <si>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</si>
  <si>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</si>
  <si>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</si>
  <si>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</si>
  <si>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</si>
  <si>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</si>
  <si>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</si>
  <si>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</si>
  <si>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</si>
  <si>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</si>
  <si>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</si>
  <si>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</si>
  <si>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</si>
  <si>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</si>
  <si>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</si>
  <si>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</si>
  <si>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</si>
  <si>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</si>
  <si>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</si>
  <si>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</si>
  <si>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</si>
  <si>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</si>
  <si>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</si>
  <si>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</si>
  <si>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</si>
  <si>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</si>
  <si>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</si>
  <si>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</si>
  <si>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</si>
  <si>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</si>
  <si>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</si>
  <si>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</si>
  <si>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</si>
  <si>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</si>
  <si>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</si>
  <si>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</si>
  <si>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</si>
  <si>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</si>
  <si>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</si>
  <si>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</si>
  <si>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</si>
  <si>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</si>
  <si>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</si>
  <si>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</si>
  <si>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</si>
  <si>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</si>
  <si>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</si>
  <si>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</si>
  <si>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</si>
  <si>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</si>
  <si>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</si>
  <si>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</si>
  <si>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</si>
  <si>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</si>
  <si>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</si>
  <si>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</si>
  <si>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</si>
  <si>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</si>
  <si>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</si>
  <si>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</si>
  <si>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</si>
  <si>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</si>
  <si>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</si>
  <si>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</si>
  <si>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</si>
  <si>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</si>
  <si>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</si>
  <si>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</si>
  <si>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</si>
  <si>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</si>
  <si>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</si>
  <si>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</si>
  <si>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</si>
  <si>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</si>
  <si>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</si>
  <si>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</si>
  <si>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</si>
  <si>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</si>
  <si>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</si>
  <si>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</si>
  <si>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</si>
  <si>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</si>
  <si>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</si>
  <si>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</si>
  <si>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</si>
  <si>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</si>
  <si>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</si>
  <si>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</si>
  <si>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</si>
  <si>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</si>
  <si>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</si>
  <si>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</si>
  <si>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</si>
  <si>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</si>
  <si>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</si>
  <si>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</si>
  <si>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</si>
  <si>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</si>
  <si>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</si>
  <si>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</si>
  <si>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</si>
  <si>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</si>
  <si>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</si>
  <si>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</si>
  <si>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</si>
  <si>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</si>
  <si>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</si>
  <si>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</si>
  <si>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</si>
  <si>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</si>
  <si>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</si>
  <si>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</si>
  <si>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</si>
  <si>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</si>
  <si>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</si>
  <si>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</si>
  <si>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</si>
  <si>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</si>
  <si>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</si>
  <si>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</si>
  <si>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</si>
  <si>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</si>
  <si>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</si>
  <si>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</si>
  <si>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</si>
  <si>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</si>
  <si>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</si>
  <si>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</si>
  <si>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</si>
  <si>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</si>
  <si>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</si>
  <si>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</si>
  <si>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</si>
  <si>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</si>
  <si>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</si>
  <si>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</si>
  <si>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</si>
  <si>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</si>
  <si>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</si>
  <si>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</si>
  <si>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</si>
  <si>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</si>
  <si>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</si>
  <si>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</si>
  <si>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</si>
  <si>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</si>
  <si>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</si>
  <si>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</si>
  <si>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</si>
  <si>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</si>
  <si>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</si>
  <si>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</si>
  <si>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</si>
  <si>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</si>
  <si>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</si>
  <si>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</si>
  <si>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</si>
  <si>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</si>
  <si>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</si>
  <si>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</si>
  <si>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</si>
  <si>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</si>
  <si>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</si>
  <si>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</si>
  <si>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</si>
  <si>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</si>
  <si>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</si>
  <si>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</si>
  <si>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</si>
  <si>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</si>
  <si>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</si>
  <si>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</si>
  <si>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</si>
  <si>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</si>
  <si>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</si>
  <si>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</si>
  <si>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</si>
  <si>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</si>
  <si>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</si>
  <si>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</si>
  <si>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</si>
  <si>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</si>
  <si>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</si>
  <si>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</si>
  <si>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</si>
  <si>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</si>
  <si>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</si>
  <si>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</si>
  <si>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</si>
  <si>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</si>
  <si>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</si>
  <si>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</si>
  <si>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</si>
  <si>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</si>
  <si>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</si>
  <si>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</si>
  <si>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</si>
  <si>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</si>
  <si>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</si>
  <si>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</si>
  <si>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</si>
  <si>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</si>
  <si>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</si>
  <si>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</si>
  <si>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</si>
  <si>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</si>
  <si>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</si>
  <si>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</si>
  <si>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</si>
  <si>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</si>
  <si>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</si>
  <si>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</si>
  <si>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</si>
  <si>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</si>
  <si>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</si>
  <si>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</si>
  <si>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</si>
  <si>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</si>
  <si>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</si>
  <si>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</si>
  <si>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</si>
  <si>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</si>
  <si>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</si>
  <si>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</si>
  <si>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</si>
  <si>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</si>
  <si>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</si>
  <si>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</si>
  <si>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</si>
  <si>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</si>
  <si>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</si>
  <si>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</si>
  <si>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</si>
  <si>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</si>
  <si>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</si>
  <si>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</si>
  <si>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</si>
  <si>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</si>
  <si>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</si>
  <si>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</si>
  <si>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</si>
  <si>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</si>
  <si>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</si>
  <si>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</si>
  <si>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</si>
  <si>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</si>
  <si>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</si>
  <si>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</si>
  <si>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</si>
  <si>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</si>
  <si>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</si>
  <si>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</si>
  <si>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</si>
  <si>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</si>
  <si>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</si>
  <si>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</si>
  <si>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</si>
  <si>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</si>
  <si>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</si>
  <si>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</si>
  <si>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</si>
  <si>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</si>
  <si>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</si>
  <si>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</si>
  <si>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</si>
  <si>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</si>
  <si>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</si>
  <si>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</si>
  <si>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</si>
  <si>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</si>
  <si>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</si>
  <si>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</si>
  <si>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</si>
  <si>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</si>
  <si>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</si>
  <si>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</si>
  <si>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</si>
  <si>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</si>
  <si>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</si>
  <si>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</si>
  <si>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</si>
  <si>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</si>
  <si>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</si>
  <si>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</si>
  <si>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</si>
  <si>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</si>
  <si>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</si>
  <si>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</si>
  <si>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</si>
  <si>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</si>
  <si>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</si>
  <si>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</si>
  <si>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</si>
  <si>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</si>
  <si>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</si>
  <si>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</si>
  <si>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</si>
  <si>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</si>
  <si>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</si>
  <si>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</si>
  <si>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</si>
  <si>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</si>
  <si>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</si>
  <si>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</si>
  <si>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</si>
  <si>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</si>
  <si>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</si>
  <si>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</si>
  <si>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</si>
  <si>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</si>
  <si>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</si>
  <si>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</si>
  <si>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</si>
  <si>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</si>
  <si>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</si>
  <si>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</si>
  <si>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</si>
  <si>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</si>
  <si>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</si>
  <si>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</si>
  <si>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</si>
  <si>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</si>
  <si>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</si>
  <si>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</si>
  <si>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</si>
  <si>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</si>
  <si>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</si>
  <si>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</si>
  <si>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</si>
  <si>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</si>
  <si>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</si>
  <si>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</si>
  <si>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</si>
  <si>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</si>
  <si>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</si>
  <si>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</si>
  <si>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</si>
  <si>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</si>
  <si>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</si>
  <si>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</si>
  <si>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</si>
  <si>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</si>
  <si>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</si>
  <si>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</si>
  <si>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</si>
  <si>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</si>
  <si>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</si>
  <si>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</si>
  <si>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</si>
  <si>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</si>
  <si>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</si>
  <si>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</si>
  <si>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</si>
  <si>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</si>
  <si>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</si>
  <si>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</si>
  <si>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</si>
  <si>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</si>
  <si>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</si>
  <si>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</si>
  <si>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</si>
  <si>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</si>
  <si>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</si>
  <si>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</si>
  <si>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</si>
  <si>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</si>
  <si>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</si>
  <si>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</si>
  <si>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</si>
  <si>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</si>
  <si>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</si>
  <si>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</si>
  <si>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</si>
  <si>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</si>
  <si>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</si>
  <si>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</si>
  <si>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</si>
  <si>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</si>
  <si>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</si>
  <si>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</si>
  <si>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</si>
  <si>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</si>
  <si>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</si>
  <si>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</si>
  <si>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</si>
  <si>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</si>
  <si>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</si>
  <si>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</si>
  <si>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</si>
  <si>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</si>
  <si>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</si>
  <si>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</si>
  <si>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</si>
  <si>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</si>
  <si>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</si>
  <si>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</si>
  <si>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</si>
  <si>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</si>
  <si>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</si>
  <si>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</si>
  <si>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</si>
  <si>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</si>
  <si>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</si>
  <si>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</si>
  <si>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</si>
  <si>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</si>
  <si>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</si>
  <si>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</si>
  <si>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</si>
  <si>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</si>
  <si>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</si>
  <si>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</si>
  <si>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</si>
  <si>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</si>
  <si>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</si>
  <si>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</si>
  <si>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</si>
  <si>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</si>
  <si>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</si>
  <si>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</si>
  <si>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</si>
  <si>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</si>
  <si>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</si>
  <si>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</si>
  <si>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</si>
  <si>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</si>
  <si>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</si>
  <si>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</si>
  <si>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</si>
  <si>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</si>
  <si>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</si>
  <si>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</si>
  <si>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</si>
  <si>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</si>
  <si>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</si>
  <si>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</si>
  <si>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</si>
  <si>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</si>
  <si>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</si>
  <si>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</si>
  <si>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</si>
  <si>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</si>
  <si>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</si>
  <si>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</si>
  <si>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</si>
  <si>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</si>
  <si>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</si>
  <si>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</si>
  <si>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</si>
  <si>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</si>
  <si>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</si>
  <si>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</si>
  <si>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</si>
  <si>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</si>
  <si>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</si>
  <si>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</si>
  <si>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</si>
  <si>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</si>
  <si>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</si>
  <si>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</si>
  <si>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</si>
  <si>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</si>
  <si>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</si>
  <si>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</si>
  <si>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</si>
  <si>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</si>
  <si>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</si>
  <si>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</si>
  <si>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</si>
  <si>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</si>
  <si>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</si>
  <si>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</si>
  <si>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</si>
  <si>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</si>
  <si>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</si>
  <si>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</si>
  <si>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</si>
  <si>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</si>
  <si>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</si>
  <si>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</si>
  <si>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</si>
  <si>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</si>
  <si>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</si>
  <si>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</si>
  <si>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</si>
  <si>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</si>
  <si>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</si>
  <si>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</si>
  <si>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</si>
  <si>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</si>
  <si>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</si>
  <si>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</si>
  <si>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</si>
  <si>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</si>
  <si>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</si>
  <si>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</si>
  <si>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</si>
  <si>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</si>
  <si>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</si>
  <si>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</si>
  <si>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</si>
  <si>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</si>
  <si>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</si>
  <si>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</si>
  <si>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</si>
  <si>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</si>
  <si>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</si>
  <si>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</si>
  <si>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</si>
  <si>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</si>
  <si>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</si>
  <si>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</si>
  <si>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</si>
  <si>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</si>
  <si>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</si>
  <si>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</si>
  <si>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</si>
  <si>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</si>
  <si>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</si>
  <si>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</si>
  <si>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</si>
  <si>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</si>
  <si>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</si>
  <si>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</si>
  <si>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</si>
  <si>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</si>
  <si>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</si>
  <si>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</si>
  <si>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</si>
  <si>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</si>
  <si>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</si>
  <si>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</si>
  <si>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</si>
  <si>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</si>
  <si>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</si>
  <si>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</si>
  <si>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</si>
  <si>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</si>
  <si>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</si>
  <si>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</si>
  <si>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</si>
  <si>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</si>
  <si>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</si>
  <si>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</si>
  <si>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</si>
  <si>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</si>
  <si>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</si>
  <si>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</si>
  <si>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</si>
  <si>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</si>
  <si>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</si>
  <si>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</si>
  <si>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</si>
  <si>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</si>
  <si>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</si>
  <si>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</si>
  <si>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</si>
  <si>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</si>
  <si>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</si>
  <si>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</si>
  <si>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</si>
  <si>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</si>
  <si>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</si>
  <si>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</si>
  <si>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</si>
  <si>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</si>
  <si>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</si>
  <si>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</si>
  <si>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</si>
  <si>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</si>
  <si>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</si>
  <si>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</si>
  <si>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</si>
  <si>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</si>
  <si>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</si>
  <si>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</si>
  <si>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</si>
  <si>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</si>
  <si>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</si>
  <si>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</si>
  <si>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</si>
  <si>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</si>
  <si>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</si>
  <si>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</si>
  <si>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</si>
  <si>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</si>
  <si>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</si>
  <si>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</si>
  <si>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</si>
  <si>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</si>
  <si>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</si>
  <si>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</si>
  <si>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</si>
  <si>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</si>
  <si>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</si>
  <si>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</si>
  <si>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</si>
  <si>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</si>
  <si>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</si>
  <si>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</si>
  <si>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</si>
  <si>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</si>
  <si>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</si>
  <si>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</si>
  <si>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</si>
  <si>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</si>
  <si>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</si>
  <si>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</si>
  <si>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</si>
  <si>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</si>
  <si>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</si>
  <si>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</si>
  <si>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</si>
  <si>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</si>
  <si>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</si>
  <si>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</si>
  <si>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</si>
  <si>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</si>
  <si>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</si>
  <si>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</si>
  <si>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</si>
  <si>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</si>
  <si>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</si>
  <si>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</si>
  <si>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</si>
  <si>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</si>
  <si>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</si>
  <si>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</si>
  <si>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</si>
  <si>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</si>
  <si>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</si>
  <si>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</si>
  <si>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</si>
  <si>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</si>
  <si>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</si>
  <si>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</si>
  <si>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</si>
  <si>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</si>
  <si>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</si>
  <si>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</si>
  <si>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</si>
  <si>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</si>
  <si>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</si>
  <si>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</si>
  <si>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</si>
  <si>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</si>
  <si>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</si>
  <si>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</si>
  <si>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</si>
  <si>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</si>
  <si>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</si>
  <si>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</si>
  <si>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</si>
  <si>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</si>
  <si>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</si>
  <si>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</si>
  <si>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</si>
  <si>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</si>
  <si>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</si>
  <si>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</si>
  <si>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</si>
  <si>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</si>
  <si>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</si>
  <si>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</si>
  <si>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</si>
  <si>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</si>
  <si>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</si>
  <si>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</si>
  <si>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</si>
  <si>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</si>
  <si>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</si>
  <si>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</si>
  <si>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</si>
  <si>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</si>
  <si>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</si>
  <si>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</si>
  <si>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</si>
  <si>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</si>
  <si>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</si>
  <si>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</si>
  <si>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</si>
  <si>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</si>
  <si>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</si>
  <si>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</si>
  <si>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</si>
  <si>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</si>
  <si>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</si>
  <si>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</si>
  <si>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</si>
  <si>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</si>
  <si>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</si>
  <si>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</si>
  <si>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</si>
  <si>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</si>
  <si>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</si>
  <si>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</si>
  <si>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</si>
  <si>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</si>
  <si>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</si>
  <si>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</si>
  <si>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</si>
  <si>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</si>
  <si>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</si>
  <si>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</si>
  <si>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</si>
  <si>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</si>
  <si>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</si>
  <si>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</si>
  <si>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</si>
  <si>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</si>
  <si>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</si>
  <si>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</si>
  <si>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</si>
  <si>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</si>
  <si>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</si>
  <si>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</si>
  <si>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</si>
  <si>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</si>
  <si>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</si>
  <si>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</si>
  <si>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</si>
  <si>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</si>
  <si>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</si>
  <si>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</si>
  <si>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</si>
  <si>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</si>
  <si>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</si>
  <si>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</si>
  <si>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</si>
  <si>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</si>
  <si>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</si>
  <si>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</si>
  <si>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</si>
  <si>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</si>
  <si>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</si>
  <si>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</si>
  <si>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</si>
  <si>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</si>
  <si>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</si>
  <si>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</si>
  <si>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</si>
  <si>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</si>
  <si>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</si>
  <si>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</si>
  <si>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</si>
  <si>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</si>
  <si>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</si>
  <si>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</si>
  <si>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</si>
  <si>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</si>
  <si>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</si>
  <si>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</si>
  <si>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</si>
  <si>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</si>
  <si>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</si>
  <si>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</si>
  <si>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</si>
  <si>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</si>
  <si>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</si>
  <si>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</si>
  <si>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</si>
  <si>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</si>
  <si>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</si>
  <si>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</si>
  <si>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</si>
  <si>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</si>
  <si>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</si>
  <si>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</si>
  <si>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</si>
  <si>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</si>
  <si>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</si>
  <si>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</si>
  <si>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</si>
  <si>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</si>
  <si>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</si>
  <si>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</si>
  <si>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</si>
  <si>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</si>
  <si>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</si>
  <si>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</si>
  <si>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</si>
  <si>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</si>
  <si>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</si>
  <si>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</si>
  <si>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</si>
  <si>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</si>
  <si>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</si>
  <si>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</si>
  <si>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</si>
  <si>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</si>
  <si>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</si>
  <si>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</si>
  <si>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</si>
  <si>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</si>
  <si>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</si>
  <si>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</si>
  <si>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</si>
  <si>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</si>
  <si>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</si>
  <si>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</si>
  <si>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</si>
  <si>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</si>
  <si>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</si>
  <si>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</si>
  <si>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</si>
  <si>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</si>
  <si>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</si>
  <si>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</si>
  <si>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</si>
  <si>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</si>
  <si>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</si>
  <si>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</si>
  <si>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</si>
  <si>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</si>
  <si>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</si>
  <si>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</si>
  <si>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</si>
  <si>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</si>
  <si>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</si>
  <si>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</si>
  <si>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</si>
  <si>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</si>
  <si>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</si>
  <si>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</si>
  <si>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</si>
  <si>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</si>
  <si>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</si>
  <si>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</si>
  <si>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</si>
  <si>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</si>
  <si>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</si>
  <si>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</si>
  <si>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</si>
  <si>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</si>
  <si>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</si>
  <si>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</si>
  <si>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</si>
  <si>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</si>
  <si>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</si>
  <si>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</si>
  <si>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</si>
  <si>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</si>
  <si>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</si>
  <si>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</si>
  <si>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</si>
  <si>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</si>
  <si>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</si>
  <si>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</si>
  <si>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</si>
  <si>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</si>
  <si>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</si>
  <si>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</si>
  <si>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</si>
  <si>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</si>
  <si>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</si>
  <si>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</si>
  <si>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</si>
  <si>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</si>
  <si>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</si>
  <si>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</si>
  <si>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</si>
  <si>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</si>
  <si>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</si>
  <si>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</si>
  <si>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</si>
  <si>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</si>
  <si>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</si>
  <si>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</si>
  <si>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</si>
  <si>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</si>
  <si>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</si>
  <si>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</si>
  <si>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</si>
  <si>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</si>
  <si>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</si>
  <si>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</si>
  <si>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</si>
  <si>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</si>
  <si>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</si>
  <si>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</si>
  <si>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</si>
  <si>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</si>
  <si>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</si>
  <si>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</si>
  <si>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</si>
  <si>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</si>
  <si>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</si>
  <si>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</si>
  <si>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</si>
  <si>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</si>
  <si>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</si>
  <si>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</si>
  <si>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</si>
  <si>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</si>
  <si>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</si>
  <si>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</si>
  <si>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</si>
  <si>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</si>
  <si>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</si>
  <si>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</si>
  <si>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</si>
  <si>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</si>
  <si>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</si>
  <si>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</si>
  <si>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</si>
  <si>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</si>
  <si>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</si>
  <si>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</si>
  <si>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</si>
  <si>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</si>
  <si>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</si>
  <si>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</si>
  <si>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</si>
  <si>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</si>
  <si>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</si>
  <si>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</si>
  <si>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</si>
  <si>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</si>
  <si>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</si>
  <si>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</si>
  <si>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</si>
  <si>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</si>
  <si>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</si>
  <si>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</si>
  <si>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</si>
  <si>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</si>
  <si>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</si>
  <si>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</si>
  <si>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</si>
  <si>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</si>
  <si>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</si>
  <si>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</si>
  <si>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</si>
  <si>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</si>
  <si>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</si>
  <si>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</si>
  <si>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</si>
  <si>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</si>
  <si>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</si>
  <si>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</si>
  <si>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</si>
  <si>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</si>
  <si>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</si>
  <si>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</si>
  <si>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</si>
  <si>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</si>
  <si>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</si>
  <si>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</si>
  <si>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</si>
  <si>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</si>
  <si>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</si>
  <si>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</si>
  <si>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</si>
  <si>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</si>
  <si>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</si>
  <si>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</si>
  <si>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</si>
  <si>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</si>
  <si>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</si>
  <si>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</si>
  <si>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</si>
  <si>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</si>
  <si>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</si>
  <si>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</si>
  <si>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</si>
  <si>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</si>
  <si>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</si>
  <si>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</si>
  <si>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</si>
  <si>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</si>
  <si>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</si>
  <si>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</si>
  <si>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</si>
  <si>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</si>
  <si>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</si>
  <si>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</si>
  <si>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</si>
  <si>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</si>
  <si>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</si>
  <si>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</si>
  <si>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</si>
  <si>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</si>
  <si>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</si>
  <si>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</si>
  <si>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</si>
  <si>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</si>
  <si>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</si>
  <si>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</si>
  <si>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</si>
  <si>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</si>
  <si>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</si>
  <si>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</si>
  <si>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</si>
  <si>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</si>
  <si>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</si>
  <si>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</si>
  <si>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</si>
  <si>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</si>
  <si>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</si>
  <si>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</si>
  <si>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</si>
  <si>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</si>
  <si>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</si>
  <si>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</si>
  <si>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</si>
  <si>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</si>
  <si>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</si>
  <si>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</si>
  <si>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</si>
  <si>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</si>
  <si>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</si>
  <si>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</si>
  <si>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</si>
  <si>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</si>
  <si>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</si>
  <si>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</si>
  <si>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</si>
  <si>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</si>
  <si>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</si>
  <si>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</si>
  <si>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</si>
  <si>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</si>
  <si>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</si>
  <si>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</si>
  <si>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</si>
  <si>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</si>
  <si>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</si>
  <si>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</si>
  <si>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</si>
  <si>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</si>
  <si>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</si>
  <si>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</si>
  <si>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</si>
  <si>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</si>
  <si>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</si>
  <si>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</si>
  <si>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</si>
  <si>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</si>
  <si>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</si>
  <si>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</si>
  <si>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</si>
  <si>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</si>
  <si>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</si>
  <si>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</si>
  <si>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</si>
  <si>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</si>
  <si>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</si>
  <si>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</si>
  <si>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</si>
  <si>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</si>
  <si>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</si>
  <si>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</si>
  <si>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</si>
  <si>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</si>
  <si>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</si>
  <si>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</si>
  <si>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</si>
  <si>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</si>
  <si>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</si>
  <si>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</si>
  <si>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</si>
  <si>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</si>
  <si>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</si>
  <si>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</si>
  <si>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</si>
  <si>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</si>
  <si>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</si>
  <si>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</si>
  <si>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</si>
  <si>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</si>
  <si>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</si>
  <si>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</si>
  <si>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</si>
  <si>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</si>
  <si>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</si>
  <si>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</si>
  <si>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</si>
  <si>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</si>
  <si>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</si>
  <si>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</si>
  <si>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</si>
  <si>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</si>
  <si>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</si>
  <si>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</si>
  <si>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</si>
  <si>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</si>
  <si>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</si>
  <si>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</si>
  <si>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</si>
  <si>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</si>
  <si>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</si>
  <si>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</si>
  <si>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</si>
  <si>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</si>
  <si>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</si>
  <si>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</si>
  <si>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</si>
  <si>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</si>
  <si>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</si>
  <si>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</si>
  <si>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</si>
  <si>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</si>
  <si>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</si>
  <si>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</si>
  <si>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</si>
  <si>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</si>
  <si>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</si>
  <si>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</si>
  <si>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</si>
  <si>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</si>
  <si>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</si>
  <si>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</si>
  <si>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</si>
  <si>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</si>
  <si>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</si>
  <si>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</si>
  <si>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</si>
  <si>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</si>
  <si>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</si>
  <si>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</si>
  <si>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</si>
  <si>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</si>
  <si>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</si>
  <si>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</si>
  <si>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</si>
  <si>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</si>
  <si>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</si>
  <si>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</si>
  <si>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</si>
  <si>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</si>
  <si>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</si>
  <si>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</si>
  <si>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</si>
  <si>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</si>
  <si>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</si>
  <si>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</si>
  <si>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</si>
  <si>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</si>
  <si>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</si>
  <si>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</si>
  <si>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</si>
  <si>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</si>
  <si>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</si>
  <si>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</si>
  <si>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</si>
  <si>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</si>
  <si>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</si>
  <si>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</si>
  <si>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</si>
  <si>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</si>
  <si>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</si>
  <si>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</si>
  <si>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</si>
  <si>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</si>
  <si>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</si>
  <si>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</si>
  <si>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</si>
  <si>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</si>
  <si>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</si>
  <si>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</si>
  <si>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</si>
  <si>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</si>
  <si>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</si>
  <si>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</si>
  <si>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</si>
  <si>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</si>
  <si>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</si>
  <si>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</si>
  <si>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</si>
  <si>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</si>
  <si>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</si>
  <si>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</si>
  <si>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</si>
  <si>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</si>
  <si>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</si>
  <si>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</si>
  <si>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</si>
  <si>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</si>
  <si>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</si>
  <si>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</si>
  <si>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</si>
  <si>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</si>
  <si>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</si>
  <si>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</si>
  <si>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</si>
  <si>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</si>
  <si>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</si>
  <si>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</si>
  <si>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</si>
  <si>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</si>
  <si>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</si>
  <si>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</si>
  <si>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</si>
  <si>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</si>
  <si>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</si>
  <si>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</si>
  <si>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</si>
  <si>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</si>
  <si>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</si>
  <si>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</si>
  <si>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</si>
  <si>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</si>
  <si>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</si>
  <si>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</si>
  <si>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</si>
  <si>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</si>
  <si>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</si>
  <si>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</si>
  <si>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</si>
  <si>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</si>
  <si>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</si>
  <si>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</si>
  <si>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</si>
  <si>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</si>
  <si>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</si>
  <si>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</si>
  <si>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</si>
  <si>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</si>
  <si>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</si>
  <si>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</si>
  <si>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</si>
  <si>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</si>
  <si>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</si>
  <si>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</si>
  <si>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</si>
  <si>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</si>
  <si>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</si>
  <si>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</si>
  <si>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</si>
  <si>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</si>
  <si>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</si>
  <si>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</si>
  <si>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</si>
  <si>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</si>
  <si>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</si>
  <si>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</si>
  <si>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</si>
  <si>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</si>
  <si>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</si>
  <si>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</si>
  <si>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</si>
  <si>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</si>
  <si>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</si>
  <si>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</si>
  <si>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</si>
  <si>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</si>
  <si>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</si>
  <si>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</si>
  <si>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</si>
  <si>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</si>
  <si>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</si>
  <si>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</si>
  <si>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</si>
  <si>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</si>
  <si>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</si>
  <si>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</si>
  <si>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</si>
  <si>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</si>
  <si>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</si>
  <si>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</si>
  <si>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</si>
  <si>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</si>
  <si>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</si>
  <si>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</si>
  <si>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</si>
  <si>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</si>
  <si>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</si>
  <si>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</si>
  <si>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</si>
  <si>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</si>
  <si>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</si>
  <si>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</si>
  <si>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</si>
  <si>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</si>
  <si>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</si>
  <si>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</si>
  <si>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</si>
  <si>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</si>
  <si>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</si>
  <si>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</si>
  <si>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</si>
  <si>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</si>
  <si>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</si>
  <si>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</si>
  <si>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</si>
  <si>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</si>
  <si>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</si>
  <si>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</si>
  <si>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</si>
  <si>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</si>
  <si>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</si>
  <si>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</si>
  <si>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</si>
  <si>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</si>
  <si>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</si>
  <si>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</si>
  <si>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</si>
  <si>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</si>
  <si>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</si>
  <si>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</si>
  <si>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</si>
  <si>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</si>
  <si>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</si>
  <si>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</si>
  <si>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</si>
  <si>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</si>
  <si>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</si>
  <si>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</si>
  <si>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</si>
  <si>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</si>
  <si>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</si>
  <si>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</si>
  <si>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</si>
  <si>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</si>
  <si>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</si>
  <si>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</si>
  <si>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</si>
  <si>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</si>
  <si>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</si>
  <si>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</si>
  <si>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</si>
  <si>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</si>
  <si>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</si>
  <si>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</si>
  <si>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</si>
  <si>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</si>
  <si>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</si>
  <si>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</si>
  <si>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</si>
  <si>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</si>
  <si>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</si>
  <si>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</si>
  <si>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</si>
  <si>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</si>
  <si>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</si>
  <si>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</si>
  <si>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</si>
  <si>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</si>
  <si>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</si>
  <si>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</si>
  <si>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</si>
  <si>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</si>
  <si>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</si>
  <si>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</si>
  <si>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</si>
  <si>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</si>
  <si>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</si>
  <si>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</si>
  <si>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</si>
  <si>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</si>
  <si>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</si>
  <si>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</si>
  <si>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</si>
  <si>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</si>
  <si>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</si>
  <si>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</si>
  <si>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</si>
  <si>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</si>
  <si>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</si>
  <si>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</si>
  <si>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</si>
  <si>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</si>
  <si>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</si>
  <si>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</si>
  <si>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</si>
  <si>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</si>
  <si>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</si>
  <si>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</si>
  <si>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</si>
  <si>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</si>
  <si>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</si>
  <si>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</si>
  <si>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</si>
  <si>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</si>
  <si>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</si>
  <si>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</si>
  <si>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</si>
  <si>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</si>
  <si>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</si>
  <si>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</si>
  <si>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</si>
  <si>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</si>
  <si>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</si>
  <si>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</si>
  <si>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</si>
  <si>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</si>
  <si>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</si>
  <si>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</si>
  <si>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</si>
  <si>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</si>
  <si>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</si>
  <si>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</si>
  <si>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</si>
  <si>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</si>
  <si>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</si>
  <si>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</si>
  <si>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</si>
  <si>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</si>
  <si>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</si>
  <si>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</si>
  <si>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</si>
  <si>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</si>
  <si>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</si>
  <si>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</si>
  <si>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</si>
  <si>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</si>
  <si>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</si>
  <si>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</si>
  <si>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</si>
  <si>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</si>
  <si>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</si>
  <si>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</si>
  <si>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</si>
  <si>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</si>
  <si>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</si>
  <si>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</si>
  <si>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</si>
  <si>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</si>
  <si>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</si>
  <si>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</si>
  <si>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</si>
  <si>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</si>
  <si>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</si>
  <si>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</si>
  <si>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</si>
  <si>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</si>
  <si>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</si>
  <si>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</si>
  <si>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</si>
  <si>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</si>
  <si>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</si>
  <si>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</si>
  <si>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</si>
  <si>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</si>
  <si>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</si>
  <si>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</si>
  <si>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</si>
  <si>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</si>
  <si>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</si>
  <si>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</si>
  <si>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</si>
  <si>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</si>
  <si>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</si>
  <si>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</si>
  <si>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</si>
  <si>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</si>
  <si>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</si>
  <si>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</si>
  <si>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</si>
  <si>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</si>
  <si>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</si>
  <si>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</si>
  <si>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</si>
  <si>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</si>
  <si>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</si>
  <si>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</si>
  <si>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</si>
  <si>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</si>
  <si>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</si>
  <si>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</si>
  <si>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</si>
  <si>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</si>
  <si>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</si>
  <si>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</si>
  <si>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</si>
  <si>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</si>
  <si>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</si>
  <si>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</si>
  <si>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</si>
  <si>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</si>
  <si>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</si>
  <si>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</si>
  <si>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</si>
  <si>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</si>
  <si>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</si>
  <si>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</si>
  <si>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</si>
  <si>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</si>
  <si>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</si>
  <si>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</si>
  <si>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</si>
  <si>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</si>
  <si>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</si>
  <si>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</si>
  <si>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</si>
  <si>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</si>
  <si>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</si>
  <si>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</si>
  <si>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</si>
  <si>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</si>
  <si>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</si>
  <si>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</si>
  <si>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</si>
  <si>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</si>
  <si>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</si>
  <si>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</si>
  <si>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</si>
  <si>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</si>
  <si>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</si>
  <si>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</si>
  <si>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</si>
  <si>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</si>
  <si>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</si>
  <si>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</si>
  <si>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</si>
  <si>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</si>
  <si>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</si>
  <si>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</si>
  <si>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</si>
  <si>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</si>
  <si>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</si>
  <si>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</si>
  <si>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</si>
  <si>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</si>
  <si>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</si>
  <si>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</si>
  <si>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</si>
  <si>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</si>
  <si>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</si>
  <si>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</si>
  <si>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</si>
  <si>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</si>
  <si>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</si>
  <si>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</si>
  <si>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</si>
  <si>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</si>
  <si>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</si>
  <si>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</si>
  <si>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</si>
  <si>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</si>
  <si>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</si>
  <si>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</si>
  <si>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</si>
  <si>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</si>
  <si>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</si>
  <si>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</si>
  <si>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</si>
  <si>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</si>
  <si>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</si>
  <si>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</si>
  <si>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</si>
  <si>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</si>
  <si>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</si>
  <si>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</si>
  <si>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</si>
  <si>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</si>
  <si>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</si>
  <si>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</si>
  <si>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</si>
  <si>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</si>
  <si>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</si>
  <si>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</si>
  <si>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</si>
  <si>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</si>
  <si>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</si>
  <si>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</si>
  <si>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</si>
  <si>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</si>
  <si>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</si>
  <si>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</si>
  <si>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</si>
  <si>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</si>
  <si>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</si>
  <si>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</si>
  <si>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</si>
  <si>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</si>
  <si>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</si>
  <si>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</si>
  <si>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</si>
  <si>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</si>
  <si>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</si>
  <si>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</si>
  <si>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</si>
  <si>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</si>
  <si>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</si>
  <si>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</si>
  <si>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</si>
  <si>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</si>
  <si>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</si>
  <si>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</si>
  <si>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</si>
  <si>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</si>
  <si>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</si>
  <si>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</si>
  <si>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</si>
  <si>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</si>
  <si>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</si>
  <si>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</si>
  <si>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</si>
  <si>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</si>
  <si>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</si>
  <si>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</si>
  <si>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</si>
  <si>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</si>
  <si>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</si>
  <si>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</si>
  <si>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</si>
  <si>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</si>
  <si>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</si>
  <si>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</si>
  <si>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</si>
  <si>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</si>
  <si>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</si>
  <si>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</si>
  <si>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</si>
  <si>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</si>
  <si>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</si>
  <si>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</si>
  <si>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</si>
  <si>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</si>
  <si>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</si>
  <si>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</si>
  <si>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</si>
  <si>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</si>
  <si>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</si>
  <si>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</si>
  <si>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</si>
  <si>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</si>
  <si>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</si>
  <si>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</si>
  <si>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</si>
  <si>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</si>
  <si>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</si>
  <si>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</si>
  <si>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</si>
  <si>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</si>
  <si>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</si>
  <si>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</si>
  <si>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</si>
  <si>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</si>
  <si>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</si>
  <si>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</si>
  <si>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</si>
  <si>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</si>
  <si>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</si>
  <si>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</si>
  <si>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</si>
  <si>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</si>
  <si>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</si>
  <si>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</si>
  <si>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</si>
  <si>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</si>
  <si>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</si>
  <si>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</si>
  <si>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</si>
  <si>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</si>
  <si>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</si>
  <si>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</si>
  <si>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</si>
  <si>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</si>
  <si>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</si>
  <si>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</si>
  <si>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</si>
  <si>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</si>
  <si>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</si>
  <si>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</si>
  <si>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</si>
  <si>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</si>
  <si>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</si>
  <si>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</si>
  <si>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</si>
  <si>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</si>
  <si>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</si>
  <si>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</si>
  <si>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</si>
  <si>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</si>
  <si>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</si>
  <si>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</si>
  <si>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</si>
  <si>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</si>
  <si>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</si>
  <si>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</si>
  <si>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</si>
  <si>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</si>
  <si>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</si>
  <si>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</si>
  <si>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</si>
  <si>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</si>
  <si>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</si>
  <si>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</si>
  <si>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</si>
  <si>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</si>
  <si>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</si>
  <si>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</si>
  <si>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</si>
  <si>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</si>
  <si>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</si>
  <si>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</si>
  <si>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</si>
  <si>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</si>
  <si>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</si>
  <si>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</si>
  <si>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</si>
  <si>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</si>
  <si>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</si>
  <si>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</si>
  <si>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</si>
  <si>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</si>
  <si>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</si>
  <si>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</si>
  <si>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</si>
  <si>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</si>
  <si>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</si>
  <si>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</si>
  <si>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</si>
  <si>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</si>
  <si>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</si>
  <si>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</si>
  <si>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</si>
  <si>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</si>
  <si>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</si>
  <si>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</si>
  <si>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</si>
  <si>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</si>
  <si>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</si>
  <si>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</si>
  <si>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</si>
  <si>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</si>
  <si>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</si>
  <si>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</si>
  <si>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</si>
  <si>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</si>
  <si>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</si>
  <si>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</si>
  <si>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</si>
  <si>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</si>
  <si>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</si>
  <si>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</si>
  <si>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</si>
  <si>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</si>
  <si>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</si>
  <si>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</si>
  <si>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</si>
  <si>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</si>
  <si>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</si>
  <si>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</si>
  <si>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</si>
  <si>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</si>
  <si>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</si>
  <si>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</si>
  <si>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</si>
  <si>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</si>
  <si>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</si>
  <si>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</si>
  <si>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</si>
  <si>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</si>
  <si>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</si>
  <si>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</si>
  <si>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</si>
  <si>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</si>
  <si>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</si>
  <si>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</si>
  <si>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</si>
  <si>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</si>
  <si>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</si>
  <si>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</si>
  <si>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</si>
  <si>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</si>
  <si>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</si>
  <si>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</si>
  <si>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</si>
  <si>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</si>
  <si>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</si>
  <si>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</si>
  <si>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</si>
  <si>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</si>
  <si>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</si>
  <si>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</si>
  <si>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</si>
  <si>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</si>
  <si>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</si>
  <si>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</si>
  <si>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</si>
  <si>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</si>
  <si>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</si>
  <si>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</si>
  <si>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</si>
  <si>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</si>
  <si>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</si>
  <si>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</si>
  <si>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</si>
  <si>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</si>
  <si>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</si>
  <si>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</si>
  <si>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</si>
  <si>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</si>
  <si>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</si>
  <si>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</si>
  <si>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</si>
  <si>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</si>
  <si>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</si>
  <si>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</si>
  <si>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</si>
  <si>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</si>
  <si>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</si>
  <si>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</si>
  <si>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</si>
  <si>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</si>
  <si>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</si>
  <si>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</si>
  <si>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</si>
  <si>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</si>
  <si>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</si>
  <si>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</si>
  <si>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</si>
  <si>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</si>
  <si>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</si>
  <si>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</si>
  <si>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</si>
  <si>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</si>
  <si>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</si>
  <si>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</si>
  <si>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</si>
  <si>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</si>
  <si>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</si>
  <si>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</si>
  <si>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</si>
  <si>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</si>
  <si>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</si>
  <si>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</si>
  <si>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</si>
  <si>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</si>
  <si>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</si>
  <si>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</si>
  <si>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</si>
  <si>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</si>
  <si>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</si>
  <si>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</si>
  <si>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</si>
  <si>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</si>
  <si>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</si>
  <si>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</si>
  <si>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</si>
  <si>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</si>
  <si>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</si>
  <si>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</si>
  <si>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</si>
  <si>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</si>
  <si>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</si>
  <si>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</si>
  <si>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</si>
  <si>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</si>
  <si>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</si>
  <si>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</si>
  <si>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</si>
  <si>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</si>
  <si>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</si>
  <si>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</si>
  <si>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</si>
  <si>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</si>
  <si>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</si>
  <si>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</si>
  <si>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</si>
  <si>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</si>
  <si>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</si>
  <si>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</si>
  <si>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</si>
  <si>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</si>
  <si>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</si>
  <si>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</si>
  <si>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</si>
  <si>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</si>
  <si>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</si>
  <si>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</si>
  <si>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</si>
  <si>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</si>
  <si>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</si>
  <si>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</si>
  <si>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</si>
  <si>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</si>
  <si>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</si>
  <si>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</si>
  <si>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</si>
  <si>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</si>
  <si>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</si>
  <si>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</si>
  <si>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</si>
  <si>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</si>
  <si>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</si>
  <si>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</si>
  <si>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</si>
  <si>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</si>
  <si>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</si>
  <si>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</si>
  <si>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</si>
  <si>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</si>
  <si>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</si>
  <si>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</si>
  <si>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</si>
  <si>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</si>
  <si>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</si>
  <si>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</si>
  <si>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</si>
  <si>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</si>
  <si>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</si>
  <si>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</si>
  <si>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</si>
  <si>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</si>
  <si>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</si>
  <si>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</si>
  <si>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</si>
  <si>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</si>
  <si>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</si>
  <si>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</si>
  <si>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</si>
  <si>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</si>
  <si>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</si>
  <si>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</si>
  <si>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</si>
  <si>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</si>
  <si>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</si>
  <si>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</si>
  <si>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</si>
  <si>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</si>
  <si>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</si>
  <si>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</si>
  <si>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</si>
  <si>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</si>
  <si>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</si>
  <si>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</si>
  <si>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</si>
  <si>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</si>
  <si>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</si>
  <si>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</si>
  <si>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</si>
  <si>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</si>
  <si>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</si>
  <si>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</si>
  <si>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</si>
  <si>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</si>
  <si>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</si>
  <si>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</si>
  <si>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</si>
  <si>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</si>
  <si>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</si>
  <si>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</si>
  <si>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</si>
  <si>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</si>
  <si>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</si>
  <si>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</si>
  <si>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</si>
  <si>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</si>
  <si>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</si>
  <si>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</si>
  <si>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</si>
  <si>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</si>
  <si>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</si>
  <si>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</si>
  <si>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</si>
  <si>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</si>
  <si>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</si>
  <si>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</si>
  <si>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</si>
  <si>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</si>
  <si>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</si>
  <si>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</si>
  <si>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</si>
  <si>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</si>
  <si>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</si>
  <si>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</si>
  <si>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</si>
  <si>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</si>
  <si>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</si>
  <si>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</si>
  <si>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</si>
  <si>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</si>
  <si>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</si>
  <si>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</si>
  <si>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</si>
  <si>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</si>
  <si>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</si>
  <si>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</si>
  <si>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</si>
  <si>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</si>
  <si>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</si>
  <si>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</si>
  <si>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</si>
  <si>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</si>
  <si>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</si>
  <si>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</si>
  <si>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</si>
  <si>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</si>
  <si>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</si>
  <si>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</si>
  <si>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</si>
  <si>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</si>
  <si>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</si>
  <si>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</si>
  <si>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</si>
  <si>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</si>
  <si>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</si>
  <si>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</si>
  <si>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</si>
  <si>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</si>
  <si>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</si>
  <si>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</si>
  <si>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</si>
  <si>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</si>
  <si>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</si>
  <si>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</si>
  <si>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</si>
  <si>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</si>
  <si>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</si>
  <si>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</si>
  <si>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</si>
  <si>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</si>
  <si>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</si>
  <si>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</si>
  <si>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</si>
  <si>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</si>
  <si>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</si>
  <si>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</si>
  <si>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</si>
  <si>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</si>
  <si>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</si>
  <si>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</si>
  <si>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</si>
  <si>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</si>
  <si>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</si>
  <si>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</si>
  <si>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</si>
  <si>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</si>
  <si>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</si>
  <si>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</si>
  <si>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</si>
  <si>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</si>
  <si>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</si>
  <si>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</si>
  <si>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</si>
  <si>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</si>
  <si>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</si>
  <si>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</si>
  <si>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</si>
  <si>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</si>
  <si>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</si>
  <si>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</si>
  <si>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</si>
  <si>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</si>
  <si>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</si>
  <si>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</si>
  <si>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</si>
  <si>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</si>
  <si>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</si>
  <si>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</si>
  <si>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</si>
  <si>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</si>
  <si>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</si>
  <si>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</si>
  <si>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</si>
  <si>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</si>
  <si>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</si>
  <si>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</si>
  <si>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</si>
  <si>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</si>
  <si>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</si>
  <si>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</si>
  <si>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</si>
  <si>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</si>
  <si>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</si>
  <si>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</si>
  <si>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</si>
  <si>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</si>
  <si>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</si>
  <si>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</si>
  <si>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</si>
  <si>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</si>
  <si>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</si>
  <si>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</si>
  <si>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</si>
  <si>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</si>
  <si>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</si>
  <si>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</si>
  <si>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</si>
  <si>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</si>
  <si>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</si>
  <si>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</si>
  <si>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</si>
  <si>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</si>
  <si>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</si>
  <si>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</si>
  <si>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</si>
  <si>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</si>
  <si>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</si>
  <si>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</si>
  <si>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</si>
  <si>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</si>
  <si>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</si>
  <si>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</si>
  <si>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</si>
  <si>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</si>
  <si>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</si>
  <si>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</si>
  <si>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</si>
  <si>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</si>
  <si>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</si>
  <si>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</si>
  <si>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</si>
  <si>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</si>
  <si>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</si>
  <si>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</si>
  <si>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</si>
  <si>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</si>
  <si>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</si>
  <si>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</si>
  <si>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</si>
  <si>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</si>
  <si>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</si>
  <si>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</si>
  <si>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</si>
  <si>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</si>
  <si>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</si>
  <si>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</si>
  <si>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</si>
  <si>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</si>
  <si>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</si>
  <si>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</si>
  <si>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</si>
  <si>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</si>
  <si>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</si>
  <si>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</si>
  <si>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</si>
  <si>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</si>
  <si>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</si>
  <si>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</si>
  <si>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</si>
  <si>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</si>
  <si>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</si>
  <si>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</si>
  <si>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</si>
  <si>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</si>
  <si>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</si>
  <si>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</si>
  <si>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</si>
  <si>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</si>
  <si>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</si>
  <si>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</si>
  <si>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</si>
  <si>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</si>
  <si>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</si>
  <si>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</si>
  <si>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</si>
  <si>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</si>
  <si>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</si>
  <si>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</si>
  <si>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</si>
  <si>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</si>
  <si>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</si>
  <si>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</si>
  <si>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</si>
  <si>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</si>
  <si>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</si>
  <si>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</si>
  <si>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</si>
  <si>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</si>
  <si>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</si>
  <si>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</si>
  <si>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</si>
  <si>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</si>
  <si>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</si>
  <si>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</si>
  <si>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</si>
  <si>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</si>
  <si>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</si>
  <si>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</si>
  <si>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</si>
  <si>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</si>
  <si>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</si>
  <si>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</si>
  <si>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</si>
  <si>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</si>
  <si>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</si>
  <si>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</si>
  <si>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</si>
  <si>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</si>
  <si>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</si>
  <si>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</si>
  <si>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</si>
  <si>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</si>
  <si>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</si>
  <si>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</si>
  <si>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</si>
  <si>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</si>
  <si>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</si>
  <si>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</si>
  <si>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</si>
  <si>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</si>
  <si>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</si>
  <si>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</si>
  <si>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</si>
  <si>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</si>
  <si>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</si>
  <si>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</si>
  <si>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</si>
  <si>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</si>
  <si>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</si>
  <si>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</si>
  <si>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</si>
  <si>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</si>
  <si>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</si>
  <si>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</si>
  <si>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</si>
  <si>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</si>
  <si>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</si>
  <si>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</si>
  <si>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</si>
  <si>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</si>
  <si>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</si>
  <si>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</si>
  <si>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</si>
  <si>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</si>
  <si>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</si>
  <si>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</si>
  <si>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</si>
  <si>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</si>
  <si>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</si>
  <si>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</si>
  <si>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</si>
  <si>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</si>
  <si>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</si>
  <si>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</si>
  <si>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</si>
  <si>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</si>
  <si>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</si>
  <si>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</si>
  <si>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</si>
  <si>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</si>
  <si>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</si>
  <si>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</si>
  <si>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</si>
  <si>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</si>
  <si>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</si>
  <si>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</si>
  <si>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</si>
  <si>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</si>
  <si>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</si>
  <si>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</si>
  <si>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</si>
  <si>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</si>
  <si>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</si>
  <si>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</si>
  <si>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</si>
  <si>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</si>
  <si>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</si>
  <si>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</si>
  <si>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</si>
  <si>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</si>
  <si>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</si>
  <si>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</si>
  <si>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</si>
  <si>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</si>
  <si>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</si>
  <si>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</si>
  <si>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</si>
  <si>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</si>
  <si>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</si>
  <si>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</si>
  <si>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</si>
  <si>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</si>
  <si>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</si>
  <si>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</si>
  <si>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</si>
  <si>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</si>
  <si>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</si>
  <si>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</si>
  <si>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</si>
  <si>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</si>
  <si>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</si>
  <si>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</si>
  <si>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</si>
  <si>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</si>
  <si>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</si>
  <si>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</si>
  <si>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</si>
  <si>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</si>
  <si>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</si>
  <si>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</si>
  <si>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</si>
  <si>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</si>
  <si>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</si>
  <si>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</si>
  <si>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</si>
  <si>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</si>
  <si>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</si>
  <si>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</si>
  <si>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</si>
  <si>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</si>
  <si>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</si>
  <si>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</si>
  <si>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</si>
  <si>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</si>
  <si>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</si>
  <si>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</si>
  <si>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</si>
  <si>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</si>
  <si>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</si>
  <si>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</si>
  <si>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</si>
  <si>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</si>
  <si>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</si>
  <si>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</si>
  <si>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</si>
  <si>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</si>
  <si>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</si>
  <si>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</si>
  <si>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</si>
  <si>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</si>
  <si>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</si>
  <si>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</si>
  <si>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</si>
  <si>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</si>
  <si>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</si>
  <si>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</si>
  <si>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</si>
  <si>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</si>
  <si>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</si>
  <si>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</si>
  <si>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</si>
  <si>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</si>
  <si>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</si>
  <si>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</si>
  <si>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</si>
  <si>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</si>
  <si>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</si>
  <si>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</si>
  <si>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</si>
  <si>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</si>
  <si>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</si>
  <si>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</si>
  <si>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</si>
  <si>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</si>
  <si>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</si>
  <si>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</si>
  <si>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</si>
  <si>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</si>
  <si>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</si>
  <si>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</si>
  <si>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</si>
  <si>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</si>
  <si>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</si>
  <si>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</si>
  <si>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</si>
  <si>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</si>
  <si>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</si>
  <si>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</si>
  <si>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</si>
  <si>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</si>
  <si>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</si>
  <si>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</si>
  <si>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</si>
  <si>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</si>
  <si>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</si>
  <si>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</si>
  <si>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</si>
  <si>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</si>
  <si>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</si>
  <si>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</si>
  <si>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</si>
  <si>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</si>
  <si>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</si>
  <si>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</si>
  <si>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</si>
  <si>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</si>
  <si>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</si>
  <si>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</si>
  <si>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</si>
  <si>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</si>
  <si>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</si>
  <si>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</si>
  <si>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</si>
  <si>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</si>
  <si>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</si>
  <si>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</si>
  <si>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</si>
  <si>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</si>
  <si>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</si>
  <si>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</si>
  <si>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</si>
  <si>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</si>
  <si>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</si>
  <si>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</si>
  <si>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</si>
  <si>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</si>
  <si>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</si>
  <si>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</si>
  <si>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</si>
  <si>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</si>
  <si>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</si>
  <si>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</si>
  <si>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</si>
  <si>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</si>
  <si>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</si>
  <si>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</si>
  <si>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</si>
  <si>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</si>
  <si>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</si>
  <si>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</si>
  <si>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</si>
  <si>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</si>
  <si>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</si>
  <si>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</si>
  <si>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</si>
  <si>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</si>
  <si>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</si>
  <si>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</si>
  <si>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</si>
  <si>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</si>
  <si>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</si>
  <si>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</si>
  <si>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</si>
  <si>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</si>
  <si>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</si>
  <si>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</si>
  <si>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</si>
  <si>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</si>
  <si>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</si>
  <si>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</si>
  <si>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</si>
  <si>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</si>
  <si>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</si>
  <si>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</si>
  <si>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</si>
  <si>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</si>
  <si>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</si>
  <si>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</si>
  <si>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</si>
  <si>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</si>
  <si>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</si>
  <si>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</si>
  <si>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</si>
  <si>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</si>
  <si>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</si>
  <si>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</si>
  <si>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</si>
  <si>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</si>
  <si>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</si>
  <si>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</si>
  <si>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</si>
  <si>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</si>
  <si>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</si>
  <si>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</si>
  <si>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</si>
  <si>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</si>
  <si>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</si>
  <si>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</si>
  <si>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</si>
  <si>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</si>
  <si>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</si>
  <si>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</si>
  <si>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</si>
  <si>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</si>
  <si>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</si>
  <si>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</si>
  <si>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</si>
  <si>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</si>
  <si>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</si>
  <si>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</si>
  <si>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</si>
  <si>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</si>
  <si>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</si>
  <si>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</si>
  <si>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</si>
  <si>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</si>
  <si>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</si>
  <si>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</si>
  <si>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</si>
  <si>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</si>
  <si>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</si>
  <si>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</si>
  <si>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</si>
  <si>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</si>
  <si>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</si>
  <si>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</si>
  <si>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</si>
  <si>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</si>
  <si>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</si>
  <si>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</si>
  <si>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</si>
  <si>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</si>
  <si>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</si>
  <si>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</si>
  <si>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</si>
  <si>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</si>
  <si>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</si>
  <si>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</si>
  <si>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</si>
  <si>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</si>
  <si>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</si>
  <si>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</si>
  <si>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</si>
  <si>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</si>
  <si>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</si>
  <si>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</si>
  <si>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</si>
  <si>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</si>
  <si>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</si>
  <si>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</si>
  <si>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</si>
  <si>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</si>
  <si>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</si>
  <si>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</si>
  <si>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</si>
  <si>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</si>
  <si>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</si>
  <si>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</si>
  <si>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</si>
  <si>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</si>
  <si>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</si>
  <si>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</si>
  <si>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</si>
  <si>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</si>
  <si>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</si>
  <si>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</si>
  <si>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</si>
  <si>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</si>
  <si>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</si>
  <si>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</si>
  <si>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</si>
  <si>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</si>
  <si>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</si>
  <si>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</si>
  <si>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</si>
  <si>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</si>
  <si>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</si>
  <si>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</si>
  <si>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</si>
  <si>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</si>
  <si>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</si>
  <si>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</si>
  <si>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</si>
  <si>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</si>
  <si>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</si>
  <si>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</si>
  <si>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</si>
  <si>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</si>
  <si>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</si>
  <si>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</si>
  <si>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</si>
  <si>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</si>
  <si>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</si>
  <si>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</si>
  <si>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</si>
  <si>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</si>
  <si>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</si>
  <si>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</si>
  <si>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</si>
  <si>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</si>
  <si>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</si>
  <si>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</si>
  <si>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</si>
  <si>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</si>
  <si>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</si>
  <si>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</si>
  <si>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</si>
  <si>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</si>
  <si>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</si>
  <si>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</si>
  <si>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</si>
  <si>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</si>
  <si>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</si>
  <si>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</si>
  <si>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</si>
  <si>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</si>
  <si>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</si>
  <si>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</si>
  <si>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</si>
  <si>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</si>
  <si>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</si>
  <si>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</si>
  <si>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</si>
  <si>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</si>
  <si>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</si>
  <si>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</si>
  <si>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</si>
  <si>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</si>
  <si>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</si>
  <si>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</si>
  <si>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</si>
  <si>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</si>
  <si>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</si>
  <si>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</si>
  <si>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</si>
  <si>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</si>
  <si>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</si>
  <si>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</si>
  <si>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</si>
  <si>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</si>
  <si>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</si>
  <si>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</si>
  <si>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</si>
  <si>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</si>
  <si>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</si>
  <si>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</si>
  <si>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</si>
  <si>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</si>
  <si>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</si>
  <si>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</si>
  <si>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</si>
  <si>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</si>
  <si>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</si>
  <si>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</si>
  <si>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</si>
  <si>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</si>
  <si>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</si>
  <si>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</si>
  <si>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</si>
  <si>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</si>
  <si>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</si>
  <si>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</si>
  <si>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</si>
  <si>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</si>
  <si>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</si>
  <si>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</si>
  <si>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</si>
  <si>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</si>
  <si>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</si>
  <si>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</si>
  <si>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</si>
  <si>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</si>
  <si>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</si>
  <si>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</si>
  <si>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</si>
  <si>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</si>
  <si>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</si>
  <si>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</si>
  <si>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</si>
  <si>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</si>
  <si>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</si>
  <si>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</si>
  <si>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</si>
  <si>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</si>
  <si>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</si>
  <si>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</si>
  <si>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</si>
  <si>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</si>
  <si>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</si>
  <si>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</si>
  <si>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</si>
  <si>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</si>
  <si>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</si>
  <si>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</si>
  <si>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</si>
  <si>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</si>
  <si>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</si>
  <si>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</si>
  <si>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</si>
  <si>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</si>
  <si>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</si>
  <si>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</si>
  <si>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</si>
  <si>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</si>
  <si>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</si>
  <si>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</si>
  <si>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</si>
  <si>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</si>
  <si>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</si>
  <si>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</si>
  <si>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</si>
  <si>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</si>
  <si>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</si>
  <si>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</si>
  <si>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</si>
  <si>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</si>
  <si>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</si>
  <si>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</si>
  <si>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</si>
  <si>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</si>
  <si>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</si>
  <si>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</si>
  <si>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</si>
  <si>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</si>
  <si>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</si>
  <si>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</si>
  <si>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</si>
  <si>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</si>
  <si>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</si>
  <si>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</si>
  <si>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</si>
  <si>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</si>
  <si>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</si>
  <si>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</si>
  <si>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</si>
  <si>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</si>
  <si>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</si>
  <si>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</si>
  <si>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</si>
  <si>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</si>
  <si>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</si>
  <si>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</si>
  <si>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</si>
  <si>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</si>
  <si>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</si>
  <si>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</si>
  <si>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</si>
  <si>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</si>
  <si>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</si>
  <si>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</si>
  <si>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</si>
  <si>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</si>
  <si>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</si>
  <si>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</si>
  <si>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</si>
  <si>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</si>
  <si>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</si>
  <si>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</si>
  <si>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</si>
  <si>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</si>
  <si>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</si>
  <si>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</si>
  <si>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</si>
  <si>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</si>
  <si>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</si>
  <si>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</si>
  <si>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</si>
  <si>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</si>
  <si>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</si>
  <si>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</si>
  <si>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</si>
  <si>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</si>
  <si>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</si>
  <si>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</si>
  <si>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</si>
  <si>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</si>
  <si>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</si>
  <si>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</si>
  <si>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</si>
  <si>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</si>
  <si>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</si>
  <si>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</si>
  <si>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</si>
  <si>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</si>
  <si>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</si>
  <si>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</si>
  <si>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</si>
  <si>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</si>
  <si>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</si>
  <si>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</si>
  <si>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</si>
  <si>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</si>
  <si>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</si>
  <si>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</si>
  <si>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</si>
  <si>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</si>
  <si>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</si>
  <si>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</si>
  <si>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</si>
  <si>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</si>
  <si>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</si>
  <si>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</si>
  <si>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</si>
  <si>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</si>
  <si>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</si>
  <si>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</si>
  <si>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</si>
  <si>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</si>
  <si>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</si>
  <si>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</si>
  <si>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</si>
  <si>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</si>
  <si>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</si>
  <si>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</si>
  <si>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</si>
  <si>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</si>
  <si>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</si>
  <si>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</si>
  <si>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</si>
  <si>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</si>
  <si>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</si>
  <si>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</si>
  <si>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</si>
  <si>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</si>
  <si>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</si>
  <si>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</si>
  <si>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</si>
  <si>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</si>
  <si>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</si>
  <si>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</si>
  <si>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</si>
  <si>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</si>
  <si>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</si>
  <si>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</si>
  <si>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</si>
  <si>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</si>
  <si>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</si>
  <si>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</si>
  <si>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</si>
  <si>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</si>
  <si>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</si>
  <si>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</si>
  <si>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</si>
  <si>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</si>
  <si>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</si>
  <si>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</si>
  <si>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</si>
  <si>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</si>
  <si>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</si>
  <si>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</si>
  <si>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</si>
  <si>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</si>
  <si>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</si>
  <si>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</si>
  <si>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</si>
  <si>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</si>
  <si>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</si>
  <si>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</si>
  <si>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</si>
  <si>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</si>
  <si>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</si>
  <si>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</si>
  <si>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</si>
  <si>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</si>
  <si>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</si>
  <si>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</si>
  <si>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</si>
  <si>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</si>
  <si>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</si>
  <si>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</si>
  <si>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</si>
  <si>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</si>
  <si>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</si>
  <si>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</si>
  <si>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</si>
  <si>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</si>
  <si>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</si>
  <si>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</si>
  <si>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</si>
  <si>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</si>
  <si>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</si>
  <si>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</si>
  <si>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</si>
  <si>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</si>
  <si>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</si>
  <si>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</si>
  <si>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</si>
  <si>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</si>
  <si>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</si>
  <si>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</si>
  <si>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</si>
  <si>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</si>
  <si>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</si>
  <si>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</si>
  <si>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</si>
  <si>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</si>
  <si>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</si>
  <si>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</si>
  <si>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</si>
  <si>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</si>
  <si>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</si>
  <si>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</si>
  <si>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</si>
  <si>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</si>
  <si>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</si>
  <si>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</si>
  <si>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</si>
  <si>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</si>
  <si>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</si>
  <si>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</si>
  <si>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</si>
  <si>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</si>
  <si>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</si>
  <si>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</si>
  <si>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</si>
  <si>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</si>
  <si>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</si>
  <si>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</si>
  <si>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</si>
  <si>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</si>
  <si>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</si>
  <si>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</si>
  <si>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</si>
  <si>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</si>
  <si>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</si>
  <si>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</si>
  <si>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</si>
  <si>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</si>
  <si>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</si>
  <si>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</si>
  <si>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</si>
  <si>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</si>
  <si>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</si>
  <si>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</si>
  <si>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</si>
  <si>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</si>
  <si>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</si>
  <si>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</si>
  <si>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</si>
  <si>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</si>
  <si>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</si>
  <si>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</si>
  <si>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</si>
  <si>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</si>
  <si>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</si>
  <si>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</si>
  <si>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</si>
  <si>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</si>
  <si>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</si>
  <si>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</si>
  <si>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</si>
  <si>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</si>
  <si>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</si>
  <si>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</si>
  <si>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</si>
  <si>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</si>
  <si>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</si>
  <si>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</si>
  <si>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</si>
  <si>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</si>
  <si>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</si>
  <si>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</si>
  <si>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</si>
  <si>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</si>
  <si>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</si>
  <si>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</si>
  <si>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</si>
  <si>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</si>
  <si>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</si>
  <si>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</si>
  <si>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</si>
  <si>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</si>
  <si>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</si>
  <si>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</si>
  <si>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</si>
  <si>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</si>
  <si>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</si>
  <si>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</si>
  <si>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</si>
  <si>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</si>
  <si>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</si>
  <si>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</si>
  <si>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</si>
  <si>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</si>
  <si>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</si>
  <si>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</si>
  <si>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</si>
  <si>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</si>
  <si>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</si>
  <si>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</si>
  <si>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</si>
  <si>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</si>
  <si>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</si>
  <si>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</si>
  <si>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</si>
  <si>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</si>
  <si>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</si>
  <si>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</si>
  <si>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</si>
  <si>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</si>
  <si>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</si>
  <si>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</si>
  <si>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</si>
  <si>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</si>
  <si>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</si>
  <si>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</si>
  <si>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</si>
  <si>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</si>
  <si>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</si>
  <si>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</si>
  <si>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</si>
  <si>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</si>
  <si>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</si>
  <si>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</si>
  <si>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</si>
  <si>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</si>
  <si>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</si>
  <si>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</si>
  <si>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</si>
  <si>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</si>
  <si>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</si>
  <si>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</si>
  <si>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</si>
  <si>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</si>
  <si>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</si>
  <si>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</si>
  <si>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</si>
  <si>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</si>
  <si>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</si>
  <si>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</si>
  <si>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</si>
  <si>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</si>
  <si>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</si>
  <si>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</si>
  <si>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</si>
  <si>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</si>
  <si>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</si>
  <si>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</si>
  <si>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</si>
  <si>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</si>
  <si>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</si>
  <si>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</si>
  <si>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</si>
  <si>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</si>
  <si>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</si>
  <si>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</si>
  <si>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</si>
  <si>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</si>
  <si>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</si>
  <si>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</si>
  <si>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</si>
  <si>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</si>
  <si>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</si>
  <si>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</si>
  <si>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</si>
  <si>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</si>
  <si>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</si>
  <si>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</si>
  <si>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</si>
  <si>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</si>
  <si>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</si>
  <si>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</si>
  <si>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</si>
  <si>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</si>
  <si>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</si>
  <si>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</si>
  <si>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</si>
  <si>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</si>
  <si>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</si>
  <si>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</si>
  <si>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</si>
  <si>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</si>
  <si>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</si>
  <si>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</si>
  <si>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</si>
  <si>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</si>
  <si>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</si>
  <si>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</si>
  <si>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</si>
  <si>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</si>
  <si>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</si>
  <si>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</si>
  <si>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</si>
  <si>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</si>
  <si>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</si>
  <si>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</si>
  <si>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</si>
  <si>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</si>
  <si>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</si>
  <si>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</si>
  <si>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</si>
  <si>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</si>
  <si>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</si>
  <si>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</si>
  <si>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</si>
  <si>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</si>
  <si>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</si>
  <si>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</si>
  <si>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</si>
  <si>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</si>
  <si>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</si>
  <si>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</si>
  <si>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</si>
  <si>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</si>
  <si>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</si>
  <si>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</si>
  <si>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</si>
  <si>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</si>
  <si>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</si>
  <si>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</si>
  <si>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</si>
  <si>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</si>
  <si>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</si>
  <si>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</si>
  <si>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</si>
  <si>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</si>
  <si>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</si>
  <si>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</si>
  <si>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</si>
  <si>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</si>
  <si>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</si>
  <si>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</si>
  <si>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</si>
  <si>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</si>
  <si>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</si>
  <si>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</si>
  <si>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</si>
  <si>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</si>
  <si>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</si>
  <si>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</si>
  <si>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</si>
  <si>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</si>
  <si>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</si>
  <si>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</si>
  <si>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</si>
  <si>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</si>
  <si>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</si>
  <si>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</si>
  <si>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</si>
  <si>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</si>
  <si>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</si>
  <si>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</si>
  <si>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</si>
  <si>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</si>
  <si>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</si>
  <si>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</si>
  <si>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</si>
  <si>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</si>
  <si>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</si>
  <si>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</si>
  <si>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</si>
  <si>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</si>
  <si>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</si>
  <si>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</si>
  <si>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</si>
  <si>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</si>
  <si>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</si>
  <si>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</si>
  <si>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</si>
  <si>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</si>
  <si>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</si>
  <si>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</si>
  <si>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</si>
  <si>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</si>
  <si>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</si>
  <si>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</si>
  <si>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</si>
  <si>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</si>
  <si>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</si>
  <si>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</si>
  <si>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</si>
  <si>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</si>
  <si>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</si>
  <si>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</si>
  <si>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</si>
  <si>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</si>
  <si>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</si>
  <si>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</si>
  <si>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</si>
  <si>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</si>
  <si>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</si>
  <si>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</si>
  <si>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</si>
  <si>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</si>
  <si>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</si>
  <si>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</si>
  <si>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</si>
  <si>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</si>
  <si>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</si>
  <si>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</si>
  <si>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</si>
  <si>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</si>
  <si>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</si>
  <si>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</si>
  <si>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</si>
  <si>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</si>
  <si>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</si>
  <si>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</si>
  <si>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</si>
  <si>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</si>
  <si>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</si>
  <si>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</si>
  <si>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</si>
  <si>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</si>
  <si>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</si>
  <si>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</si>
  <si>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</si>
  <si>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</si>
  <si>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</si>
  <si>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</si>
  <si>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</si>
  <si>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</si>
  <si>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</si>
  <si>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</si>
  <si>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</si>
  <si>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</si>
  <si>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</si>
  <si>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</si>
  <si>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</si>
  <si>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</si>
  <si>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</si>
  <si>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</si>
  <si>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</si>
  <si>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</si>
  <si>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</si>
  <si>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</si>
  <si>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</si>
  <si>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</si>
  <si>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</si>
  <si>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</si>
  <si>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</si>
  <si>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</si>
  <si>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</si>
  <si>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</si>
  <si>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</si>
  <si>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</si>
  <si>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</si>
  <si>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</si>
  <si>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</si>
  <si>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</si>
  <si>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</si>
  <si>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</si>
  <si>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</si>
  <si>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</si>
  <si>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</si>
  <si>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</si>
  <si>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</si>
  <si>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</si>
  <si>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</si>
  <si>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</si>
  <si>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</si>
  <si>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</si>
  <si>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</si>
  <si>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</si>
  <si>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</si>
  <si>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</si>
  <si>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</si>
  <si>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</si>
  <si>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</si>
  <si>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</si>
  <si>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</si>
  <si>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</si>
  <si>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</si>
  <si>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</si>
  <si>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</si>
  <si>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</si>
  <si>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</si>
  <si>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</si>
  <si>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</si>
  <si>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</si>
  <si>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</si>
  <si>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</si>
  <si>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</si>
  <si>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</si>
  <si>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</si>
  <si>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</si>
  <si>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</si>
  <si>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</si>
  <si>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</si>
  <si>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</si>
  <si>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</si>
  <si>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</si>
  <si>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</si>
  <si>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</si>
  <si>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</si>
  <si>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</si>
  <si>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</si>
  <si>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</si>
  <si>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</si>
  <si>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</si>
  <si>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</si>
  <si>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</si>
  <si>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</si>
  <si>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</si>
  <si>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</si>
  <si>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</si>
  <si>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</si>
  <si>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</si>
  <si>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</si>
  <si>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</si>
  <si>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</si>
  <si>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</si>
  <si>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</si>
  <si>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</si>
  <si>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</si>
  <si>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</si>
  <si>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</si>
  <si>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</si>
  <si>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</si>
  <si>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</si>
  <si>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</si>
  <si>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</si>
  <si>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</si>
  <si>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</si>
  <si>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</si>
  <si>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</si>
  <si>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</si>
  <si>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</si>
  <si>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</si>
  <si>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</si>
  <si>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</si>
  <si>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</si>
  <si>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</si>
  <si>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</si>
  <si>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</si>
  <si>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</si>
  <si>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</si>
  <si>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</si>
  <si>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</si>
  <si>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</si>
  <si>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</si>
  <si>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</si>
  <si>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</si>
  <si>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</si>
  <si>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</si>
  <si>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</si>
  <si>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</si>
  <si>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</si>
  <si>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</si>
  <si>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</si>
  <si>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</si>
  <si>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</si>
  <si>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</si>
  <si>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</si>
  <si>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</si>
  <si>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</si>
  <si>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</si>
  <si>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</si>
  <si>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</si>
  <si>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</si>
  <si>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</si>
  <si>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</si>
  <si>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</si>
  <si>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</si>
  <si>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</si>
  <si>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</si>
  <si>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</si>
  <si>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</si>
  <si>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</si>
  <si>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</si>
  <si>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</si>
  <si>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</si>
  <si>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</si>
  <si>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</si>
  <si>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</si>
  <si>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</si>
  <si>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</si>
  <si>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</si>
  <si>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</si>
  <si>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</si>
  <si>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</si>
  <si>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</si>
  <si>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</si>
  <si>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</si>
  <si>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</si>
  <si>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</si>
  <si>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</si>
  <si>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</si>
  <si>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</si>
  <si>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</si>
  <si>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</si>
  <si>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</si>
  <si>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</si>
  <si>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</si>
  <si>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</si>
  <si>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</si>
  <si>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</si>
  <si>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</si>
  <si>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</si>
  <si>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</si>
  <si>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</si>
  <si>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</si>
  <si>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</si>
  <si>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</si>
  <si>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</si>
  <si>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</si>
  <si>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</si>
  <si>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</si>
  <si>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</si>
  <si>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</si>
  <si>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</si>
  <si>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</si>
  <si>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</si>
  <si>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</si>
  <si>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</si>
  <si>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</si>
  <si>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</si>
  <si>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</si>
  <si>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</si>
  <si>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</si>
  <si>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</si>
  <si>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</si>
  <si>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</si>
  <si>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</si>
  <si>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</si>
  <si>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</si>
  <si>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</si>
  <si>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</si>
  <si>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</si>
  <si>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</si>
  <si>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</si>
  <si>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</si>
  <si>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</si>
  <si>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</si>
  <si>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</si>
  <si>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</si>
  <si>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</si>
  <si>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</si>
  <si>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</si>
  <si>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</si>
  <si>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</si>
  <si>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</si>
  <si>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</si>
  <si>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</si>
  <si>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</si>
  <si>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</si>
  <si>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</si>
  <si>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</si>
  <si>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</si>
  <si>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</si>
  <si>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</si>
  <si>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</si>
  <si>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</si>
  <si>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</si>
  <si>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</si>
  <si>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</si>
  <si>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</si>
  <si>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</si>
  <si>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</si>
  <si>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</si>
  <si>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</si>
  <si>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</si>
  <si>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</si>
  <si>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</si>
  <si>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</si>
  <si>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</si>
  <si>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</si>
  <si>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</si>
  <si>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</si>
  <si>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</si>
  <si>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</si>
  <si>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</si>
  <si>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</si>
  <si>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</si>
  <si>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</si>
  <si>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</si>
  <si>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</si>
  <si>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</si>
  <si>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</si>
  <si>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</si>
  <si>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</si>
  <si>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</si>
  <si>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</si>
  <si>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</si>
  <si>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</si>
  <si>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</si>
  <si>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</si>
  <si>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</si>
  <si>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</si>
  <si>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</si>
  <si>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</si>
  <si>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</si>
  <si>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</si>
  <si>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</si>
  <si>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</si>
  <si>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</si>
  <si>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</si>
  <si>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</si>
  <si>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</si>
  <si>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</si>
  <si>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</si>
  <si>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</si>
  <si>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</si>
  <si>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</si>
  <si>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</si>
  <si>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</si>
  <si>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</si>
  <si>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</si>
  <si>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</si>
  <si>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</si>
  <si>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</si>
  <si>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</si>
  <si>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</si>
  <si>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</si>
  <si>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</si>
  <si>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</si>
  <si>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</si>
  <si>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</si>
  <si>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</si>
  <si>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</si>
  <si>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</si>
  <si>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</si>
  <si>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</si>
  <si>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</si>
  <si>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</si>
  <si>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</si>
  <si>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</si>
  <si>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</si>
  <si>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</si>
  <si>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</si>
  <si>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</si>
  <si>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</si>
  <si>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</si>
  <si>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</si>
  <si>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</si>
  <si>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</si>
  <si>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</si>
  <si>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</si>
  <si>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</si>
  <si>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</si>
  <si>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</si>
  <si>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</si>
  <si>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</si>
  <si>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</si>
  <si>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</si>
  <si>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</si>
  <si>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</si>
  <si>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</si>
  <si>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</si>
  <si>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</si>
  <si>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</si>
  <si>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</si>
  <si>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</si>
  <si>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</si>
  <si>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</si>
  <si>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</si>
  <si>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</si>
  <si>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</si>
  <si>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</si>
  <si>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</si>
  <si>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</si>
  <si>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</si>
  <si>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</si>
  <si>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</si>
  <si>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</si>
  <si>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</si>
  <si>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</si>
  <si>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</si>
  <si>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</si>
  <si>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</si>
  <si>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</si>
  <si>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</si>
  <si>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</si>
  <si>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</si>
  <si>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</si>
  <si>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</si>
  <si>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</si>
  <si>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</si>
  <si>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</si>
  <si>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</si>
  <si>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</si>
  <si>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</si>
  <si>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</si>
  <si>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</si>
  <si>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</si>
  <si>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</si>
  <si>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</si>
  <si>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</si>
  <si>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</si>
  <si>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</si>
  <si>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</si>
  <si>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</si>
  <si>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</si>
  <si>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</si>
  <si>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</si>
  <si>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</si>
  <si>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</si>
  <si>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</si>
  <si>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</si>
  <si>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</si>
  <si>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</si>
  <si>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</si>
  <si>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</si>
  <si>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</si>
  <si>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</si>
  <si>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</si>
  <si>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</si>
  <si>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</si>
  <si>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</si>
  <si>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</si>
  <si>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</si>
  <si>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</si>
  <si>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</si>
  <si>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</si>
  <si>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</si>
  <si>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</si>
  <si>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</si>
  <si>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</si>
  <si>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</si>
  <si>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</si>
  <si>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</si>
  <si>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</si>
  <si>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</si>
  <si>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</si>
  <si>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</si>
  <si>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</si>
  <si>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</si>
  <si>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</si>
  <si>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</si>
  <si>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</si>
  <si>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</si>
  <si>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</si>
  <si>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</si>
  <si>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</si>
  <si>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</si>
  <si>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</si>
  <si>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</si>
  <si>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</si>
  <si>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</si>
  <si>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</si>
  <si>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</si>
  <si>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</si>
  <si>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</si>
  <si>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</si>
  <si>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</si>
  <si>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</si>
  <si>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</si>
  <si>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</si>
  <si>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</si>
  <si>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</si>
  <si>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</si>
  <si>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</si>
  <si>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</si>
  <si>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</si>
  <si>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</si>
  <si>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</si>
  <si>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</si>
  <si>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</si>
  <si>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</si>
  <si>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</si>
  <si>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</si>
  <si>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</si>
  <si>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</si>
  <si>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</si>
  <si>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</si>
  <si>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</si>
  <si>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</si>
  <si>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</si>
  <si>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</si>
  <si>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</si>
  <si>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</si>
  <si>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</si>
  <si>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</si>
  <si>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</si>
  <si>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</si>
  <si>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</si>
  <si>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</si>
  <si>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</si>
  <si>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</si>
  <si>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</si>
  <si>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</si>
  <si>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</si>
  <si>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</si>
  <si>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</si>
  <si>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</si>
  <si>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</si>
  <si>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</si>
  <si>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</si>
  <si>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</si>
  <si>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</si>
  <si>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</si>
  <si>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</si>
  <si>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</si>
  <si>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</si>
  <si>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</si>
  <si>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</si>
  <si>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</si>
  <si>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</si>
  <si>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</si>
  <si>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</si>
  <si>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</si>
  <si>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</si>
  <si>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</si>
  <si>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</si>
  <si>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</si>
  <si>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</si>
  <si>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</si>
  <si>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</si>
  <si>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</si>
  <si>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</si>
  <si>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</si>
  <si>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</si>
  <si>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</si>
  <si>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</si>
  <si>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</si>
  <si>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</si>
  <si>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</si>
  <si>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</si>
  <si>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</si>
  <si>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</si>
  <si>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</si>
  <si>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</si>
  <si>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</si>
  <si>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</si>
  <si>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</si>
  <si>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</si>
  <si>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</si>
  <si>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</si>
  <si>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</si>
  <si>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</si>
  <si>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</si>
  <si>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</si>
  <si>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</si>
  <si>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</si>
  <si>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</si>
  <si>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</si>
  <si>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</si>
  <si>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</si>
  <si>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</si>
  <si>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</si>
  <si>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</si>
  <si>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</si>
  <si>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</si>
  <si>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</si>
  <si>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</si>
  <si>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</si>
  <si>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</si>
  <si>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</si>
  <si>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</si>
  <si>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</si>
  <si>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</si>
  <si>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</si>
  <si>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</si>
  <si>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</si>
  <si>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</si>
  <si>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</si>
  <si>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</si>
  <si>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</si>
  <si>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</si>
  <si>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</si>
  <si>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</si>
  <si>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</si>
  <si>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</si>
  <si>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</si>
  <si>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</si>
  <si>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</si>
  <si>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</si>
  <si>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</si>
  <si>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</si>
  <si>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</si>
  <si>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</si>
  <si>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</si>
  <si>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</si>
  <si>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</si>
  <si>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</si>
  <si>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</si>
  <si>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</si>
  <si>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</si>
  <si>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</si>
  <si>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</si>
  <si>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</si>
  <si>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</si>
  <si>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</si>
  <si>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</si>
  <si>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</si>
  <si>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</si>
  <si>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</si>
  <si>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</si>
  <si>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</si>
  <si>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</si>
  <si>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</si>
  <si>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</si>
  <si>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</si>
  <si>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</si>
  <si>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</si>
  <si>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</si>
  <si>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</si>
  <si>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</si>
  <si>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</si>
  <si>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</si>
  <si>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</si>
  <si>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</si>
  <si>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</si>
  <si>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</si>
  <si>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</si>
  <si>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</si>
  <si>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</si>
  <si>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</si>
  <si>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</si>
  <si>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</si>
  <si>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</si>
  <si>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</si>
  <si>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</si>
  <si>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</si>
  <si>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</si>
  <si>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</si>
  <si>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</si>
  <si>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</si>
  <si>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</si>
  <si>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</si>
  <si>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</si>
  <si>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</si>
  <si>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</si>
  <si>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</si>
  <si>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</si>
  <si>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</si>
  <si>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</si>
  <si>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</si>
  <si>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</si>
  <si>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</si>
  <si>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</si>
  <si>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</si>
  <si>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</si>
  <si>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</si>
  <si>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</si>
  <si>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</si>
  <si>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</si>
  <si>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</si>
  <si>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</si>
  <si>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</si>
  <si>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</si>
  <si>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</si>
  <si>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</si>
  <si>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</si>
  <si>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</si>
  <si>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</si>
  <si>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</si>
  <si>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</si>
  <si>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</si>
  <si>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</si>
  <si>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</si>
  <si>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</si>
  <si>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</si>
  <si>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</si>
  <si>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</si>
  <si>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</si>
  <si>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</si>
  <si>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</si>
  <si>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</si>
  <si>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</si>
  <si>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</si>
  <si>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</si>
  <si>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</si>
  <si>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</si>
  <si>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</si>
  <si>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</si>
  <si>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</si>
  <si>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</si>
  <si>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</si>
  <si>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</si>
  <si>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</si>
  <si>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</si>
  <si>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</si>
  <si>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</si>
  <si>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</si>
  <si>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</si>
  <si>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</si>
  <si>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</si>
  <si>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</si>
  <si>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</si>
  <si>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</si>
  <si>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</si>
  <si>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</si>
  <si>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</si>
  <si>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</si>
  <si>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</si>
  <si>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</si>
  <si>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</si>
  <si>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</si>
  <si>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</si>
  <si>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</si>
  <si>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</si>
  <si>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</si>
  <si>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</si>
  <si>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</si>
  <si>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</si>
  <si>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</si>
  <si>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</si>
  <si>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</si>
  <si>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</si>
  <si>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</si>
  <si>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</si>
  <si>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</si>
  <si>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</si>
  <si>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</si>
  <si>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</si>
  <si>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</si>
  <si>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</si>
  <si>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</si>
  <si>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</si>
  <si>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</si>
  <si>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</si>
  <si>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</si>
  <si>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</si>
  <si>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</si>
  <si>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</si>
  <si>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</si>
  <si>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</si>
  <si>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</si>
  <si>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</si>
  <si>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</si>
  <si>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</si>
  <si>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</si>
  <si>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</si>
  <si>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</si>
  <si>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</si>
  <si>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</si>
  <si>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</si>
  <si>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</si>
  <si>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</si>
  <si>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</si>
  <si>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</si>
  <si>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</si>
  <si>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</si>
  <si>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</si>
  <si>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</si>
  <si>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</si>
  <si>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</si>
  <si>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</si>
  <si>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</si>
  <si>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</si>
  <si>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</si>
  <si>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</si>
  <si>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</si>
  <si>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</si>
  <si>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</si>
  <si>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</si>
  <si>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</si>
  <si>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</si>
  <si>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</si>
  <si>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</si>
  <si>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</si>
  <si>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</si>
  <si>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</si>
  <si>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</si>
  <si>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</si>
  <si>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</si>
  <si>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</si>
  <si>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</si>
  <si>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</si>
  <si>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</si>
  <si>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</si>
  <si>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</si>
  <si>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</si>
  <si>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</si>
  <si>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</si>
  <si>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</si>
  <si>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</si>
  <si>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</si>
  <si>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</si>
  <si>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</si>
  <si>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</si>
  <si>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</si>
  <si>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</si>
  <si>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</si>
  <si>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</si>
  <si>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</si>
  <si>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</si>
  <si>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</si>
  <si>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</si>
  <si>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</si>
  <si>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</si>
  <si>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</si>
  <si>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</si>
  <si>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</si>
  <si>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</si>
  <si>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</si>
  <si>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</si>
  <si>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</si>
  <si>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</si>
  <si>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</si>
  <si>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</si>
  <si>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</si>
  <si>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</si>
  <si>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</si>
  <si>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</si>
  <si>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</si>
  <si>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</si>
  <si>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</si>
  <si>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</si>
  <si>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</si>
  <si>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</si>
  <si>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</si>
  <si>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</si>
  <si>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</si>
  <si>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</si>
  <si>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</si>
  <si>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</si>
  <si>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</si>
  <si>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</si>
  <si>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</si>
  <si>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</si>
  <si>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</si>
  <si>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</si>
  <si>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</si>
  <si>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</si>
  <si>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</si>
  <si>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</si>
  <si>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</si>
  <si>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</si>
  <si>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</si>
  <si>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</si>
  <si>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</si>
  <si>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</si>
  <si>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</si>
  <si>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</si>
  <si>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</si>
  <si>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</si>
  <si>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</si>
  <si>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</si>
  <si>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</si>
  <si>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</si>
  <si>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</si>
  <si>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</si>
  <si>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</si>
  <si>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</si>
  <si>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</si>
  <si>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</si>
  <si>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</si>
  <si>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</si>
  <si>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</si>
  <si>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</si>
  <si>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</si>
  <si>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</si>
  <si>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</si>
  <si>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</si>
  <si>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</si>
  <si>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</si>
  <si>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</si>
  <si>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</si>
  <si>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</si>
  <si>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</si>
  <si>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</si>
  <si>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</si>
  <si>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</si>
  <si>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</si>
  <si>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</si>
  <si>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</si>
  <si>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</si>
  <si>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</si>
  <si>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</si>
  <si>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</si>
  <si>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</si>
  <si>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</si>
  <si>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</si>
  <si>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</si>
  <si>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</si>
  <si>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</si>
  <si>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</si>
  <si>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</si>
  <si>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</si>
  <si>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</si>
  <si>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</si>
  <si>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</si>
  <si>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</si>
  <si>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</si>
  <si>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</si>
  <si>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</si>
  <si>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</si>
  <si>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</si>
  <si>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</si>
  <si>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</si>
  <si>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</si>
  <si>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</si>
  <si>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</si>
  <si>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</si>
  <si>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</si>
  <si>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</si>
  <si>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</si>
  <si>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</si>
  <si>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</si>
  <si>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</si>
  <si>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</si>
  <si>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</si>
  <si>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</si>
  <si>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</si>
  <si>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</si>
  <si>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</si>
  <si>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</si>
  <si>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</si>
  <si>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</si>
  <si>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</si>
  <si>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</si>
  <si>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</si>
  <si>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</si>
  <si>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</si>
  <si>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</si>
  <si>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</si>
  <si>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</si>
  <si>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</si>
  <si>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</si>
  <si>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</si>
  <si>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</si>
  <si>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</si>
  <si>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</si>
  <si>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</si>
  <si>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</si>
  <si>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</si>
  <si>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</si>
  <si>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</si>
  <si>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</si>
  <si>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</si>
  <si>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</si>
  <si>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</si>
  <si>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</si>
  <si>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</si>
  <si>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</si>
  <si>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</si>
  <si>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</si>
  <si>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</si>
  <si>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</si>
  <si>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</si>
  <si>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</si>
  <si>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</si>
  <si>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</si>
  <si>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</si>
  <si>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</si>
  <si>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</si>
  <si>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</si>
  <si>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</si>
  <si>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</si>
  <si>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</si>
  <si>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</si>
  <si>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</si>
  <si>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</si>
  <si>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</si>
  <si>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</si>
  <si>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</si>
  <si>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</si>
  <si>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</si>
  <si>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</si>
  <si>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</si>
  <si>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</si>
  <si>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</si>
  <si>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</si>
  <si>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</si>
  <si>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</si>
  <si>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</si>
  <si>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</si>
  <si>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</si>
  <si>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</si>
  <si>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</si>
  <si>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</si>
  <si>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</si>
  <si>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</si>
  <si>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</si>
  <si>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</si>
  <si>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</si>
  <si>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</si>
  <si>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</si>
  <si>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</si>
  <si>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</si>
  <si>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</si>
  <si>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</si>
  <si>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</si>
  <si>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</si>
  <si>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</si>
  <si>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</si>
  <si>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</si>
  <si>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</si>
  <si>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</si>
  <si>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</si>
  <si>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</si>
  <si>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</si>
  <si>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</si>
  <si>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</si>
  <si>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</si>
  <si>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</si>
  <si>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</si>
  <si>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</si>
  <si>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</si>
  <si>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</si>
  <si>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</si>
  <si>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</si>
  <si>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</si>
  <si>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</si>
  <si>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</si>
  <si>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</si>
  <si>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</si>
  <si>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</si>
  <si>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</si>
  <si>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</si>
  <si>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</si>
  <si>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</si>
  <si>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</si>
  <si>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</si>
  <si>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</si>
  <si>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</si>
  <si>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</si>
  <si>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</si>
  <si>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</si>
  <si>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</si>
  <si>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</si>
  <si>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</si>
  <si>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</si>
  <si>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</si>
  <si>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</si>
  <si>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</si>
  <si>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</si>
  <si>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</si>
  <si>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</si>
  <si>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</si>
  <si>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</si>
  <si>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</si>
  <si>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</si>
  <si>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</si>
  <si>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</si>
  <si>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</si>
  <si>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</si>
  <si>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</si>
  <si>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</si>
  <si>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</si>
  <si>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</si>
  <si>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</si>
  <si>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</si>
  <si>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</si>
  <si>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</si>
  <si>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</si>
  <si>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</si>
  <si>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</si>
  <si>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</si>
  <si>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</si>
  <si>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</si>
  <si>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</si>
  <si>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</si>
  <si>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</si>
  <si>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</si>
  <si>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</si>
  <si>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</si>
  <si>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</si>
  <si>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</si>
  <si>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</si>
  <si>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</si>
  <si>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</si>
  <si>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</si>
  <si>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</si>
  <si>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</si>
  <si>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</si>
  <si>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</si>
  <si>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</si>
  <si>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</si>
  <si>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</si>
  <si>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</si>
  <si>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</si>
  <si>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</si>
  <si>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</si>
  <si>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</si>
  <si>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</si>
  <si>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</si>
  <si>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</si>
  <si>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</si>
  <si>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</si>
  <si>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</si>
  <si>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</si>
  <si>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</si>
  <si>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</si>
  <si>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</si>
  <si>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</si>
  <si>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</si>
  <si>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</si>
  <si>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</si>
  <si>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</si>
  <si>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</si>
  <si>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</si>
  <si>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</si>
  <si>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</si>
  <si>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</si>
  <si>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</si>
  <si>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</si>
  <si>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</si>
  <si>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</si>
  <si>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</si>
  <si>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</si>
  <si>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</si>
  <si>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</si>
  <si>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</si>
  <si>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</si>
  <si>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</si>
  <si>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</si>
  <si>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</si>
  <si>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</si>
  <si>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</si>
  <si>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</si>
  <si>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</si>
  <si>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</si>
  <si>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</si>
  <si>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</si>
  <si>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</si>
  <si>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</si>
  <si>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</si>
  <si>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</si>
  <si>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</si>
  <si>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</si>
  <si>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</si>
  <si>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</si>
  <si>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</si>
  <si>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</si>
  <si>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</si>
  <si>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</si>
  <si>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</si>
  <si>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</si>
  <si>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</si>
  <si>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</si>
  <si>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</si>
  <si>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</si>
  <si>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</si>
  <si>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</si>
  <si>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</si>
  <si>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</si>
  <si>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</si>
  <si>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</si>
  <si>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</si>
  <si>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</si>
  <si>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</si>
  <si>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</si>
  <si>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</si>
  <si>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</si>
  <si>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</si>
  <si>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</si>
  <si>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</si>
  <si>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</si>
  <si>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</si>
  <si>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</si>
  <si>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</si>
  <si>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</si>
  <si>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</si>
  <si>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</si>
  <si>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</si>
  <si>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</si>
  <si>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</si>
  <si>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</si>
  <si>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</si>
  <si>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</si>
  <si>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</si>
  <si>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</si>
  <si>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</si>
  <si>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</si>
  <si>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</si>
  <si>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</si>
  <si>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</si>
  <si>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</si>
  <si>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</si>
  <si>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</si>
  <si>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</si>
  <si>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</si>
  <si>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</si>
  <si>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</si>
  <si>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</si>
  <si>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</si>
  <si>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</si>
  <si>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</si>
  <si>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</si>
  <si>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</si>
  <si>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</si>
  <si>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</si>
  <si>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</si>
  <si>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</si>
  <si>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</si>
  <si>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</si>
  <si>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</si>
  <si>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</si>
  <si>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</si>
  <si>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</si>
  <si>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</si>
  <si>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</si>
  <si>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</si>
  <si>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</si>
  <si>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</si>
  <si>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</si>
  <si>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</si>
  <si>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</si>
  <si>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</si>
  <si>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</si>
  <si>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</si>
  <si>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</si>
  <si>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</si>
  <si>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</si>
  <si>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</si>
  <si>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</si>
  <si>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</si>
  <si>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</si>
  <si>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</si>
  <si>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</si>
  <si>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</si>
  <si>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</si>
  <si>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</si>
  <si>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</si>
  <si>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</si>
  <si>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</si>
  <si>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</si>
  <si>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</si>
  <si>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</si>
  <si>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</si>
  <si>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</si>
  <si>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</si>
  <si>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</si>
  <si>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</si>
  <si>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</si>
  <si>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</si>
  <si>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</si>
  <si>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</si>
  <si>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</si>
  <si>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</si>
  <si>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</si>
  <si>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</si>
  <si>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</si>
  <si>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</si>
  <si>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</si>
  <si>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</si>
  <si>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</si>
  <si>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</si>
  <si>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</si>
  <si>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</si>
  <si>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</si>
  <si>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</si>
  <si>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</si>
  <si>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</si>
  <si>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</si>
  <si>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</si>
  <si>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</si>
  <si>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</si>
  <si>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</si>
  <si>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</si>
  <si>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</si>
  <si>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</si>
  <si>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</si>
  <si>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</si>
  <si>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</si>
  <si>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</si>
  <si>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</si>
  <si>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</si>
  <si>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</si>
  <si>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</si>
  <si>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</si>
  <si>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</si>
  <si>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</si>
  <si>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</si>
  <si>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</si>
  <si>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</si>
  <si>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</si>
  <si>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</si>
  <si>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</si>
  <si>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</si>
  <si>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</si>
  <si>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</si>
  <si>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</si>
  <si>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</si>
  <si>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</si>
  <si>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</si>
  <si>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</si>
  <si>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</si>
  <si>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</si>
  <si>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</si>
  <si>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</si>
  <si>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</si>
  <si>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</si>
  <si>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</si>
  <si>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</si>
  <si>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</si>
  <si>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</si>
  <si>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</si>
  <si>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</si>
  <si>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</si>
  <si>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</si>
  <si>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</si>
  <si>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</si>
  <si>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</si>
  <si>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</si>
  <si>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</si>
  <si>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</si>
  <si>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</si>
  <si>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</si>
  <si>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</si>
  <si>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</si>
  <si>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</si>
  <si>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</si>
  <si>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</si>
  <si>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</si>
  <si>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</si>
  <si>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</si>
  <si>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</si>
  <si>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</si>
  <si>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</si>
  <si>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</si>
  <si>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</si>
  <si>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</si>
  <si>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</si>
  <si>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</si>
  <si>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</si>
  <si>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</si>
  <si>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</si>
  <si>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</si>
  <si>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</si>
  <si>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</si>
  <si>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</si>
  <si>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</si>
  <si>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</si>
  <si>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</si>
  <si>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</si>
  <si>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</si>
  <si>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</si>
  <si>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</si>
  <si>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</si>
  <si>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</si>
  <si>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</si>
  <si>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</si>
  <si>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</si>
  <si>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</si>
  <si>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</si>
  <si>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</si>
  <si>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</si>
  <si>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</si>
  <si>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</si>
  <si>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</si>
  <si>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</si>
  <si>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</si>
  <si>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</si>
  <si>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</si>
  <si>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</si>
  <si>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</si>
  <si>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</si>
  <si>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</si>
  <si>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</si>
  <si>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</si>
  <si>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</si>
  <si>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</si>
  <si>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</si>
  <si>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</si>
  <si>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</si>
  <si>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</si>
  <si>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</si>
  <si>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</si>
  <si>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</si>
  <si>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</si>
  <si>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</si>
  <si>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</si>
  <si>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</si>
  <si>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</si>
  <si>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</si>
  <si>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</si>
  <si>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</si>
  <si>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</si>
  <si>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</si>
  <si>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</si>
  <si>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</si>
  <si>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</si>
  <si>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</si>
  <si>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</si>
  <si>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</si>
  <si>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</si>
  <si>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</si>
  <si>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</si>
  <si>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</si>
  <si>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</si>
  <si>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</si>
  <si>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</si>
  <si>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</si>
  <si>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</si>
  <si>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</si>
  <si>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</si>
  <si>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</si>
  <si>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</si>
  <si>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</si>
  <si>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</si>
  <si>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</si>
  <si>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</si>
  <si>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</si>
  <si>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</si>
  <si>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</si>
  <si>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</si>
  <si>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</si>
  <si>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</si>
  <si>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</si>
  <si>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</si>
  <si>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</si>
  <si>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</si>
  <si>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</si>
  <si>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</si>
  <si>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</si>
  <si>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</si>
  <si>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</si>
  <si>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</si>
  <si>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</si>
  <si>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</si>
  <si>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</si>
  <si>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</si>
  <si>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</si>
  <si>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</si>
  <si>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</si>
  <si>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</si>
  <si>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</si>
  <si>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</si>
  <si>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</si>
  <si>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</si>
  <si>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</si>
  <si>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</si>
  <si>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</si>
  <si>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</si>
  <si>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</si>
  <si>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</si>
  <si>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</si>
  <si>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</si>
  <si>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</si>
  <si>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</si>
  <si>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</si>
  <si>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</si>
  <si>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</si>
  <si>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</si>
  <si>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</si>
  <si>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</si>
  <si>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</si>
  <si>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</si>
  <si>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</si>
  <si>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</si>
  <si>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</si>
  <si>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</si>
  <si>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</si>
  <si>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</si>
  <si>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</si>
  <si>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</si>
  <si>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</si>
  <si>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</si>
  <si>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</si>
  <si>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</si>
  <si>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</si>
  <si>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</si>
  <si>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</si>
  <si>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</si>
  <si>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</si>
  <si>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</si>
  <si>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</si>
  <si>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</si>
  <si>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</si>
  <si>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</si>
  <si>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</si>
  <si>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</si>
  <si>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</si>
  <si>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</si>
  <si>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</si>
  <si>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</si>
  <si>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</si>
  <si>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</si>
  <si>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</si>
  <si>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</si>
  <si>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</si>
  <si>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</si>
  <si>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</si>
  <si>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</si>
  <si>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</si>
  <si>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</si>
  <si>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</si>
  <si>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</si>
  <si>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</si>
  <si>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</si>
  <si>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</si>
  <si>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</si>
  <si>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</si>
  <si>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</si>
  <si>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</si>
  <si>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</si>
  <si>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</si>
  <si>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</si>
  <si>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</si>
  <si>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</si>
  <si>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</si>
  <si>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</si>
  <si>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</si>
  <si>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</si>
  <si>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</si>
  <si>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</si>
  <si>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</si>
  <si>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</si>
  <si>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</si>
  <si>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</si>
  <si>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</si>
  <si>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</si>
  <si>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</si>
  <si>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</si>
  <si>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</si>
  <si>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</si>
  <si>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</si>
  <si>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</si>
  <si>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</si>
  <si>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</si>
  <si>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</si>
  <si>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</si>
  <si>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</si>
  <si>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</si>
  <si>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</si>
  <si>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</si>
  <si>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</si>
  <si>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</si>
  <si>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</si>
  <si>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</si>
  <si>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</si>
  <si>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</si>
  <si>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</si>
  <si>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</si>
  <si>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</si>
  <si>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</si>
  <si>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</si>
  <si>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</si>
  <si>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</si>
  <si>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</si>
  <si>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</si>
  <si>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</si>
  <si>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</si>
  <si>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</si>
  <si>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</si>
  <si>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</si>
  <si>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</si>
  <si>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</si>
  <si>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</si>
  <si>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</si>
  <si>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</si>
  <si>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</si>
  <si>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</si>
  <si>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</si>
  <si>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</si>
  <si>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</si>
  <si>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</si>
  <si>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</si>
  <si>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</si>
  <si>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</si>
  <si>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</si>
  <si>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</si>
  <si>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</si>
  <si>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</si>
  <si>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</si>
  <si>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</si>
  <si>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</si>
  <si>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</si>
  <si>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</si>
  <si>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</si>
  <si>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</si>
  <si>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</si>
  <si>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</si>
  <si>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</si>
  <si>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</si>
  <si>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</si>
  <si>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</si>
  <si>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</si>
  <si>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</si>
  <si>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</si>
  <si>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</si>
  <si>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</si>
  <si>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</si>
  <si>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</si>
  <si>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</si>
  <si>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</si>
  <si>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</si>
  <si>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</si>
  <si>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</si>
  <si>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</si>
  <si>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</si>
  <si>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</si>
  <si>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</si>
  <si>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</si>
  <si>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</si>
  <si>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</si>
  <si>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</si>
  <si>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</si>
  <si>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</si>
  <si>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</si>
  <si>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</si>
  <si>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</si>
  <si>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</si>
  <si>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</si>
  <si>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</si>
  <si>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</si>
  <si>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</si>
  <si>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</si>
  <si>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</si>
  <si>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</si>
  <si>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</si>
  <si>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</si>
  <si>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</si>
  <si>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</si>
  <si>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</si>
  <si>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</si>
  <si>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</si>
  <si>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</si>
  <si>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</si>
  <si>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</si>
  <si>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</si>
  <si>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</si>
  <si>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</si>
  <si>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</si>
  <si>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</si>
  <si>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</si>
  <si>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</si>
  <si>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</si>
  <si>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</si>
  <si>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</si>
  <si>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</si>
  <si>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</si>
  <si>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</si>
  <si>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</si>
  <si>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</si>
  <si>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</si>
  <si>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</si>
  <si>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</si>
  <si>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</si>
  <si>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</si>
  <si>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</si>
  <si>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</si>
  <si>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</si>
  <si>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</si>
  <si>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</si>
  <si>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</si>
  <si>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</si>
  <si>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</si>
  <si>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</si>
  <si>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</si>
  <si>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</si>
  <si>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</si>
  <si>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</si>
  <si>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</si>
  <si>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</si>
  <si>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</si>
  <si>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</si>
  <si>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</si>
  <si>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</si>
  <si>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</si>
  <si>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</si>
  <si>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</si>
  <si>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</si>
  <si>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</si>
  <si>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</si>
  <si>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</si>
  <si>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</si>
  <si>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</si>
  <si>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</si>
  <si>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</si>
  <si>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</si>
  <si>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</si>
  <si>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</si>
  <si>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</si>
  <si>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</si>
  <si>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</si>
  <si>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</si>
  <si>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</si>
  <si>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</si>
  <si>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</si>
  <si>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</si>
  <si>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</si>
  <si>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</si>
  <si>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</si>
  <si>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</si>
  <si>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</si>
  <si>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</si>
  <si>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</si>
  <si>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</si>
  <si>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</si>
  <si>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</si>
  <si>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</si>
  <si>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</si>
  <si>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</si>
  <si>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</si>
  <si>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</si>
  <si>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</si>
  <si>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</si>
  <si>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</si>
  <si>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</si>
  <si>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</si>
  <si>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</si>
  <si>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</si>
  <si>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</si>
  <si>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</si>
  <si>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</si>
  <si>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</si>
  <si>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</si>
  <si>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</si>
  <si>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</si>
  <si>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</si>
  <si>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</si>
  <si>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</si>
  <si>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</si>
  <si>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</si>
  <si>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</si>
  <si>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</si>
  <si>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</si>
  <si>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</si>
  <si>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</si>
  <si>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</si>
  <si>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</si>
  <si>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</si>
  <si>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</si>
  <si>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</si>
  <si>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</si>
  <si>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</si>
  <si>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</si>
  <si>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</si>
  <si>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</si>
  <si>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</si>
  <si>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</si>
  <si>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</si>
  <si>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</si>
  <si>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</si>
  <si>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</si>
  <si>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</si>
  <si>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</si>
  <si>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</si>
  <si>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</si>
  <si>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</si>
  <si>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</si>
  <si>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</si>
  <si>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</si>
  <si>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</si>
  <si>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</si>
  <si>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</si>
  <si>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</si>
  <si>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</si>
  <si>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</si>
  <si>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</si>
  <si>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</si>
  <si>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</si>
  <si>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</si>
  <si>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</si>
  <si>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</si>
  <si>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</si>
  <si>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</si>
  <si>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</si>
  <si>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</si>
  <si>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</si>
  <si>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</si>
  <si>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</si>
  <si>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</si>
  <si>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</si>
  <si>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</si>
  <si>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</si>
  <si>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</si>
  <si>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</si>
  <si>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</si>
  <si>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</si>
  <si>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</si>
  <si>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</si>
  <si>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</si>
  <si>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</si>
  <si>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</si>
  <si>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</si>
  <si>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</si>
  <si>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</si>
  <si>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</si>
  <si>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</si>
  <si>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</si>
  <si>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</si>
  <si>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</si>
  <si>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</si>
  <si>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</si>
  <si>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</si>
  <si>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</si>
  <si>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</si>
  <si>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</si>
  <si>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</si>
  <si>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</si>
  <si>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</si>
  <si>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</si>
  <si>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</si>
  <si>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</si>
  <si>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</si>
  <si>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</si>
  <si>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</si>
  <si>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</si>
  <si>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</si>
  <si>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</si>
  <si>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</si>
  <si>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</si>
  <si>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</si>
  <si>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</si>
  <si>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</si>
  <si>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</si>
  <si>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</si>
  <si>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</si>
  <si>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</si>
  <si>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</si>
  <si>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</si>
  <si>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</si>
  <si>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</si>
  <si>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</si>
  <si>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</si>
  <si>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</si>
  <si>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</si>
  <si>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</si>
  <si>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</si>
  <si>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</si>
  <si>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</si>
  <si>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</si>
  <si>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</si>
  <si>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</si>
  <si>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 xml:space="preserve"> 52 Week (High - INR 1728.00 &amp; Low - 980.40)</t>
  </si>
  <si>
    <t>About the Company</t>
  </si>
  <si>
    <t>Return on Equity (ROE)</t>
  </si>
  <si>
    <t>Net Profit</t>
  </si>
  <si>
    <t>Average Shareholder Equity</t>
  </si>
  <si>
    <t>ROE - Dupont Equation</t>
  </si>
  <si>
    <t>Net Profit Margin (A)</t>
  </si>
  <si>
    <t xml:space="preserve">Revenue </t>
  </si>
  <si>
    <t>Average Total Assets</t>
  </si>
  <si>
    <t>Assets Turnover Ratio (B)</t>
  </si>
  <si>
    <t>Equity Multiplier (C)</t>
  </si>
  <si>
    <t>Return on Equity (A*B*C)</t>
  </si>
  <si>
    <t>Return on Equity Assets</t>
  </si>
  <si>
    <t>Return on Assets (ROA)</t>
  </si>
  <si>
    <t>ROA - Dupont Equation</t>
  </si>
  <si>
    <t>Return on Assets (A*B)</t>
  </si>
  <si>
    <t>Financial Summary</t>
  </si>
  <si>
    <t>Infosys Limited is an Indian multinational IT services and consulting company founded in 1981. Its headquarters is located in Bengaluru, Karnataka, India. The company provides services such as software development, IT consulting, cloud computing, artificial intelligence, data analytics, and digital transformation. Infosys serves clients across various industries, including banking, financial services, insurance, retail, manufacturing, and healthcare. It operates in numerous countries and generates revenue by providing technology solutions and business services to organisations worldwide. Infosys is listed on the National Stock Exchange (NSE) and Bombay Stock Exchange (BSE) in India, as well as the New York Stock Exchange (NYSE) in the United States. It is recognised as one of India's leading IT companies and plays a significant role in the global technology industry.</t>
  </si>
  <si>
    <t>Assumption Drivers</t>
  </si>
  <si>
    <t xml:space="preserve">With over four decades of experience in managing the systems and workings of global enterprises, we expertly steer clients, in 59 countries, as they navigate their digital transformation powered by cloud and AI. We enable them with an AI-first core, empower the business with agile digital at scale and drive continuous improvement with always-on learning through the transfer of digital skills, expertise, and ideas from our innovation ecosystem. </t>
  </si>
  <si>
    <t>INR (Crs)</t>
  </si>
  <si>
    <t>Key Financial Metrics</t>
  </si>
  <si>
    <t>Total Sales</t>
  </si>
  <si>
    <t>Sales Growth (y-o-y)</t>
  </si>
  <si>
    <t>Gross Profit Margins (%)</t>
  </si>
  <si>
    <t>EBITDA Margins (%)</t>
  </si>
  <si>
    <t>EBIT Margins (%)</t>
  </si>
  <si>
    <t>Net Profit Margins (%)</t>
  </si>
  <si>
    <t>Earning Per Share (In Rs)</t>
  </si>
  <si>
    <t>EPS Growth (y-o-y)</t>
  </si>
  <si>
    <t>Dividend Per Share (In Rs)</t>
  </si>
  <si>
    <t>DSP Growth (y-o-y)</t>
  </si>
  <si>
    <t>Dividend</t>
  </si>
  <si>
    <t>EV/Sales</t>
  </si>
  <si>
    <t>Price to Book Value</t>
  </si>
  <si>
    <t>Return on Equity (%)</t>
  </si>
  <si>
    <t>Return oc Capital Employed</t>
  </si>
  <si>
    <t>EV</t>
  </si>
  <si>
    <t xml:space="preserve">Book Value </t>
  </si>
  <si>
    <t>P/B</t>
  </si>
  <si>
    <t>Volume</t>
  </si>
  <si>
    <t>Oct 22, 2026</t>
  </si>
  <si>
    <t>Oct 21, 2026</t>
  </si>
  <si>
    <t>Oct 20, 2026</t>
  </si>
  <si>
    <t>Oct 19, 2026</t>
  </si>
  <si>
    <t>Oct 16, 2026</t>
  </si>
  <si>
    <t>Oct 15, 2026</t>
  </si>
  <si>
    <t>Oct 14, 2026</t>
  </si>
  <si>
    <t>Oct 13, 2026</t>
  </si>
  <si>
    <t>Oct 12, 2026</t>
  </si>
  <si>
    <t>Oct 09, 2026</t>
  </si>
  <si>
    <t>Oct 08, 2026</t>
  </si>
  <si>
    <t>Oct 07, 2026</t>
  </si>
  <si>
    <t>Oct 06, 2026</t>
  </si>
  <si>
    <t>Oct 02, 2026</t>
  </si>
  <si>
    <t>Oct 01, 2026</t>
  </si>
  <si>
    <t>Sep 30, 2026</t>
  </si>
  <si>
    <t>Sep 29, 2026</t>
  </si>
  <si>
    <t>Sep 25, 2026</t>
  </si>
  <si>
    <t>Sep 24, 2026</t>
  </si>
  <si>
    <t>Sep 23, 2026</t>
  </si>
  <si>
    <t>Sep 22, 2026</t>
  </si>
  <si>
    <t>Sep 18, 2026</t>
  </si>
  <si>
    <t>Sep 17, 2026</t>
  </si>
  <si>
    <t>Sep 16, 2026</t>
  </si>
  <si>
    <t>Sep 15, 2026</t>
  </si>
  <si>
    <t>Sep 11, 2026</t>
  </si>
  <si>
    <t>Sep 10, 2026</t>
  </si>
  <si>
    <t>Sep 09, 2026</t>
  </si>
  <si>
    <t>Sep 08, 2026</t>
  </si>
  <si>
    <t>Sep 04, 2026</t>
  </si>
  <si>
    <t>Sep 03, 2026</t>
  </si>
  <si>
    <t>Sep 02, 2026</t>
  </si>
  <si>
    <t>Sep 01, 2026</t>
  </si>
  <si>
    <t>Aug 28, 2026</t>
  </si>
  <si>
    <t>Aug 27, 2026</t>
  </si>
  <si>
    <t>Aug 26, 2026</t>
  </si>
  <si>
    <t>Aug 25, 2026</t>
  </si>
  <si>
    <t>Aug 21, 2026</t>
  </si>
  <si>
    <t>Aug 20, 2026</t>
  </si>
  <si>
    <t>Aug 19, 2026</t>
  </si>
  <si>
    <t>Aug 18, 2026</t>
  </si>
  <si>
    <t>Aug 14, 2026</t>
  </si>
  <si>
    <t>Aug 13, 2026</t>
  </si>
  <si>
    <t>Aug 12, 2026</t>
  </si>
  <si>
    <t>Aug 11, 2026</t>
  </si>
  <si>
    <t>Aug 07, 2026</t>
  </si>
  <si>
    <t>Aug 06, 2026</t>
  </si>
  <si>
    <t>Aug 05, 2026</t>
  </si>
  <si>
    <t>Aug 04, 2026</t>
  </si>
  <si>
    <t>Jul 31, 2026</t>
  </si>
  <si>
    <t>Jul 30, 2026</t>
  </si>
  <si>
    <t>Jul 29, 2026</t>
  </si>
  <si>
    <t>Jul 28, 2026</t>
  </si>
  <si>
    <t>Jul 24, 2026</t>
  </si>
  <si>
    <t>Jul 23, 2026</t>
  </si>
  <si>
    <t>Jul 22, 2026</t>
  </si>
  <si>
    <t>Jul 21, 2026</t>
  </si>
  <si>
    <t>Jul 17, 2026</t>
  </si>
  <si>
    <t>Jul 16, 2026</t>
  </si>
  <si>
    <t>Jul 15, 2026</t>
  </si>
  <si>
    <t>Jul 14, 2026</t>
  </si>
  <si>
    <t>Jul 10, 2026</t>
  </si>
  <si>
    <t>Jul 09, 2026</t>
  </si>
  <si>
    <t>Jul 08, 2026</t>
  </si>
  <si>
    <t>Jul 07, 2026</t>
  </si>
  <si>
    <t>Jul 02, 2026</t>
  </si>
  <si>
    <t>Jul 01, 2026</t>
  </si>
  <si>
    <t>Jun 30, 2026</t>
  </si>
  <si>
    <t>Jun 26, 2026</t>
  </si>
  <si>
    <t>Jun 25, 2026</t>
  </si>
  <si>
    <t>Jun 24, 2026</t>
  </si>
  <si>
    <t>Jun 23, 2026</t>
  </si>
  <si>
    <t>Jun 18, 2026</t>
  </si>
  <si>
    <t>Jun 17, 2026</t>
  </si>
  <si>
    <t>Jun 16, 2026</t>
  </si>
  <si>
    <t>Jun 12, 2026</t>
  </si>
  <si>
    <t>Jun 11, 2026</t>
  </si>
  <si>
    <t>Jun 10, 2026</t>
  </si>
  <si>
    <t>Jun 09, 2026</t>
  </si>
  <si>
    <t>Jun 05, 2026</t>
  </si>
  <si>
    <t>Jun 04, 2026</t>
  </si>
  <si>
    <t>Jun 03, 2026</t>
  </si>
  <si>
    <t>Jun 02, 2026</t>
  </si>
  <si>
    <t>May 29, 2026</t>
  </si>
  <si>
    <t>May 28, 2026</t>
  </si>
  <si>
    <t>May 27, 2026</t>
  </si>
  <si>
    <t>May 26, 2026</t>
  </si>
  <si>
    <t>May 22, 2026</t>
  </si>
  <si>
    <t>May 21, 2026</t>
  </si>
  <si>
    <t>May 20, 2026</t>
  </si>
  <si>
    <t>May 19, 2026</t>
  </si>
  <si>
    <t>May 15, 2026</t>
  </si>
  <si>
    <t>May 14, 2026</t>
  </si>
  <si>
    <t>May 13, 2026</t>
  </si>
  <si>
    <t>May 12, 2026</t>
  </si>
  <si>
    <t>May 08, 2026</t>
  </si>
  <si>
    <t>May 07, 2026</t>
  </si>
  <si>
    <t>May 06, 2026</t>
  </si>
  <si>
    <t>May 05, 2026</t>
  </si>
  <si>
    <t>May 01, 2026</t>
  </si>
  <si>
    <t>Apr 30, 2026</t>
  </si>
  <si>
    <t>Apr 29, 2026</t>
  </si>
  <si>
    <t>Apr 28, 2026</t>
  </si>
  <si>
    <t>Apr 24, 2026</t>
  </si>
  <si>
    <t>Apr 23, 2026</t>
  </si>
  <si>
    <t>Apr 22, 2026</t>
  </si>
  <si>
    <t>Apr 21, 2026</t>
  </si>
  <si>
    <t>Apr 17, 2026</t>
  </si>
  <si>
    <t>Apr 16, 2026</t>
  </si>
  <si>
    <t>Apr 15, 2026</t>
  </si>
  <si>
    <t>Apr 14, 2026</t>
  </si>
  <si>
    <t>Apr 10, 2026</t>
  </si>
  <si>
    <t>Apr 09, 2026</t>
  </si>
  <si>
    <t>Apr 08, 2026</t>
  </si>
  <si>
    <t>Apr 07, 2026</t>
  </si>
  <si>
    <t>Apr 02, 2026</t>
  </si>
  <si>
    <t>Apr 01, 2026</t>
  </si>
  <si>
    <t>Mar 31, 2026</t>
  </si>
  <si>
    <t>Mar 27, 2026</t>
  </si>
  <si>
    <t>Mar 26, 2026</t>
  </si>
  <si>
    <t>Mar 25, 2026</t>
  </si>
  <si>
    <t>Mar 24, 2026</t>
  </si>
  <si>
    <t>Mar 20, 2026</t>
  </si>
  <si>
    <t>Mar 19, 2026</t>
  </si>
  <si>
    <t>Mar 18, 2026</t>
  </si>
  <si>
    <t>Mar 17, 2026</t>
  </si>
  <si>
    <t>Mar 13, 2026</t>
  </si>
  <si>
    <t>Mar 12, 2026</t>
  </si>
  <si>
    <t>Mar 11, 2026</t>
  </si>
  <si>
    <t>Mar 10, 2026</t>
  </si>
  <si>
    <t>Mar 06, 2026</t>
  </si>
  <si>
    <t>Mar 05, 2026</t>
  </si>
  <si>
    <t>Mar 04, 2026</t>
  </si>
  <si>
    <t>Mar 03, 2026</t>
  </si>
  <si>
    <t>Feb 27, 2026</t>
  </si>
  <si>
    <t>Feb 26, 2026</t>
  </si>
  <si>
    <t>Feb 25, 2026</t>
  </si>
  <si>
    <t>Feb 24, 2026</t>
  </si>
  <si>
    <t>Feb 20, 2026</t>
  </si>
  <si>
    <t>Feb 19, 2026</t>
  </si>
  <si>
    <t>Feb 18, 2026</t>
  </si>
  <si>
    <t>Feb 17, 2026</t>
  </si>
  <si>
    <t>Feb 13, 2026</t>
  </si>
  <si>
    <t>Feb 12, 2026</t>
  </si>
  <si>
    <t>Feb 11, 2026</t>
  </si>
  <si>
    <t>Feb 10, 2026</t>
  </si>
  <si>
    <t>Feb 06, 2026</t>
  </si>
  <si>
    <t>Feb 05, 2026</t>
  </si>
  <si>
    <t>Feb 04, 2026</t>
  </si>
  <si>
    <t>Feb 03, 2026</t>
  </si>
  <si>
    <t>Jan 30, 2026</t>
  </si>
  <si>
    <t>Jan 29, 2026</t>
  </si>
  <si>
    <t>Jan 28, 2026</t>
  </si>
  <si>
    <t>Jan 27, 2026</t>
  </si>
  <si>
    <t>Jan 23, 2026</t>
  </si>
  <si>
    <t>Jan 22, 2026</t>
  </si>
  <si>
    <t>Jan 21, 2026</t>
  </si>
  <si>
    <t>Jan 20, 2026</t>
  </si>
  <si>
    <t>Jan 16, 2026</t>
  </si>
  <si>
    <t>Jan 15, 2026</t>
  </si>
  <si>
    <t>Jan 14, 2026</t>
  </si>
  <si>
    <t>Jan 13, 2026</t>
  </si>
  <si>
    <t>Jan 09, 2026</t>
  </si>
  <si>
    <t>Jan 08, 2026</t>
  </si>
  <si>
    <t>Jan 07, 2026</t>
  </si>
  <si>
    <t>Jan 06, 2026</t>
  </si>
  <si>
    <t>Jan 02, 2026</t>
  </si>
  <si>
    <t>Dec 31, 2025</t>
  </si>
  <si>
    <t>Dec 30, 2025</t>
  </si>
  <si>
    <t>Dec 26, 2025</t>
  </si>
  <si>
    <t>Dec 24, 2025</t>
  </si>
  <si>
    <t>Dec 23, 2025</t>
  </si>
  <si>
    <t>Dec 19, 2025</t>
  </si>
  <si>
    <t>Dec 18, 2025</t>
  </si>
  <si>
    <t>Dec 17, 2025</t>
  </si>
  <si>
    <t>Dec 16, 2025</t>
  </si>
  <si>
    <t>Dec 12, 2025</t>
  </si>
  <si>
    <t>Dec 11, 2025</t>
  </si>
  <si>
    <t>Dec 10, 2025</t>
  </si>
  <si>
    <t>Dec 09, 2025</t>
  </si>
  <si>
    <t>Dec 05, 2025</t>
  </si>
  <si>
    <t>Dec 04, 2025</t>
  </si>
  <si>
    <t>Dec 03, 2025</t>
  </si>
  <si>
    <t>Dec 02, 2025</t>
  </si>
  <si>
    <t>Nov 28, 2025</t>
  </si>
  <si>
    <t>Nov 26, 2025</t>
  </si>
  <si>
    <t>Nov 25, 2025</t>
  </si>
  <si>
    <t>Nov 21, 2025</t>
  </si>
  <si>
    <t>Nov 20, 2025</t>
  </si>
  <si>
    <t>Nov 19, 2025</t>
  </si>
  <si>
    <t>Nov 18, 2025</t>
  </si>
  <si>
    <t>Nov 14, 2025</t>
  </si>
  <si>
    <t>Nov 13, 2025</t>
  </si>
  <si>
    <t>Nov 12, 2025</t>
  </si>
  <si>
    <t>Nov 11, 2025</t>
  </si>
  <si>
    <t>Nov 07, 2025</t>
  </si>
  <si>
    <t>Nov 06, 2025</t>
  </si>
  <si>
    <t>Nov 05, 2025</t>
  </si>
  <si>
    <t>Nov 04, 2025</t>
  </si>
  <si>
    <t>Oct 31, 2025</t>
  </si>
  <si>
    <t>Oct 30, 2025</t>
  </si>
  <si>
    <t>Oct 29, 2025</t>
  </si>
  <si>
    <t>Oct 28, 2025</t>
  </si>
  <si>
    <t>Oct 24, 2025</t>
  </si>
  <si>
    <t>Oct 23, 2025</t>
  </si>
  <si>
    <t>Oct 22, 2025</t>
  </si>
  <si>
    <t>Oct 21, 2025</t>
  </si>
  <si>
    <t>Oct 17, 2025</t>
  </si>
  <si>
    <t>Oct 16, 2025</t>
  </si>
  <si>
    <t>Oct 15, 2025</t>
  </si>
  <si>
    <t>Oct 14, 2025</t>
  </si>
  <si>
    <t>Oct 10, 2025</t>
  </si>
  <si>
    <t>Oct 09, 2025</t>
  </si>
  <si>
    <t>Oct 08, 2025</t>
  </si>
  <si>
    <t>Oct 07, 2025</t>
  </si>
  <si>
    <t>Oct 03, 2025</t>
  </si>
  <si>
    <t>Oct 02, 2025</t>
  </si>
  <si>
    <t>Oct 01, 2025</t>
  </si>
  <si>
    <t>Sep 30, 2025</t>
  </si>
  <si>
    <t>Sep 26, 2025</t>
  </si>
  <si>
    <t>Sep 25, 2025</t>
  </si>
  <si>
    <t>Sep 24, 2025</t>
  </si>
  <si>
    <t>Sep 23, 2025</t>
  </si>
  <si>
    <t>Sep 19, 2025</t>
  </si>
  <si>
    <t>Sep 18, 2025</t>
  </si>
  <si>
    <t>Sep 17, 2025</t>
  </si>
  <si>
    <t>Sep 16, 2025</t>
  </si>
  <si>
    <t>Sep 12, 2025</t>
  </si>
  <si>
    <t>Sep 11, 2025</t>
  </si>
  <si>
    <t>Sep 10, 2025</t>
  </si>
  <si>
    <t>Sep 09, 2025</t>
  </si>
  <si>
    <t>Sep 05, 2025</t>
  </si>
  <si>
    <t>Sep 04, 2025</t>
  </si>
  <si>
    <t>Sep 03, 2025</t>
  </si>
  <si>
    <t>Sep 02, 2025</t>
  </si>
  <si>
    <t>Aug 29, 2025</t>
  </si>
  <si>
    <t>Aug 28, 2025</t>
  </si>
  <si>
    <t>Aug 27, 2025</t>
  </si>
  <si>
    <t>Aug 26, 2025</t>
  </si>
  <si>
    <t>Aug 22, 2025</t>
  </si>
  <si>
    <t>Aug 21, 2025</t>
  </si>
  <si>
    <t>Aug 20, 2025</t>
  </si>
  <si>
    <t>Aug 19, 2025</t>
  </si>
  <si>
    <t>Aug 15, 2025</t>
  </si>
  <si>
    <t>Aug 14, 2025</t>
  </si>
  <si>
    <t>Aug 13, 2025</t>
  </si>
  <si>
    <t>Aug 12, 2025</t>
  </si>
  <si>
    <t>Aug 08, 2025</t>
  </si>
  <si>
    <t>Aug 07, 2025</t>
  </si>
  <si>
    <t>Aug 06, 2025</t>
  </si>
  <si>
    <t>Aug 05, 2025</t>
  </si>
  <si>
    <t>Aug 01, 2025</t>
  </si>
  <si>
    <t>Jul 31, 2025</t>
  </si>
  <si>
    <t>Jul 30, 2025</t>
  </si>
  <si>
    <t>Jul 29, 2025</t>
  </si>
  <si>
    <t>Jul 25, 2025</t>
  </si>
  <si>
    <t>Jul 24, 2025</t>
  </si>
  <si>
    <t>Jul 23, 2025</t>
  </si>
  <si>
    <t>Jul 22, 2025</t>
  </si>
  <si>
    <t>Jul 18, 2025</t>
  </si>
  <si>
    <t>Jul 17, 2025</t>
  </si>
  <si>
    <t>Jul 16, 2025</t>
  </si>
  <si>
    <t>Jul 15, 2025</t>
  </si>
  <si>
    <t>Jul 11, 2025</t>
  </si>
  <si>
    <t>Jul 10, 2025</t>
  </si>
  <si>
    <t>Jul 09, 2025</t>
  </si>
  <si>
    <t>Jul 08, 2025</t>
  </si>
  <si>
    <t>Jul 03, 2025</t>
  </si>
  <si>
    <t>Jul 02, 2025</t>
  </si>
  <si>
    <t>Jul 01, 2025</t>
  </si>
  <si>
    <t>Jun 27, 2025</t>
  </si>
  <si>
    <t>Jun 26, 2025</t>
  </si>
  <si>
    <t>Jun 25, 2025</t>
  </si>
  <si>
    <t>Jun 24, 2025</t>
  </si>
  <si>
    <t>Jun 20, 2025</t>
  </si>
  <si>
    <t>Jun 18, 2025</t>
  </si>
  <si>
    <t>Jun 17, 2025</t>
  </si>
  <si>
    <t>Jun 13, 2025</t>
  </si>
  <si>
    <t>Jun 12, 2025</t>
  </si>
  <si>
    <t>Jun 11, 2025</t>
  </si>
  <si>
    <t>Jun 10, 2025</t>
  </si>
  <si>
    <t>Jun 06, 2025</t>
  </si>
  <si>
    <t>Jun 05, 2025</t>
  </si>
  <si>
    <t>Jun 04, 2025</t>
  </si>
  <si>
    <t>Jun 03, 2025</t>
  </si>
  <si>
    <t>May 30, 2025</t>
  </si>
  <si>
    <t>May 29, 2025</t>
  </si>
  <si>
    <t>May 28, 2025</t>
  </si>
  <si>
    <t>May 27, 2025</t>
  </si>
  <si>
    <t>May 23, 2025</t>
  </si>
  <si>
    <t>May 22, 2025</t>
  </si>
  <si>
    <t>May 21, 2025</t>
  </si>
  <si>
    <t>May 20, 2025</t>
  </si>
  <si>
    <t>May 16, 2025</t>
  </si>
  <si>
    <t>May 15, 2025</t>
  </si>
  <si>
    <t>May 14, 2025</t>
  </si>
  <si>
    <t>May 13, 2025</t>
  </si>
  <si>
    <t>May 09, 2025</t>
  </si>
  <si>
    <t>May 08, 2025</t>
  </si>
  <si>
    <t>May 07, 2025</t>
  </si>
  <si>
    <t>May 06, 2025</t>
  </si>
  <si>
    <t>May 02, 2025</t>
  </si>
  <si>
    <t>May 01, 2025</t>
  </si>
  <si>
    <t>Apr 30, 2025</t>
  </si>
  <si>
    <t>Apr 29, 2025</t>
  </si>
  <si>
    <t>Apr 25, 2025</t>
  </si>
  <si>
    <t>Apr 24, 2025</t>
  </si>
  <si>
    <t>Apr 23, 2025</t>
  </si>
  <si>
    <t>Apr 22, 2025</t>
  </si>
  <si>
    <t>Apr 17, 2025</t>
  </si>
  <si>
    <t>Apr 16, 2025</t>
  </si>
  <si>
    <t>Apr 15, 2025</t>
  </si>
  <si>
    <t>Apr 11, 2025</t>
  </si>
  <si>
    <t>Apr 10, 2025</t>
  </si>
  <si>
    <t>Apr 09, 2025</t>
  </si>
  <si>
    <t>Apr 08, 2025</t>
  </si>
  <si>
    <t>Apr 04, 2025</t>
  </si>
  <si>
    <t>Apr 03, 2025</t>
  </si>
  <si>
    <t>Apr 02, 2025</t>
  </si>
  <si>
    <t>Apr 01, 2025</t>
  </si>
  <si>
    <t>Mar 28, 2025</t>
  </si>
  <si>
    <t>Mar 27, 2025</t>
  </si>
  <si>
    <t>Mar 26, 2025</t>
  </si>
  <si>
    <t>Mar 25, 2025</t>
  </si>
  <si>
    <t>Mar 21, 2025</t>
  </si>
  <si>
    <t>Mar 20, 2025</t>
  </si>
  <si>
    <t>Mar 19, 2025</t>
  </si>
  <si>
    <t>Mar 18, 2025</t>
  </si>
  <si>
    <t>Mar 14, 2025</t>
  </si>
  <si>
    <t>Mar 13, 2025</t>
  </si>
  <si>
    <t>Mar 12, 2025</t>
  </si>
  <si>
    <t>Mar 11, 2025</t>
  </si>
  <si>
    <t>Mar 07, 2025</t>
  </si>
  <si>
    <t>Mar 06, 2025</t>
  </si>
  <si>
    <t>Mar 05, 2025</t>
  </si>
  <si>
    <t>Mar 04, 2025</t>
  </si>
  <si>
    <t>Feb 28, 2025</t>
  </si>
  <si>
    <t>Feb 27, 2025</t>
  </si>
  <si>
    <t>Feb 26, 2025</t>
  </si>
  <si>
    <t>Feb 25, 2025</t>
  </si>
  <si>
    <t>Feb 21, 2025</t>
  </si>
  <si>
    <t>Feb 20, 2025</t>
  </si>
  <si>
    <t>Feb 19, 2025</t>
  </si>
  <si>
    <t>Feb 18, 2025</t>
  </si>
  <si>
    <t>Feb 14, 2025</t>
  </si>
  <si>
    <t>Feb 13, 2025</t>
  </si>
  <si>
    <t>Feb 12, 2025</t>
  </si>
  <si>
    <t>Feb 11, 2025</t>
  </si>
  <si>
    <t>Feb 07, 2025</t>
  </si>
  <si>
    <t>Feb 06, 2025</t>
  </si>
  <si>
    <t>Feb 05, 2025</t>
  </si>
  <si>
    <t>Feb 04, 2025</t>
  </si>
  <si>
    <t>Jan 31, 2025</t>
  </si>
  <si>
    <t>Jan 30, 2025</t>
  </si>
  <si>
    <t>Jan 29, 2025</t>
  </si>
  <si>
    <t>Jan 28, 2025</t>
  </si>
  <si>
    <t>Jan 24, 2025</t>
  </si>
  <si>
    <t>Jan 23, 2025</t>
  </si>
  <si>
    <t>Jan 22, 2025</t>
  </si>
  <si>
    <t>Jan 21, 2025</t>
  </si>
  <si>
    <t>Jan 17, 2025</t>
  </si>
  <si>
    <t>Jan 16, 2025</t>
  </si>
  <si>
    <t>Jan 15, 2025</t>
  </si>
  <si>
    <t>Jan 14, 2025</t>
  </si>
  <si>
    <t>Jan 10, 2025</t>
  </si>
  <si>
    <t>Jan 08, 2025</t>
  </si>
  <si>
    <t>Jan 07, 2025</t>
  </si>
  <si>
    <t>Jan 03, 2025</t>
  </si>
  <si>
    <t>Jan 02, 2025</t>
  </si>
  <si>
    <t>Dec 31, 2024</t>
  </si>
  <si>
    <t>Dec 27, 2024</t>
  </si>
  <si>
    <t>Dec 26, 2024</t>
  </si>
  <si>
    <t>Dec 24, 2024</t>
  </si>
  <si>
    <t>Dec 20, 2024</t>
  </si>
  <si>
    <t>Dec 19, 2024</t>
  </si>
  <si>
    <t>Dec 18, 2024</t>
  </si>
  <si>
    <t>Dec 17, 2024</t>
  </si>
  <si>
    <t>Dec 13, 2024</t>
  </si>
  <si>
    <t>Dec 12, 2024</t>
  </si>
  <si>
    <t>Dec 11, 2024</t>
  </si>
  <si>
    <t>Dec 10, 2024</t>
  </si>
  <si>
    <t>Dec 06, 2024</t>
  </si>
  <si>
    <t>Dec 05, 2024</t>
  </si>
  <si>
    <t>Dec 04, 2024</t>
  </si>
  <si>
    <t>Dec 03, 2024</t>
  </si>
  <si>
    <t>Nov 29, 2024</t>
  </si>
  <si>
    <t>Nov 27, 2024</t>
  </si>
  <si>
    <t>Nov 26, 2024</t>
  </si>
  <si>
    <t>Nov 22, 2024</t>
  </si>
  <si>
    <t>Nov 21, 2024</t>
  </si>
  <si>
    <t>Nov 20, 2024</t>
  </si>
  <si>
    <t>Nov 19, 2024</t>
  </si>
  <si>
    <t>Nov 15, 2024</t>
  </si>
  <si>
    <t>Nov 14, 2024</t>
  </si>
  <si>
    <t>Nov 13, 2024</t>
  </si>
  <si>
    <t>Nov 12, 2024</t>
  </si>
  <si>
    <t>Nov 08, 2024</t>
  </si>
  <si>
    <t>Nov 07, 2024</t>
  </si>
  <si>
    <t>Nov 06, 2024</t>
  </si>
  <si>
    <t>Nov 05, 2024</t>
  </si>
  <si>
    <t>Nov 01, 2024</t>
  </si>
  <si>
    <t>Oct 31, 2024</t>
  </si>
  <si>
    <t>Oct 30, 2024</t>
  </si>
  <si>
    <t>Oct 29, 2024</t>
  </si>
  <si>
    <t>Oct 25, 2024</t>
  </si>
  <si>
    <t>Oct 24, 2024</t>
  </si>
  <si>
    <t>Oct 23, 2024</t>
  </si>
  <si>
    <t>Oct 22, 2024</t>
  </si>
  <si>
    <t>Oct 18, 2024</t>
  </si>
  <si>
    <t>Oct 17, 2024</t>
  </si>
  <si>
    <t>Oct 16, 2024</t>
  </si>
  <si>
    <t>Oct 15, 2024</t>
  </si>
  <si>
    <t>Oct 11, 2024</t>
  </si>
  <si>
    <t>Oct 10, 2024</t>
  </si>
  <si>
    <t>Oct 09, 2024</t>
  </si>
  <si>
    <t>Oct 08, 2024</t>
  </si>
  <si>
    <t>Oct 04, 2024</t>
  </si>
  <si>
    <t>Oct 03, 2024</t>
  </si>
  <si>
    <t>Oct 02, 2024</t>
  </si>
  <si>
    <t>Oct 01, 2024</t>
  </si>
  <si>
    <t>Sep 30, 2024</t>
  </si>
  <si>
    <t>Sep 27, 2024</t>
  </si>
  <si>
    <t>Sep 26, 2024</t>
  </si>
  <si>
    <t>Sep 25, 2024</t>
  </si>
  <si>
    <t>Sep 24, 2024</t>
  </si>
  <si>
    <t>Sep 23, 2024</t>
  </si>
  <si>
    <t>Sep 20, 2024</t>
  </si>
  <si>
    <t>Sep 19, 2024</t>
  </si>
  <si>
    <t>Sep 18, 2024</t>
  </si>
  <si>
    <t>Sep 17, 2024</t>
  </si>
  <si>
    <t>Sep 16, 2024</t>
  </si>
  <si>
    <t>Sep 13, 2024</t>
  </si>
  <si>
    <t>Sep 12, 2024</t>
  </si>
  <si>
    <t>Sep 11, 2024</t>
  </si>
  <si>
    <t>Sep 10, 2024</t>
  </si>
  <si>
    <t>Sep 09, 2024</t>
  </si>
  <si>
    <t>Sep 06, 2024</t>
  </si>
  <si>
    <t>Sep 05, 2024</t>
  </si>
  <si>
    <t>Sep 04, 2024</t>
  </si>
  <si>
    <t>Sep 03, 2024</t>
  </si>
  <si>
    <t>Aug 30, 2024</t>
  </si>
  <si>
    <t>Aug 29, 2024</t>
  </si>
  <si>
    <t>Aug 28, 2024</t>
  </si>
  <si>
    <t>Aug 27, 2024</t>
  </si>
  <si>
    <t>Aug 26, 2024</t>
  </si>
  <si>
    <t>Aug 23, 2024</t>
  </si>
  <si>
    <t>Aug 22, 2024</t>
  </si>
  <si>
    <t>Aug 21, 2024</t>
  </si>
  <si>
    <t>Aug 20, 2024</t>
  </si>
  <si>
    <t>Aug 19, 2024</t>
  </si>
  <si>
    <t>Aug 16, 2024</t>
  </si>
  <si>
    <t>Aug 15, 2024</t>
  </si>
  <si>
    <t>Aug 14, 2024</t>
  </si>
  <si>
    <t>Aug 13, 2024</t>
  </si>
  <si>
    <t>Aug 12, 2024</t>
  </si>
  <si>
    <t>Aug 09, 2024</t>
  </si>
  <si>
    <t>Aug 08, 2024</t>
  </si>
  <si>
    <t>Aug 07, 2024</t>
  </si>
  <si>
    <t>Aug 06, 2024</t>
  </si>
  <si>
    <t>Aug 05, 2024</t>
  </si>
  <si>
    <t>Aug 02, 2024</t>
  </si>
  <si>
    <t>Aug 01, 2024</t>
  </si>
  <si>
    <t>Jul 31, 2024</t>
  </si>
  <si>
    <t>Jul 30, 2024</t>
  </si>
  <si>
    <t>Jul 29, 2024</t>
  </si>
  <si>
    <t>Jul 26, 2024</t>
  </si>
  <si>
    <t>Jul 25, 2024</t>
  </si>
  <si>
    <t>Jul 24, 2024</t>
  </si>
  <si>
    <t>Jul 23, 2024</t>
  </si>
  <si>
    <t>Jul 22, 2024</t>
  </si>
  <si>
    <t>Jul 19, 2024</t>
  </si>
  <si>
    <t>Jul 18, 2024</t>
  </si>
  <si>
    <t>Jul 17, 2024</t>
  </si>
  <si>
    <t>Jul 16, 2024</t>
  </si>
  <si>
    <t>Jul 15, 2024</t>
  </si>
  <si>
    <t>Jul 12, 2024</t>
  </si>
  <si>
    <t>Jul 11, 2024</t>
  </si>
  <si>
    <t>Jul 10, 2024</t>
  </si>
  <si>
    <t>Jul 09, 2024</t>
  </si>
  <si>
    <t>Jul 08, 2024</t>
  </si>
  <si>
    <t>Jul 05, 2024</t>
  </si>
  <si>
    <t>Jul 03, 2024</t>
  </si>
  <si>
    <t>Jul 02, 2024</t>
  </si>
  <si>
    <t>Jul 01, 2024</t>
  </si>
  <si>
    <t>Jun 28, 2024</t>
  </si>
  <si>
    <t>Jun 27, 2024</t>
  </si>
  <si>
    <t>Jun 26, 2024</t>
  </si>
  <si>
    <t>Jun 25, 2024</t>
  </si>
  <si>
    <t>Jun 24, 2024</t>
  </si>
  <si>
    <t>Jun 21, 2024</t>
  </si>
  <si>
    <t>Jun 20, 2024</t>
  </si>
  <si>
    <t>Jun 18, 2024</t>
  </si>
  <si>
    <t>Jun 17, 2024</t>
  </si>
  <si>
    <t>Jun 14, 2024</t>
  </si>
  <si>
    <t>Jun 13, 2024</t>
  </si>
  <si>
    <t>Jun 12, 2024</t>
  </si>
  <si>
    <t>Jun 11, 2024</t>
  </si>
  <si>
    <t>Jun 10, 2024</t>
  </si>
  <si>
    <t>Jun 07, 2024</t>
  </si>
  <si>
    <t>Jun 06, 2024</t>
  </si>
  <si>
    <t>Jun 05, 2024</t>
  </si>
  <si>
    <t>Jun 04, 2024</t>
  </si>
  <si>
    <t>Jun 03, 2024</t>
  </si>
  <si>
    <t>May 31, 2024</t>
  </si>
  <si>
    <t>May 30, 2024</t>
  </si>
  <si>
    <t>May 29, 2024</t>
  </si>
  <si>
    <t>May 28, 2024</t>
  </si>
  <si>
    <t>May 24, 2024</t>
  </si>
  <si>
    <t>May 23, 2024</t>
  </si>
  <si>
    <t>May 22, 2024</t>
  </si>
  <si>
    <t>May 21, 2024</t>
  </si>
  <si>
    <t>May 20, 2024</t>
  </si>
  <si>
    <t>May 17, 2024</t>
  </si>
  <si>
    <t>May 16, 2024</t>
  </si>
  <si>
    <t>May 15, 2024</t>
  </si>
  <si>
    <t>May 14, 2024</t>
  </si>
  <si>
    <t>May 13, 2024</t>
  </si>
  <si>
    <t>May 10, 2024</t>
  </si>
  <si>
    <t>May 09, 2024</t>
  </si>
  <si>
    <t>May 08, 2024</t>
  </si>
  <si>
    <t>May 07, 2024</t>
  </si>
  <si>
    <t>May 06, 2024</t>
  </si>
  <si>
    <t>May 03, 2024</t>
  </si>
  <si>
    <t>May 02, 2024</t>
  </si>
  <si>
    <t>May 01, 2024</t>
  </si>
  <si>
    <t>Apr 30, 2024</t>
  </si>
  <si>
    <t>Apr 29, 2024</t>
  </si>
  <si>
    <t>Apr 26, 2024</t>
  </si>
  <si>
    <t>Apr 25, 2024</t>
  </si>
  <si>
    <t>Apr 24, 2024</t>
  </si>
  <si>
    <t>Apr 23, 2024</t>
  </si>
  <si>
    <t>Apr 22, 2024</t>
  </si>
  <si>
    <t>Apr 19, 2024</t>
  </si>
  <si>
    <t>Apr 18, 2024</t>
  </si>
  <si>
    <t>Apr 17, 2024</t>
  </si>
  <si>
    <t>Apr 16, 2024</t>
  </si>
  <si>
    <t>Apr 15, 2024</t>
  </si>
  <si>
    <t>Apr 12, 2024</t>
  </si>
  <si>
    <t>Apr 11, 2024</t>
  </si>
  <si>
    <t>Apr 10, 2024</t>
  </si>
  <si>
    <t>Apr 09, 2024</t>
  </si>
  <si>
    <t>Apr 08, 2024</t>
  </si>
  <si>
    <t>Apr 05, 2024</t>
  </si>
  <si>
    <t>Apr 04, 2024</t>
  </si>
  <si>
    <t>Apr 03, 2024</t>
  </si>
  <si>
    <t>Apr 02, 2024</t>
  </si>
  <si>
    <t>Apr 01, 2024</t>
  </si>
  <si>
    <t>Mar 28, 2024</t>
  </si>
  <si>
    <t>Mar 27, 2024</t>
  </si>
  <si>
    <t>Mar 26, 2024</t>
  </si>
  <si>
    <t>Mar 25, 2024</t>
  </si>
  <si>
    <t>Mar 22, 2024</t>
  </si>
  <si>
    <t>Mar 21, 2024</t>
  </si>
  <si>
    <t>Mar 20, 2024</t>
  </si>
  <si>
    <t>Mar 19, 2024</t>
  </si>
  <si>
    <t>Mar 18, 2024</t>
  </si>
  <si>
    <t>Mar 15, 2024</t>
  </si>
  <si>
    <t>Mar 14, 2024</t>
  </si>
  <si>
    <t>Mar 13, 2024</t>
  </si>
  <si>
    <t>Mar 12, 2024</t>
  </si>
  <si>
    <t>Mar 11, 2024</t>
  </si>
  <si>
    <t>Mar 08, 2024</t>
  </si>
  <si>
    <t>Mar 07, 2024</t>
  </si>
  <si>
    <t>Mar 06, 2024</t>
  </si>
  <si>
    <t>Mar 05, 2024</t>
  </si>
  <si>
    <t>Mar 04, 2024</t>
  </si>
  <si>
    <t>Mar 01, 2024</t>
  </si>
  <si>
    <t>Feb 29, 2024</t>
  </si>
  <si>
    <t>Feb 28, 2024</t>
  </si>
  <si>
    <t>Feb 27, 2024</t>
  </si>
  <si>
    <t>Feb 26, 2024</t>
  </si>
  <si>
    <t>Feb 23, 2024</t>
  </si>
  <si>
    <t>Feb 22, 2024</t>
  </si>
  <si>
    <t>Feb 21, 2024</t>
  </si>
  <si>
    <t>Feb 20, 2024</t>
  </si>
  <si>
    <t>Feb 16, 2024</t>
  </si>
  <si>
    <t>Feb 15, 2024</t>
  </si>
  <si>
    <t>Feb 14, 2024</t>
  </si>
  <si>
    <t>Feb 13, 2024</t>
  </si>
  <si>
    <t>Feb 12, 2024</t>
  </si>
  <si>
    <t>Feb 09, 2024</t>
  </si>
  <si>
    <t>Feb 08, 2024</t>
  </si>
  <si>
    <t>Feb 07, 2024</t>
  </si>
  <si>
    <t>Feb 06, 2024</t>
  </si>
  <si>
    <t>Feb 05, 2024</t>
  </si>
  <si>
    <t>Feb 02, 2024</t>
  </si>
  <si>
    <t>Feb 01, 2024</t>
  </si>
  <si>
    <t>Jan 31, 2024</t>
  </si>
  <si>
    <t>Jan 30, 2024</t>
  </si>
  <si>
    <t>Jan 29, 2024</t>
  </si>
  <si>
    <t>Jan 26, 2024</t>
  </si>
  <si>
    <t>Jan 25, 2024</t>
  </si>
  <si>
    <t>Jan 24, 2024</t>
  </si>
  <si>
    <t>Jan 23, 2024</t>
  </si>
  <si>
    <t>Jan 22, 2024</t>
  </si>
  <si>
    <t>Jan 19, 2024</t>
  </si>
  <si>
    <t>Jan 18, 2024</t>
  </si>
  <si>
    <t>Jan 17, 2024</t>
  </si>
  <si>
    <t>Jan 16, 2024</t>
  </si>
  <si>
    <t>Jan 12, 2024</t>
  </si>
  <si>
    <t>Jan 11, 2024</t>
  </si>
  <si>
    <t>Jan 10, 2024</t>
  </si>
  <si>
    <t>Jan 09, 2024</t>
  </si>
  <si>
    <t>Jan 08, 2024</t>
  </si>
  <si>
    <t>Jan 05, 2024</t>
  </si>
  <si>
    <t>Jan 04, 2024</t>
  </si>
  <si>
    <t>Jan 03, 2024</t>
  </si>
  <si>
    <t>Jan 02, 2024</t>
  </si>
  <si>
    <t>Dec 29, 2023</t>
  </si>
  <si>
    <t>Dec 28, 2023</t>
  </si>
  <si>
    <t>Dec 27, 2023</t>
  </si>
  <si>
    <t>Dec 26, 2023</t>
  </si>
  <si>
    <t>Dec 22, 2023</t>
  </si>
  <si>
    <t>Dec 21, 2023</t>
  </si>
  <si>
    <t>Dec 20, 2023</t>
  </si>
  <si>
    <t>Dec 19, 2023</t>
  </si>
  <si>
    <t>Dec 18, 2023</t>
  </si>
  <si>
    <t>Dec 15, 2023</t>
  </si>
  <si>
    <t>Dec 14, 2023</t>
  </si>
  <si>
    <t>Dec 13, 2023</t>
  </si>
  <si>
    <t>Dec 12, 2023</t>
  </si>
  <si>
    <t>Dec 11, 2023</t>
  </si>
  <si>
    <t>Dec 08, 2023</t>
  </si>
  <si>
    <t>Dec 07, 2023</t>
  </si>
  <si>
    <t>Dec 06, 2023</t>
  </si>
  <si>
    <t>Dec 05, 2023</t>
  </si>
  <si>
    <t>Dec 04, 2023</t>
  </si>
  <si>
    <t>Dec 01, 2023</t>
  </si>
  <si>
    <t>Nov 30, 2023</t>
  </si>
  <si>
    <t>Nov 29, 2023</t>
  </si>
  <si>
    <t>Nov 28, 2023</t>
  </si>
  <si>
    <t>Nov 27, 2023</t>
  </si>
  <si>
    <t>Nov 24, 2023</t>
  </si>
  <si>
    <t>Nov 22, 2023</t>
  </si>
  <si>
    <t>Nov 21, 2023</t>
  </si>
  <si>
    <t>Nov 20, 2023</t>
  </si>
  <si>
    <t>Nov 17, 2023</t>
  </si>
  <si>
    <t>Nov 16, 2023</t>
  </si>
  <si>
    <t>Nov 15, 2023</t>
  </si>
  <si>
    <t>Nov 14, 2023</t>
  </si>
  <si>
    <t>Nov 13, 2023</t>
  </si>
  <si>
    <t>Nov 10, 2023</t>
  </si>
  <si>
    <t>Nov 09, 2023</t>
  </si>
  <si>
    <t>Nov 08, 2023</t>
  </si>
  <si>
    <t>Nov 07, 2023</t>
  </si>
  <si>
    <t>Nov 06, 2023</t>
  </si>
  <si>
    <t>Nov 03, 2023</t>
  </si>
  <si>
    <t>Nov 02, 2023</t>
  </si>
  <si>
    <t>Nov 01, 2023</t>
  </si>
  <si>
    <t>Oct 31, 2023</t>
  </si>
  <si>
    <t>Oct 30, 2023</t>
  </si>
  <si>
    <t>Oct 27, 2023</t>
  </si>
  <si>
    <t>Oct 26, 2023</t>
  </si>
  <si>
    <t>Oct 25, 2023</t>
  </si>
  <si>
    <t>Oct 24, 2023</t>
  </si>
  <si>
    <t>Oct 23, 2023</t>
  </si>
  <si>
    <t>Oct 20, 2023</t>
  </si>
  <si>
    <t>Oct 19, 2023</t>
  </si>
  <si>
    <t>Oct 18, 2023</t>
  </si>
  <si>
    <t>Oct 17, 2023</t>
  </si>
  <si>
    <t>Oct 16, 2023</t>
  </si>
  <si>
    <t>Oct 13, 2023</t>
  </si>
  <si>
    <t>Oct 12, 2023</t>
  </si>
  <si>
    <t>Oct 11, 2023</t>
  </si>
  <si>
    <t>Oct 10, 2023</t>
  </si>
  <si>
    <t>Oct 09, 2023</t>
  </si>
  <si>
    <t>Oct 06, 2023</t>
  </si>
  <si>
    <t>Oct 05, 2023</t>
  </si>
  <si>
    <t>Oct 04, 2023</t>
  </si>
  <si>
    <t>Oct 03, 2023</t>
  </si>
  <si>
    <t>Oct 02, 2023</t>
  </si>
  <si>
    <t>Sep 29, 2023</t>
  </si>
  <si>
    <t>Sep 28, 2023</t>
  </si>
  <si>
    <t>Sep 27, 2023</t>
  </si>
  <si>
    <t>Sep 26, 2023</t>
  </si>
  <si>
    <t>Sep 25, 2023</t>
  </si>
  <si>
    <t>Sep 22, 2023</t>
  </si>
  <si>
    <t>Sep 21, 2023</t>
  </si>
  <si>
    <t>Sep 20, 2023</t>
  </si>
  <si>
    <t>Sep 19, 2023</t>
  </si>
  <si>
    <t>Sep 18, 2023</t>
  </si>
  <si>
    <t>Sep 15, 2023</t>
  </si>
  <si>
    <t>Sep 14, 2023</t>
  </si>
  <si>
    <t>Sep 13, 2023</t>
  </si>
  <si>
    <t>Sep 12, 2023</t>
  </si>
  <si>
    <t>Sep 11, 2023</t>
  </si>
  <si>
    <t>Sep 08, 2023</t>
  </si>
  <si>
    <t>Sep 07, 2023</t>
  </si>
  <si>
    <t>Sep 06, 2023</t>
  </si>
  <si>
    <t>Sep 05, 2023</t>
  </si>
  <si>
    <t>Sep 01, 2023</t>
  </si>
  <si>
    <t>Aug 31, 2023</t>
  </si>
  <si>
    <t>Aug 30, 2023</t>
  </si>
  <si>
    <t>Aug 29, 2023</t>
  </si>
  <si>
    <t>Aug 28, 2023</t>
  </si>
  <si>
    <t>Aug 25, 2023</t>
  </si>
  <si>
    <t>Aug 24, 2023</t>
  </si>
  <si>
    <t>Aug 23, 2023</t>
  </si>
  <si>
    <t>Aug 22, 2023</t>
  </si>
  <si>
    <t>Aug 21, 2023</t>
  </si>
  <si>
    <t>Aug 18, 2023</t>
  </si>
  <si>
    <t>Aug 17, 2023</t>
  </si>
  <si>
    <t>Aug 16, 2023</t>
  </si>
  <si>
    <t>Aug 15, 2023</t>
  </si>
  <si>
    <t>Aug 14, 2023</t>
  </si>
  <si>
    <t>Aug 11, 2023</t>
  </si>
  <si>
    <t>Aug 10, 2023</t>
  </si>
  <si>
    <t>Aug 09, 2023</t>
  </si>
  <si>
    <t>Aug 08, 2023</t>
  </si>
  <si>
    <t>Aug 07, 2023</t>
  </si>
  <si>
    <t>Aug 04, 2023</t>
  </si>
  <si>
    <t>Aug 03, 2023</t>
  </si>
  <si>
    <t>Aug 02, 2023</t>
  </si>
  <si>
    <t>Aug 01, 2023</t>
  </si>
  <si>
    <t>Jul 31, 2023</t>
  </si>
  <si>
    <t>Jul 28, 2023</t>
  </si>
  <si>
    <t>Jul 27, 2023</t>
  </si>
  <si>
    <t>Jul 26, 2023</t>
  </si>
  <si>
    <t>Jul 25, 2023</t>
  </si>
  <si>
    <t>Jul 24, 2023</t>
  </si>
  <si>
    <t>Jul 21, 2023</t>
  </si>
  <si>
    <t>Jul 20, 2023</t>
  </si>
  <si>
    <t>Jul 19, 2023</t>
  </si>
  <si>
    <t>Jul 18, 2023</t>
  </si>
  <si>
    <t>Jul 17, 2023</t>
  </si>
  <si>
    <t>Jul 14, 2023</t>
  </si>
  <si>
    <t>Jul 13, 2023</t>
  </si>
  <si>
    <t>Jul 12, 2023</t>
  </si>
  <si>
    <t>Jul 11, 2023</t>
  </si>
  <si>
    <t>Jul 10, 2023</t>
  </si>
  <si>
    <t>Jul 07, 2023</t>
  </si>
  <si>
    <t>Jul 06, 2023</t>
  </si>
  <si>
    <t>Jul 05, 2023</t>
  </si>
  <si>
    <t>Jul 03, 2023</t>
  </si>
  <si>
    <t>Jun 30, 2023</t>
  </si>
  <si>
    <t>Jun 29, 2023</t>
  </si>
  <si>
    <t>Jun 28, 2023</t>
  </si>
  <si>
    <t>Jun 27, 2023</t>
  </si>
  <si>
    <t>Jun 26, 2023</t>
  </si>
  <si>
    <t>Jun 23, 2023</t>
  </si>
  <si>
    <t>Jun 22, 2023</t>
  </si>
  <si>
    <t>Jun 21, 2023</t>
  </si>
  <si>
    <t>Jun 20, 2023</t>
  </si>
  <si>
    <t>Jun 16, 2023</t>
  </si>
  <si>
    <t>Jun 15, 2023</t>
  </si>
  <si>
    <t>Jun 14, 2023</t>
  </si>
  <si>
    <t>Jun 13, 2023</t>
  </si>
  <si>
    <t>Jun 12, 2023</t>
  </si>
  <si>
    <t>Jun 09, 2023</t>
  </si>
  <si>
    <t>Jun 08, 2023</t>
  </si>
  <si>
    <t>Jun 07, 2023</t>
  </si>
  <si>
    <t>Jun 06, 2023</t>
  </si>
  <si>
    <t>Jun 05, 2023</t>
  </si>
  <si>
    <t>Jun 02, 2023</t>
  </si>
  <si>
    <t>Jun 01, 2023</t>
  </si>
  <si>
    <t>May 31, 2023</t>
  </si>
  <si>
    <t>May 30, 2023</t>
  </si>
  <si>
    <t>May 26, 2023</t>
  </si>
  <si>
    <t>May 25, 2023</t>
  </si>
  <si>
    <t>May 24, 2023</t>
  </si>
  <si>
    <t>May 23, 2023</t>
  </si>
  <si>
    <t>May 22, 2023</t>
  </si>
  <si>
    <t>May 19, 2023</t>
  </si>
  <si>
    <t>May 18, 2023</t>
  </si>
  <si>
    <t>May 17, 2023</t>
  </si>
  <si>
    <t>May 16, 2023</t>
  </si>
  <si>
    <t>May 15, 2023</t>
  </si>
  <si>
    <t>May 12, 2023</t>
  </si>
  <si>
    <t>May 11, 2023</t>
  </si>
  <si>
    <t>May 10, 2023</t>
  </si>
  <si>
    <t>May 09, 2023</t>
  </si>
  <si>
    <t>May 08, 2023</t>
  </si>
  <si>
    <t>May 05, 2023</t>
  </si>
  <si>
    <t>May 04, 2023</t>
  </si>
  <si>
    <t>May 03, 2023</t>
  </si>
  <si>
    <t>May 02, 2023</t>
  </si>
  <si>
    <t>May 01, 2023</t>
  </si>
  <si>
    <t>Apr 28, 2023</t>
  </si>
  <si>
    <t>Apr 27, 2023</t>
  </si>
  <si>
    <t>Apr 26, 2023</t>
  </si>
  <si>
    <t>Apr 25, 2023</t>
  </si>
  <si>
    <t>Apr 24, 2023</t>
  </si>
  <si>
    <t>Apr 21, 2023</t>
  </si>
  <si>
    <t>Apr 20, 2023</t>
  </si>
  <si>
    <t>Apr 19, 2023</t>
  </si>
  <si>
    <t>Apr 18, 2023</t>
  </si>
  <si>
    <t>Apr 17, 2023</t>
  </si>
  <si>
    <t>Apr 14, 2023</t>
  </si>
  <si>
    <t>Apr 13, 2023</t>
  </si>
  <si>
    <t>Apr 12, 2023</t>
  </si>
  <si>
    <t>Apr 11, 2023</t>
  </si>
  <si>
    <t>Apr 10, 2023</t>
  </si>
  <si>
    <t>Apr 06, 2023</t>
  </si>
  <si>
    <t>Apr 05, 2023</t>
  </si>
  <si>
    <t>Apr 04, 2023</t>
  </si>
  <si>
    <t>Apr 03, 2023</t>
  </si>
  <si>
    <t>Mar 31, 2023</t>
  </si>
  <si>
    <t>Mar 30, 2023</t>
  </si>
  <si>
    <t>Mar 29, 2023</t>
  </si>
  <si>
    <t>Mar 28, 2023</t>
  </si>
  <si>
    <t>Mar 27, 2023</t>
  </si>
  <si>
    <t>Mar 24, 2023</t>
  </si>
  <si>
    <t>Mar 23, 2023</t>
  </si>
  <si>
    <t>Mar 22, 2023</t>
  </si>
  <si>
    <t>Mar 21, 2023</t>
  </si>
  <si>
    <t>Mar 20, 2023</t>
  </si>
  <si>
    <t>Mar 17, 2023</t>
  </si>
  <si>
    <t>Mar 16, 2023</t>
  </si>
  <si>
    <t>Mar 15, 2023</t>
  </si>
  <si>
    <t>Mar 14, 2023</t>
  </si>
  <si>
    <t>Mar 13, 2023</t>
  </si>
  <si>
    <t>Mar 10, 2023</t>
  </si>
  <si>
    <t>Mar 09, 2023</t>
  </si>
  <si>
    <t>Mar 08, 2023</t>
  </si>
  <si>
    <t>Mar 07, 2023</t>
  </si>
  <si>
    <t>Mar 06, 2023</t>
  </si>
  <si>
    <t>Mar 03, 2023</t>
  </si>
  <si>
    <t>Mar 02, 2023</t>
  </si>
  <si>
    <t>Mar 01, 2023</t>
  </si>
  <si>
    <t>Feb 28, 2023</t>
  </si>
  <si>
    <t>Feb 27, 2023</t>
  </si>
  <si>
    <t>Feb 24, 2023</t>
  </si>
  <si>
    <t>Feb 23, 2023</t>
  </si>
  <si>
    <t>Feb 22, 2023</t>
  </si>
  <si>
    <t>Feb 21, 2023</t>
  </si>
  <si>
    <t>Feb 17, 2023</t>
  </si>
  <si>
    <t>Feb 16, 2023</t>
  </si>
  <si>
    <t>Feb 15, 2023</t>
  </si>
  <si>
    <t>Feb 14, 2023</t>
  </si>
  <si>
    <t>Feb 13, 2023</t>
  </si>
  <si>
    <t>Feb 10, 2023</t>
  </si>
  <si>
    <t>Feb 09, 2023</t>
  </si>
  <si>
    <t>Feb 08, 2023</t>
  </si>
  <si>
    <t>Feb 07, 2023</t>
  </si>
  <si>
    <t>Feb 06, 2023</t>
  </si>
  <si>
    <t>Feb 03, 2023</t>
  </si>
  <si>
    <t>Feb 02, 2023</t>
  </si>
  <si>
    <t>Feb 01, 2023</t>
  </si>
  <si>
    <t>Jan 31, 2023</t>
  </si>
  <si>
    <t>Jan 30, 2023</t>
  </si>
  <si>
    <t>Jan 27, 2023</t>
  </si>
  <si>
    <t>Jan 26, 2023</t>
  </si>
  <si>
    <t>Jan 25, 2023</t>
  </si>
  <si>
    <t>Jan 24, 2023</t>
  </si>
  <si>
    <t>Jan 23, 2023</t>
  </si>
  <si>
    <t>Jan 20, 2023</t>
  </si>
  <si>
    <t>Jan 19, 2023</t>
  </si>
  <si>
    <t>Jan 18, 2023</t>
  </si>
  <si>
    <t>Jan 17, 2023</t>
  </si>
  <si>
    <t>Jan 13, 2023</t>
  </si>
  <si>
    <t>Jan 12, 2023</t>
  </si>
  <si>
    <t>Jan 11, 2023</t>
  </si>
  <si>
    <t>Jan 10, 2023</t>
  </si>
  <si>
    <t>Jan 09, 2023</t>
  </si>
  <si>
    <t>Jan 06, 2023</t>
  </si>
  <si>
    <t>Jan 05, 2023</t>
  </si>
  <si>
    <t>Jan 04, 2023</t>
  </si>
  <si>
    <t>Jan 03, 2023</t>
  </si>
  <si>
    <t>Dec 30, 2022</t>
  </si>
  <si>
    <t>Dec 29, 2022</t>
  </si>
  <si>
    <t>Dec 28, 2022</t>
  </si>
  <si>
    <t>Dec 27, 2022</t>
  </si>
  <si>
    <t>Dec 23, 2022</t>
  </si>
  <si>
    <t>Dec 22, 2022</t>
  </si>
  <si>
    <t>Dec 21, 2022</t>
  </si>
  <si>
    <t>Dec 20, 2022</t>
  </si>
  <si>
    <t>Dec 19, 2022</t>
  </si>
  <si>
    <t>Dec 16, 2022</t>
  </si>
  <si>
    <t>Dec 15, 2022</t>
  </si>
  <si>
    <t>Dec 14, 2022</t>
  </si>
  <si>
    <t>Dec 13, 2022</t>
  </si>
  <si>
    <t>Dec 12, 2022</t>
  </si>
  <si>
    <t>Dec 09, 2022</t>
  </si>
  <si>
    <t>Dec 08, 2022</t>
  </si>
  <si>
    <t>Dec 07, 2022</t>
  </si>
  <si>
    <t>Dec 06, 2022</t>
  </si>
  <si>
    <t>Dec 05, 2022</t>
  </si>
  <si>
    <t>Dec 02, 2022</t>
  </si>
  <si>
    <t>Dec 01, 2022</t>
  </si>
  <si>
    <t>Nov 30, 2022</t>
  </si>
  <si>
    <t>Nov 29, 2022</t>
  </si>
  <si>
    <t>Nov 28, 2022</t>
  </si>
  <si>
    <t>Nov 25, 2022</t>
  </si>
  <si>
    <t>Nov 23, 2022</t>
  </si>
  <si>
    <t>Nov 22, 2022</t>
  </si>
  <si>
    <t>Nov 21, 2022</t>
  </si>
  <si>
    <t>Nov 18, 2022</t>
  </si>
  <si>
    <t>Nov 17, 2022</t>
  </si>
  <si>
    <t>Nov 16, 2022</t>
  </si>
  <si>
    <t>Nov 15, 2022</t>
  </si>
  <si>
    <t>Nov 14, 2022</t>
  </si>
  <si>
    <t>Nov 11, 2022</t>
  </si>
  <si>
    <t>Nov 10, 2022</t>
  </si>
  <si>
    <t>Nov 09, 2022</t>
  </si>
  <si>
    <t>Nov 08, 2022</t>
  </si>
  <si>
    <t>Nov 07, 2022</t>
  </si>
  <si>
    <t>Nov 04, 2022</t>
  </si>
  <si>
    <t>Nov 03, 2022</t>
  </si>
  <si>
    <t>Nov 02, 2022</t>
  </si>
  <si>
    <t>Nov 01, 2022</t>
  </si>
  <si>
    <t>Oct 31, 2022</t>
  </si>
  <si>
    <t>Oct 28, 2022</t>
  </si>
  <si>
    <t>Oct 27, 2022</t>
  </si>
  <si>
    <t>Oct 26, 2022</t>
  </si>
  <si>
    <t>Oct 25, 2022</t>
  </si>
  <si>
    <t>Oct 24, 2022</t>
  </si>
  <si>
    <t>Oct 21, 2022</t>
  </si>
  <si>
    <t>Oct 20, 2022</t>
  </si>
  <si>
    <t>Oct 19, 2022</t>
  </si>
  <si>
    <t>Oct 18, 2022</t>
  </si>
  <si>
    <t>Oct 17, 2022</t>
  </si>
  <si>
    <t>Oct 14, 2022</t>
  </si>
  <si>
    <t>Oct 13, 2022</t>
  </si>
  <si>
    <t>Oct 12, 2022</t>
  </si>
  <si>
    <t>Oct 11, 2022</t>
  </si>
  <si>
    <t>Oct 10, 2022</t>
  </si>
  <si>
    <t>Oct 07, 2022</t>
  </si>
  <si>
    <t>Oct 06, 2022</t>
  </si>
  <si>
    <t>Oct 05, 2022</t>
  </si>
  <si>
    <t>Oct 04, 2022</t>
  </si>
  <si>
    <t>Oct 03, 2022</t>
  </si>
  <si>
    <t>Sep 30, 2022</t>
  </si>
  <si>
    <t>Sep 29, 2022</t>
  </si>
  <si>
    <t>Sep 28, 2022</t>
  </si>
  <si>
    <t>Sep 27, 2022</t>
  </si>
  <si>
    <t>Sep 26, 2022</t>
  </si>
  <si>
    <t>Sep 23, 2022</t>
  </si>
  <si>
    <t>Sep 22, 2022</t>
  </si>
  <si>
    <t>Sep 21, 2022</t>
  </si>
  <si>
    <t>Sep 20, 2022</t>
  </si>
  <si>
    <t>Sep 19, 2022</t>
  </si>
  <si>
    <t>Sep 16, 2022</t>
  </si>
  <si>
    <t>Sep 15, 2022</t>
  </si>
  <si>
    <t>Sep 14, 2022</t>
  </si>
  <si>
    <t>Sep 13, 2022</t>
  </si>
  <si>
    <t>Sep 12, 2022</t>
  </si>
  <si>
    <t>Sep 09, 2022</t>
  </si>
  <si>
    <t>Sep 08, 2022</t>
  </si>
  <si>
    <t>Sep 07, 2022</t>
  </si>
  <si>
    <t>Sep 06, 2022</t>
  </si>
  <si>
    <t>Sep 02, 2022</t>
  </si>
  <si>
    <t>Sep 01, 2022</t>
  </si>
  <si>
    <t>Aug 31, 2022</t>
  </si>
  <si>
    <t>Aug 30, 2022</t>
  </si>
  <si>
    <t>Aug 29, 2022</t>
  </si>
  <si>
    <t>Aug 26, 2022</t>
  </si>
  <si>
    <t>Aug 25, 2022</t>
  </si>
  <si>
    <t>Aug 24, 2022</t>
  </si>
  <si>
    <t>Aug 23, 2022</t>
  </si>
  <si>
    <t>Aug 22, 2022</t>
  </si>
  <si>
    <t>Aug 19, 2022</t>
  </si>
  <si>
    <t>Aug 18, 2022</t>
  </si>
  <si>
    <t>Aug 17, 2022</t>
  </si>
  <si>
    <t>Aug 16, 2022</t>
  </si>
  <si>
    <t>Aug 15, 2022</t>
  </si>
  <si>
    <t>Aug 12, 2022</t>
  </si>
  <si>
    <t>Aug 11, 2022</t>
  </si>
  <si>
    <t>Aug 10, 2022</t>
  </si>
  <si>
    <t>Aug 09, 2022</t>
  </si>
  <si>
    <t>Aug 08, 2022</t>
  </si>
  <si>
    <t>Aug 05, 2022</t>
  </si>
  <si>
    <t>Aug 04, 2022</t>
  </si>
  <si>
    <t>Aug 03, 2022</t>
  </si>
  <si>
    <t>Aug 02, 2022</t>
  </si>
  <si>
    <t>Aug 01, 2022</t>
  </si>
  <si>
    <t>Jul 29, 2022</t>
  </si>
  <si>
    <t>Jul 28, 2022</t>
  </si>
  <si>
    <t>Jul 27, 2022</t>
  </si>
  <si>
    <t>Jul 26, 2022</t>
  </si>
  <si>
    <t>Jul 25, 2022</t>
  </si>
  <si>
    <t>Jul 22, 2022</t>
  </si>
  <si>
    <t>Jul 21, 2022</t>
  </si>
  <si>
    <t>Jul 20, 2022</t>
  </si>
  <si>
    <t>Jul 19, 2022</t>
  </si>
  <si>
    <t>Jul 18, 2022</t>
  </si>
  <si>
    <t>Jul 15, 2022</t>
  </si>
  <si>
    <t>Jul 14, 2022</t>
  </si>
  <si>
    <t>Jul 13, 2022</t>
  </si>
  <si>
    <t>Jul 12, 2022</t>
  </si>
  <si>
    <t>Jul 11, 2022</t>
  </si>
  <si>
    <t>Jul 08, 2022</t>
  </si>
  <si>
    <t>Jul 07, 2022</t>
  </si>
  <si>
    <t>Jul 06, 2022</t>
  </si>
  <si>
    <t>Jul 05, 2022</t>
  </si>
  <si>
    <t>Jul 01, 2022</t>
  </si>
  <si>
    <t>Jun 30, 2022</t>
  </si>
  <si>
    <t>Jun 29, 2022</t>
  </si>
  <si>
    <t>Jun 28, 2022</t>
  </si>
  <si>
    <t>Jun 27, 2022</t>
  </si>
  <si>
    <t>Jun 24, 2022</t>
  </si>
  <si>
    <t>Jun 23, 2022</t>
  </si>
  <si>
    <t>Jun 22, 2022</t>
  </si>
  <si>
    <t>Jun 21, 2022</t>
  </si>
  <si>
    <t>Jun 17, 2022</t>
  </si>
  <si>
    <t>Jun 16, 2022</t>
  </si>
  <si>
    <t>Jun 15, 2022</t>
  </si>
  <si>
    <t>Jun 14, 2022</t>
  </si>
  <si>
    <t>Jun 13, 2022</t>
  </si>
  <si>
    <t>Jun 10, 2022</t>
  </si>
  <si>
    <t>Jun 09, 2022</t>
  </si>
  <si>
    <t>Jun 08, 2022</t>
  </si>
  <si>
    <t>Jun 07, 2022</t>
  </si>
  <si>
    <t>Jun 06, 2022</t>
  </si>
  <si>
    <t>Jun 03, 2022</t>
  </si>
  <si>
    <t>Jun 02, 2022</t>
  </si>
  <si>
    <t>Jun 01, 2022</t>
  </si>
  <si>
    <t>May 31, 2022</t>
  </si>
  <si>
    <t>May 27, 2022</t>
  </si>
  <si>
    <t>May 26, 2022</t>
  </si>
  <si>
    <t>May 25, 2022</t>
  </si>
  <si>
    <t>May 24, 2022</t>
  </si>
  <si>
    <t>May 23, 2022</t>
  </si>
  <si>
    <t>May 20, 2022</t>
  </si>
  <si>
    <t>May 19, 2022</t>
  </si>
  <si>
    <t>May 18, 2022</t>
  </si>
  <si>
    <t>May 17, 2022</t>
  </si>
  <si>
    <t>May 16, 2022</t>
  </si>
  <si>
    <t>May 13, 2022</t>
  </si>
  <si>
    <t>May 12, 2022</t>
  </si>
  <si>
    <t>May 11, 2022</t>
  </si>
  <si>
    <t>May 10, 2022</t>
  </si>
  <si>
    <t>May 09, 2022</t>
  </si>
  <si>
    <t>May 06, 2022</t>
  </si>
  <si>
    <t>May 05, 2022</t>
  </si>
  <si>
    <t>May 04, 2022</t>
  </si>
  <si>
    <t>May 03, 2022</t>
  </si>
  <si>
    <t>May 02, 2022</t>
  </si>
  <si>
    <t>Apr 29, 2022</t>
  </si>
  <si>
    <t>Apr 28, 2022</t>
  </si>
  <si>
    <t>Apr 27, 2022</t>
  </si>
  <si>
    <t>Apr 26, 2022</t>
  </si>
  <si>
    <t>Apr 25, 2022</t>
  </si>
  <si>
    <t>Apr 22, 2022</t>
  </si>
  <si>
    <t>Apr 21, 2022</t>
  </si>
  <si>
    <t>Apr 20, 2022</t>
  </si>
  <si>
    <t>Apr 19, 2022</t>
  </si>
  <si>
    <t>Apr 18, 2022</t>
  </si>
  <si>
    <t>Apr 14, 2022</t>
  </si>
  <si>
    <t>Apr 13, 2022</t>
  </si>
  <si>
    <t>Apr 12, 2022</t>
  </si>
  <si>
    <t>Apr 11, 2022</t>
  </si>
  <si>
    <t>Apr 08, 2022</t>
  </si>
  <si>
    <t>Apr 07, 2022</t>
  </si>
  <si>
    <t>Apr 06, 2022</t>
  </si>
  <si>
    <t>Apr 05, 2022</t>
  </si>
  <si>
    <t>Apr 04, 2022</t>
  </si>
  <si>
    <t>Apr 01, 2022</t>
  </si>
  <si>
    <t>Mar 31, 2022</t>
  </si>
  <si>
    <t>Mar 30, 2022</t>
  </si>
  <si>
    <t>Mar 29, 2022</t>
  </si>
  <si>
    <t>Mar 28, 2022</t>
  </si>
  <si>
    <t>Mar 25, 2022</t>
  </si>
  <si>
    <t>Mar 24, 2022</t>
  </si>
  <si>
    <t>Mar 23, 2022</t>
  </si>
  <si>
    <t>Mar 22, 2022</t>
  </si>
  <si>
    <t>Mar 21, 2022</t>
  </si>
  <si>
    <t>Mar 18, 2022</t>
  </si>
  <si>
    <t>Mar 17, 2022</t>
  </si>
  <si>
    <t>Mar 16, 2022</t>
  </si>
  <si>
    <t>Mar 15, 2022</t>
  </si>
  <si>
    <t>Mar 14, 2022</t>
  </si>
  <si>
    <t>Mar 11, 2022</t>
  </si>
  <si>
    <t>Mar 10, 2022</t>
  </si>
  <si>
    <t>Mar 09, 2022</t>
  </si>
  <si>
    <t>Mar 08, 2022</t>
  </si>
  <si>
    <t>Mar 07, 2022</t>
  </si>
  <si>
    <t>Mar 04, 2022</t>
  </si>
  <si>
    <t>Mar 03, 2022</t>
  </si>
  <si>
    <t>Mar 02, 2022</t>
  </si>
  <si>
    <t>Mar 01, 2022</t>
  </si>
  <si>
    <t>Feb 28, 2022</t>
  </si>
  <si>
    <t>Feb 25, 2022</t>
  </si>
  <si>
    <t>Feb 24, 2022</t>
  </si>
  <si>
    <t>Feb 23, 2022</t>
  </si>
  <si>
    <t>Feb 22, 2022</t>
  </si>
  <si>
    <t>Feb 18, 2022</t>
  </si>
  <si>
    <t>Feb 17, 2022</t>
  </si>
  <si>
    <t>Feb 16, 2022</t>
  </si>
  <si>
    <t>Feb 15, 2022</t>
  </si>
  <si>
    <t>Feb 14, 2022</t>
  </si>
  <si>
    <t>Feb 11, 2022</t>
  </si>
  <si>
    <t>Feb 10, 2022</t>
  </si>
  <si>
    <t>Feb 09, 2022</t>
  </si>
  <si>
    <t>Feb 08, 2022</t>
  </si>
  <si>
    <t>Feb 07, 2022</t>
  </si>
  <si>
    <t>Feb 04, 2022</t>
  </si>
  <si>
    <t>Feb 03, 2022</t>
  </si>
  <si>
    <t>Feb 02, 2022</t>
  </si>
  <si>
    <t>Feb 01, 2022</t>
  </si>
  <si>
    <t>Jan 31, 2022</t>
  </si>
  <si>
    <t>Jan 28, 2022</t>
  </si>
  <si>
    <t>Jan 27, 2022</t>
  </si>
  <si>
    <t>Jan 26, 2022</t>
  </si>
  <si>
    <t>Jan 25, 2022</t>
  </si>
  <si>
    <t>Jan 24, 2022</t>
  </si>
  <si>
    <t>Jan 21, 2022</t>
  </si>
  <si>
    <t>Jan 20, 2022</t>
  </si>
  <si>
    <t>Jan 19, 2022</t>
  </si>
  <si>
    <t>Jan 18, 2022</t>
  </si>
  <si>
    <t>Jan 14, 2022</t>
  </si>
  <si>
    <t>Jan 13, 2022</t>
  </si>
  <si>
    <t>Jan 12, 2022</t>
  </si>
  <si>
    <t>Jan 11, 2022</t>
  </si>
  <si>
    <t>Jan 10, 2022</t>
  </si>
  <si>
    <t>Jan 07, 2022</t>
  </si>
  <si>
    <t>Jan 06, 2022</t>
  </si>
  <si>
    <t>Jan 05, 2022</t>
  </si>
  <si>
    <t>Jan 04, 2022</t>
  </si>
  <si>
    <t>Jan 03, 2022</t>
  </si>
  <si>
    <t>Dec 31, 2021</t>
  </si>
  <si>
    <t>Dec 30, 2021</t>
  </si>
  <si>
    <t>Dec 29, 2021</t>
  </si>
  <si>
    <t>Dec 28, 2021</t>
  </si>
  <si>
    <t>Dec 27, 2021</t>
  </si>
  <si>
    <t>Dec 23, 2021</t>
  </si>
  <si>
    <t>Dec 22, 2021</t>
  </si>
  <si>
    <t>Dec 21, 2021</t>
  </si>
  <si>
    <t>Dec 20, 2021</t>
  </si>
  <si>
    <t>Dec 17, 2021</t>
  </si>
  <si>
    <t>Dec 16, 2021</t>
  </si>
  <si>
    <t>Dec 15, 2021</t>
  </si>
  <si>
    <t>Dec 14, 2021</t>
  </si>
  <si>
    <t>Dec 13, 2021</t>
  </si>
  <si>
    <t>Dec 10, 2021</t>
  </si>
  <si>
    <t>Dec 09, 2021</t>
  </si>
  <si>
    <t>Dec 08, 2021</t>
  </si>
  <si>
    <t>Dec 07, 2021</t>
  </si>
  <si>
    <t>Dec 06, 2021</t>
  </si>
  <si>
    <t>Dec 03, 2021</t>
  </si>
  <si>
    <t>Dec 02, 2021</t>
  </si>
  <si>
    <t>Dec 01, 2021</t>
  </si>
  <si>
    <t>Nov 30, 2021</t>
  </si>
  <si>
    <t>Nov 29, 2021</t>
  </si>
  <si>
    <t>Nov 26, 2021</t>
  </si>
  <si>
    <t>Nov 24, 2021</t>
  </si>
  <si>
    <t>Nov 23, 2021</t>
  </si>
  <si>
    <t>Nov 22, 2021</t>
  </si>
  <si>
    <t>Nov 19, 2021</t>
  </si>
  <si>
    <t>Nov 18, 2021</t>
  </si>
  <si>
    <t>Nov 17, 2021</t>
  </si>
  <si>
    <t>Nov 16, 2021</t>
  </si>
  <si>
    <t>Nov 15, 2021</t>
  </si>
  <si>
    <t>Nov 12, 2021</t>
  </si>
  <si>
    <t>Nov 11, 2021</t>
  </si>
  <si>
    <t>Nov 10, 2021</t>
  </si>
  <si>
    <t>Nov 09, 2021</t>
  </si>
  <si>
    <t>Nov 08, 2021</t>
  </si>
  <si>
    <t>Nov 05, 2021</t>
  </si>
  <si>
    <t>Nov 04, 2021</t>
  </si>
  <si>
    <t>Nov 03, 2021</t>
  </si>
  <si>
    <t>Nov 02, 2021</t>
  </si>
  <si>
    <t>Nov 01, 2021</t>
  </si>
  <si>
    <t>Oct 29, 2021</t>
  </si>
  <si>
    <t>Oct 28, 2021</t>
  </si>
  <si>
    <t>Oct 27, 2021</t>
  </si>
  <si>
    <t>Oct 26, 2021</t>
  </si>
  <si>
    <t>Oct 25, 2021</t>
  </si>
  <si>
    <t xml:space="preserve">Share Price - 5 Year </t>
  </si>
  <si>
    <t>Volume - 5 Year</t>
  </si>
  <si>
    <t>Key Financial Ratios</t>
  </si>
  <si>
    <t>Shareholder's name</t>
  </si>
  <si>
    <t>Shareholding (%)</t>
  </si>
  <si>
    <t>LIFE INSURANCE CORPORATION OF INDIA - ULIF00220091</t>
  </si>
  <si>
    <t>SBI MUTUAL FUND</t>
  </si>
  <si>
    <t>ICICI PRUDENTIAL MUTUAL FUND</t>
  </si>
  <si>
    <t>National Pension System Trust</t>
  </si>
  <si>
    <t>NIPPON LIFE INDIA TRUSTEE</t>
  </si>
  <si>
    <t>SUDHA GOPALAKRISHNAN</t>
  </si>
  <si>
    <t>UTI MUTUAL FUND</t>
  </si>
  <si>
    <t>HDFC MUTUAL FUND</t>
  </si>
  <si>
    <t>ROHAN MURTY</t>
  </si>
  <si>
    <t>VANGUARD TOTAL INTERNATIONAL STOCK INDEX FUND</t>
  </si>
  <si>
    <t>No. of Share (in crs)</t>
  </si>
  <si>
    <t>Market Value (in crs)</t>
  </si>
  <si>
    <t xml:space="preserve">Promoters </t>
  </si>
  <si>
    <t>FIIs</t>
  </si>
  <si>
    <t>DIIs </t>
  </si>
  <si>
    <t>Government</t>
  </si>
  <si>
    <t>Public</t>
  </si>
  <si>
    <t>Shareholding Pattern</t>
  </si>
  <si>
    <t>Capital Structure</t>
  </si>
  <si>
    <t>Number of Shares o/s</t>
  </si>
  <si>
    <t>Less: Cash &amp; Equivalents</t>
  </si>
  <si>
    <t>Add: Total Debt</t>
  </si>
  <si>
    <t>Add: Minority Interest</t>
  </si>
  <si>
    <t xml:space="preserve">Enterprise Value </t>
  </si>
  <si>
    <t>Managerial Remuneration</t>
  </si>
  <si>
    <t>Designation</t>
  </si>
  <si>
    <t>% Change</t>
  </si>
  <si>
    <t>X of Median Salary</t>
  </si>
  <si>
    <t>Salil Parekh</t>
  </si>
  <si>
    <t>CEO &amp; MD</t>
  </si>
  <si>
    <t>752:1</t>
  </si>
  <si>
    <t>Jayesh Sanghrajka</t>
  </si>
  <si>
    <t>CFO</t>
  </si>
  <si>
    <t>-</t>
  </si>
  <si>
    <t>85:1</t>
  </si>
  <si>
    <t>Nandan M. Nilekani</t>
  </si>
  <si>
    <t>Chairman</t>
  </si>
  <si>
    <t>A.G.S. Manikantha</t>
  </si>
  <si>
    <t>Company Secretary</t>
  </si>
  <si>
    <t>13:1</t>
  </si>
  <si>
    <t>Investment Outlook &amp; 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</si>
</sst>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 #,##0.00_ ;_ * \-#,##0.00_ ;_ * &quot;-&quot;??_ ;_ @_ "/>
    <numFmt numFmtId="164" formatCode="mmm\-yy"/>
    <numFmt numFmtId="165" formatCode="&quot;₹ &quot;#,##0.0;&quot;(₹ &quot;#,##0.0\);\-"/>
    <numFmt numFmtId="166" formatCode="#,##0.0"/>
    <numFmt numFmtId="167" formatCode="_(* #,##0.00_);_(* \(#,##0.00\);_(* \-??_);_(@_)"/>
    <numFmt numFmtId="168" formatCode="_ * #,##0.00_ ;_ * \-#,##0.00_ ;_ * \-??_ ;_ @_ "/>
    <numFmt numFmtId="169" formatCode="[$-409]mmm\-yy;@"/>
    <numFmt numFmtId="170" formatCode="mmm/yy&quot;A&quot;"/>
    <numFmt numFmtId="171" formatCode="mmm/yy&quot;F&quot;"/>
    <numFmt numFmtId="172" formatCode="&quot;₹&quot;\ #,##0.0;&quot;₹&quot;\ \(#,##0.0\);\-"/>
    <numFmt numFmtId="173" formatCode="&quot;₹&quot;\ #,##0.00"/>
    <numFmt numFmtId="174" formatCode="0.0"/>
    <numFmt numFmtId="175" formatCode="#,##0.0;\(#,##0.0\);\-"/>
    <numFmt numFmtId="176" formatCode="#,##0.00\x"/>
    <numFmt numFmtId="177" formatCode="0.0&quot;x&quot;"/>
    <numFmt numFmtId="178" formatCode="0.0\x"/>
    <numFmt numFmtId="179" formatCode="#,##0.0;\-#,##0.0"/>
    <numFmt numFmtId="180" formatCode="#,##0.0;\(#,##0.0\)"/>
  </numFmts>
  <fonts count="42" x14ac:knownFonts="1">
    <font>
      <sz val="11"/>
      <color theme="1"/>
      <name val="Calibri"/>
      <family val="2"/>
      <charset val="1"/>
    </font>
    <font>
      <sz val="11"/>
      <color theme="1"/>
      <name val="calibri"/>
      <family val="2"/>
    </font>
    <font>
      <sz val="11"/>
      <color theme="1"/>
      <name val="calibri"/>
      <family val="2"/>
    </font>
    <font>
      <sz val="11"/>
      <color theme="1"/>
      <name val="calibri"/>
      <family val="2"/>
    </font>
    <font>
      <b/>
      <sz val="11"/>
      <color theme="0"/>
      <name val="Calibri"/>
      <family val="2"/>
      <charset val="1"/>
    </font>
    <font>
      <b/>
      <sz val="11"/>
      <color theme="1"/>
      <name val="Calibri"/>
      <family val="2"/>
      <charset val="1"/>
    </font>
    <font>
      <sz val="11"/>
      <color theme="0"/>
      <name val="Calibri"/>
      <family val="2"/>
      <charset val="1"/>
    </font>
    <font>
      <u/>
      <sz val="11"/>
      <color theme="10"/>
      <name val="Calibri"/>
      <family val="2"/>
      <charset val="1"/>
    </font>
    <font>
      <sz val="11"/>
      <name val="Calibri"/>
      <family val="2"/>
      <charset val="1"/>
    </font>
    <font>
      <b/>
      <sz val="11"/>
      <color rgb="FFFF0000"/>
      <name val="Calibri"/>
      <family val="2"/>
      <charset val="1"/>
    </font>
    <font>
      <sz val="11"/>
      <color theme="1"/>
      <name val="Calibri"/>
      <family val="2"/>
      <charset val="1"/>
    </font>
    <font>
      <b/>
      <sz val="11"/>
      <color theme="0"/>
      <name val="calibri"/>
      <family val="2"/>
    </font>
    <font>
      <b/>
      <sz val="11"/>
      <color theme="1"/>
      <name val="calibri"/>
      <family val="2"/>
    </font>
    <font>
      <sz val="11"/>
      <color theme="0" tint="-0.34998626667073579"/>
      <name val="Calibri"/>
      <family val="2"/>
      <charset val="1"/>
    </font>
    <font>
      <i/>
      <sz val="11"/>
      <color theme="0" tint="-0.34998626667073579"/>
      <name val="Calibri"/>
      <family val="2"/>
    </font>
    <font>
      <b/>
      <i/>
      <sz val="11"/>
      <color theme="0" tint="-0.34998626667073579"/>
      <name val="Calibri"/>
      <family val="2"/>
    </font>
    <font>
      <sz val="11"/>
      <color theme="1"/>
      <name val="Arial"/>
      <family val="2"/>
    </font>
    <font>
      <b/>
      <sz val="11"/>
      <name val="Arial"/>
      <family val="2"/>
    </font>
    <font>
      <sz val="11"/>
      <color theme="0" tint="-0.249977111117893"/>
      <name val="Arial"/>
      <family val="2"/>
    </font>
    <font>
      <sz val="11"/>
      <color theme="0" tint="-0.249977111117893"/>
      <name val="Calibri"/>
      <family val="2"/>
      <charset val="1"/>
    </font>
    <font>
      <b/>
      <i/>
      <sz val="11"/>
      <color theme="1"/>
      <name val="calibri"/>
      <family val="2"/>
    </font>
    <font>
      <i/>
      <sz val="11"/>
      <color theme="0" tint="-0.499984740745262"/>
      <name val="Calibri"/>
      <family val="2"/>
    </font>
    <font>
      <b/>
      <sz val="13.5"/>
      <color theme="1"/>
      <name val="Calibri"/>
      <family val="2"/>
      <charset val="1"/>
    </font>
    <font>
      <b/>
      <sz val="24"/>
      <color theme="0"/>
      <name val="Calibri"/>
      <family val="2"/>
      <charset val="1"/>
    </font>
    <font>
      <b/>
      <sz val="18"/>
      <color theme="0"/>
      <name val="Calibri"/>
      <family val="2"/>
      <charset val="1"/>
    </font>
    <font>
      <i/>
      <sz val="11"/>
      <color theme="1"/>
      <name val="Calibri"/>
      <family val="2"/>
      <charset val="1"/>
    </font>
    <font>
      <sz val="11"/>
      <color theme="0"/>
      <name val="calibri"/>
      <family val="2"/>
    </font>
    <font>
      <sz val="11"/>
      <color rgb="FF3333FF"/>
      <name val="Calibri"/>
      <family val="2"/>
      <charset val="1"/>
    </font>
    <font>
      <sz val="14"/>
      <color theme="0"/>
      <name val="Calibri"/>
      <family val="2"/>
      <charset val="1"/>
    </font>
    <font>
      <b/>
      <sz val="16"/>
      <color theme="0"/>
      <name val="calibri"/>
      <family val="2"/>
    </font>
    <font>
      <b/>
      <sz val="11"/>
      <color rgb="FF3333FF"/>
      <name val="calibri"/>
      <family val="2"/>
    </font>
    <font>
      <b/>
      <sz val="11"/>
      <color rgb="FF002060"/>
      <name val="calibri"/>
      <family val="2"/>
    </font>
    <font>
      <sz val="11"/>
      <name val="calibri"/>
      <family val="2"/>
    </font>
    <font>
      <sz val="11"/>
      <color rgb="FF3333FF"/>
      <name val="calibri"/>
      <family val="2"/>
    </font>
    <font>
      <b/>
      <sz val="22"/>
      <color rgb="FF007CC3"/>
      <name val="calibri"/>
      <family val="2"/>
    </font>
    <font>
      <b/>
      <sz val="12"/>
      <color theme="0"/>
      <name val="calibri"/>
      <family val="2"/>
    </font>
    <font>
      <b/>
      <sz val="14"/>
      <color rgb="FF007CC3"/>
      <name val="Calibri"/>
      <family val="2"/>
    </font>
    <font>
      <b/>
      <sz val="12"/>
      <color rgb="FF007CC3"/>
      <name val="calibri"/>
      <family val="2"/>
    </font>
    <font>
      <sz val="11"/>
      <color theme="1"/>
      <name val="Calibri"/>
      <family val="2"/>
      <scheme val="minor"/>
    </font>
    <font>
      <b/>
      <sz val="14"/>
      <color theme="0"/>
      <name val="Calibri"/>
      <family val="2"/>
    </font>
    <font>
      <sz val="12"/>
      <color theme="1"/>
      <name val="calibri"/>
      <family val="2"/>
    </font>
    <font>
      <i/>
      <sz val="9"/>
      <color theme="1"/>
      <name val="Calibri"/>
      <family val="2"/>
    </font>
  </fonts>
  <fills count="15">
    <fill>
      <patternFill patternType="none"/>
    </fill>
    <fill>
      <patternFill patternType="gray125"/>
    </fill>
    <fill>
      <patternFill patternType="solid">
        <fgColor theme="9"/>
        <bgColor rgb="FF993366"/>
      </patternFill>
    </fill>
    <fill>
      <patternFill patternType="solid">
        <fgColor theme="4" tint="0.39988402966399123"/>
        <bgColor rgb="FF33CCCC"/>
      </patternFill>
    </fill>
    <fill>
      <patternFill patternType="solid">
        <fgColor theme="6" tint="0.39988402966399123"/>
        <bgColor rgb="FFFF99CC"/>
      </patternFill>
    </fill>
    <fill>
      <patternFill patternType="solid">
        <fgColor rgb="FF0275D8"/>
        <bgColor rgb="FF008080"/>
      </patternFill>
    </fill>
    <fill>
      <patternFill patternType="solid">
        <fgColor rgb="FF00206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007CC3"/>
        <bgColor indexed="64"/>
      </patternFill>
    </fill>
    <fill>
      <patternFill patternType="solid">
        <fgColor theme="4" tint="0.79998168889431442"/>
        <bgColor indexed="64"/>
      </patternFill>
    </fill>
    <fill>
      <patternFill patternType="solid">
        <fgColor rgb="FFFFFF00"/>
        <bgColor indexed="64"/>
      </patternFill>
    </fill>
  </fills>
  <borders count="23">
    <border>
      <left/>
      <right/>
      <top/>
      <bottom/>
      <diagonal/>
    </border>
    <border>
      <left/>
      <right/>
      <top style="thin">
        <color rgb="FF002060"/>
      </top>
      <bottom style="thin">
        <color rgb="FF002060"/>
      </bottom>
      <diagonal/>
    </border>
    <border>
      <left/>
      <right/>
      <top style="thin">
        <color rgb="FF002060"/>
      </top>
      <bottom style="medium">
        <color rgb="FF002060"/>
      </bottom>
      <diagonal/>
    </border>
    <border>
      <left/>
      <right/>
      <top style="thin">
        <color auto="1"/>
      </top>
      <bottom style="medium">
        <color auto="1"/>
      </bottom>
      <diagonal/>
    </border>
    <border>
      <left/>
      <right/>
      <top style="thin">
        <color auto="1"/>
      </top>
      <bottom style="thin">
        <color auto="1"/>
      </bottom>
      <diagonal/>
    </border>
    <border>
      <left/>
      <right/>
      <top/>
      <bottom style="thin">
        <color rgb="FF002060"/>
      </bottom>
      <diagonal/>
    </border>
    <border>
      <left/>
      <right/>
      <top style="thin">
        <color rgb="FF002060"/>
      </top>
      <bottom/>
      <diagonal/>
    </border>
    <border>
      <left/>
      <right/>
      <top style="hair">
        <color rgb="FF002060"/>
      </top>
      <bottom style="hair">
        <color rgb="FF002060"/>
      </bottom>
      <diagonal/>
    </border>
    <border>
      <left/>
      <right/>
      <top/>
      <bottom style="hair">
        <color rgb="FF002060"/>
      </bottom>
      <diagonal/>
    </border>
    <border>
      <left/>
      <right/>
      <top style="hair">
        <color rgb="FF002060"/>
      </top>
      <bottom style="thin">
        <color rgb="FF002060"/>
      </bottom>
      <diagonal/>
    </border>
    <border>
      <left/>
      <right/>
      <top/>
      <bottom style="thin">
        <color auto="1"/>
      </bottom>
      <diagonal/>
    </border>
    <border>
      <left/>
      <right/>
      <top/>
      <bottom style="medium">
        <color indexed="64"/>
      </bottom>
      <diagonal/>
    </border>
    <border>
      <left/>
      <right/>
      <top style="medium">
        <color indexed="64"/>
      </top>
      <bottom style="thin">
        <color auto="1"/>
      </bottom>
      <diagonal/>
    </border>
    <border>
      <left/>
      <right/>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rgb="FF007CC3"/>
      </bottom>
      <diagonal/>
    </border>
    <border>
      <left/>
      <right/>
      <top/>
      <bottom style="hair">
        <color rgb="FF0070C0"/>
      </bottom>
      <diagonal/>
    </border>
    <border>
      <left style="thin">
        <color indexed="64"/>
      </left>
      <right style="thin">
        <color indexed="64"/>
      </right>
      <top style="thin">
        <color indexed="64"/>
      </top>
      <bottom style="thin">
        <color indexed="64"/>
      </bottom>
      <diagonal/>
    </border>
    <border>
      <left/>
      <right/>
      <top style="hair">
        <color rgb="FF3333FF"/>
      </top>
      <bottom style="hair">
        <color rgb="FF3333FF"/>
      </bottom>
      <diagonal/>
    </border>
    <border>
      <left/>
      <right/>
      <top/>
      <bottom style="hair">
        <color rgb="FF3333FF"/>
      </bottom>
      <diagonal/>
    </border>
    <border>
      <left/>
      <right/>
      <top style="hair">
        <color rgb="FF3333FF"/>
      </top>
      <bottom style="medium">
        <color rgb="FF002060"/>
      </bottom>
      <diagonal/>
    </border>
  </borders>
  <cellStyleXfs count="7">
    <xf numFmtId="0" fontId="0" fillId="0" borderId="0"/>
    <xf numFmtId="167" fontId="10" fillId="0" borderId="0"/>
    <xf numFmtId="9" fontId="10" fillId="0" borderId="0"/>
    <xf numFmtId="0" fontId="7" fillId="0" borderId="0">
      <alignment vertical="top"/>
      <protection locked="0"/>
    </xf>
    <xf numFmtId="0" fontId="6" fillId="2" borderId="0"/>
    <xf numFmtId="0" fontId="6" fillId="3" borderId="0"/>
    <xf numFmtId="0" fontId="6" fillId="4" borderId="0"/>
  </cellStyleXfs>
  <cellXfs count="241">
    <xf numFmtId="0" fontId="0" fillId="0" borderId="0" xfId="0"/>
    <xf numFmtId="0" fontId="5" fillId="0" borderId="0" xfId="0" applyFont="1"/>
    <xf numFmtId="165" fontId="0" fillId="0" borderId="0" xfId="0" applyNumberFormat="1"/>
    <xf numFmtId="168" fontId="10" fillId="0" borderId="0" xfId="1" applyNumberFormat="1"/>
    <xf numFmtId="168" fontId="5" fillId="0" borderId="0" xfId="1" applyNumberFormat="1" applyFont="1"/>
    <xf numFmtId="169" fontId="4" fillId="5" borderId="0" xfId="1" applyNumberFormat="1" applyFont="1" applyFill="1"/>
    <xf numFmtId="169" fontId="4" fillId="5" borderId="0" xfId="0" applyNumberFormat="1" applyFont="1" applyFill="1" applyAlignment="1">
      <alignment horizontal="center"/>
    </xf>
    <xf numFmtId="169" fontId="8" fillId="0" borderId="0" xfId="1" applyNumberFormat="1" applyFont="1"/>
    <xf numFmtId="167" fontId="10" fillId="0" borderId="0" xfId="1"/>
    <xf numFmtId="164" fontId="0" fillId="0" borderId="0" xfId="0" applyNumberFormat="1"/>
    <xf numFmtId="3" fontId="0" fillId="0" borderId="0" xfId="0" applyNumberFormat="1"/>
    <xf numFmtId="9" fontId="0" fillId="0" borderId="0" xfId="0" applyNumberFormat="1"/>
    <xf numFmtId="0" fontId="9" fillId="0" borderId="0" xfId="0" applyFont="1"/>
    <xf numFmtId="0" fontId="4" fillId="5" borderId="0" xfId="0" applyFont="1" applyFill="1"/>
    <xf numFmtId="0" fontId="4" fillId="5" borderId="0" xfId="0" applyFont="1" applyFill="1" applyAlignment="1">
      <alignment horizontal="center"/>
    </xf>
    <xf numFmtId="9" fontId="10" fillId="0" borderId="0" xfId="1" applyNumberFormat="1"/>
    <xf numFmtId="168" fontId="4" fillId="3" borderId="0" xfId="5" applyNumberFormat="1" applyFont="1"/>
    <xf numFmtId="168" fontId="4" fillId="4" borderId="0" xfId="6" applyNumberFormat="1" applyFont="1"/>
    <xf numFmtId="10" fontId="0" fillId="0" borderId="0" xfId="0" applyNumberFormat="1"/>
    <xf numFmtId="10" fontId="5" fillId="0" borderId="0" xfId="0" applyNumberFormat="1" applyFont="1"/>
    <xf numFmtId="9" fontId="5" fillId="0" borderId="0" xfId="2" applyFont="1"/>
    <xf numFmtId="0" fontId="8" fillId="0" borderId="0" xfId="0" applyFont="1"/>
    <xf numFmtId="168" fontId="10" fillId="0" borderId="0" xfId="1" applyNumberFormat="1" applyAlignment="1">
      <alignment horizontal="center"/>
    </xf>
    <xf numFmtId="168" fontId="5" fillId="0" borderId="0" xfId="1" applyNumberFormat="1" applyFont="1" applyAlignment="1">
      <alignment horizontal="center"/>
    </xf>
    <xf numFmtId="0" fontId="12" fillId="0" borderId="0" xfId="0" applyFont="1"/>
    <xf numFmtId="0" fontId="11" fillId="6" borderId="0" xfId="0" applyFont="1" applyFill="1"/>
    <xf numFmtId="170" fontId="11" fillId="6" borderId="0" xfId="0" applyNumberFormat="1" applyFont="1" applyFill="1"/>
    <xf numFmtId="171" fontId="11" fillId="6" borderId="0" xfId="0" applyNumberFormat="1" applyFont="1" applyFill="1"/>
    <xf numFmtId="166" fontId="0" fillId="0" borderId="0" xfId="0" applyNumberFormat="1"/>
    <xf numFmtId="9" fontId="10" fillId="0" borderId="0" xfId="2"/>
    <xf numFmtId="166" fontId="12" fillId="0" borderId="1" xfId="0" applyNumberFormat="1" applyFont="1" applyBorder="1"/>
    <xf numFmtId="0" fontId="14" fillId="0" borderId="0" xfId="0" applyFont="1"/>
    <xf numFmtId="10" fontId="14" fillId="0" borderId="0" xfId="2" applyNumberFormat="1" applyFont="1"/>
    <xf numFmtId="0" fontId="15" fillId="0" borderId="0" xfId="0" applyFont="1"/>
    <xf numFmtId="172" fontId="0" fillId="0" borderId="0" xfId="0" applyNumberFormat="1"/>
    <xf numFmtId="172" fontId="12" fillId="0" borderId="1" xfId="0" applyNumberFormat="1" applyFont="1" applyBorder="1"/>
    <xf numFmtId="172" fontId="12" fillId="0" borderId="2" xfId="0" applyNumberFormat="1" applyFont="1" applyBorder="1"/>
    <xf numFmtId="0" fontId="0" fillId="8" borderId="0" xfId="0" applyFill="1"/>
    <xf numFmtId="166" fontId="0" fillId="8" borderId="0" xfId="0" applyNumberFormat="1" applyFill="1"/>
    <xf numFmtId="10" fontId="14" fillId="8" borderId="0" xfId="2" applyNumberFormat="1" applyFont="1" applyFill="1"/>
    <xf numFmtId="10" fontId="13" fillId="8" borderId="0" xfId="2" applyNumberFormat="1" applyFont="1" applyFill="1"/>
    <xf numFmtId="166" fontId="12" fillId="8" borderId="1" xfId="0" applyNumberFormat="1" applyFont="1" applyFill="1" applyBorder="1"/>
    <xf numFmtId="10" fontId="13" fillId="8" borderId="0" xfId="0" applyNumberFormat="1" applyFont="1" applyFill="1"/>
    <xf numFmtId="0" fontId="16" fillId="7" borderId="0" xfId="0" applyFont="1" applyFill="1"/>
    <xf numFmtId="0" fontId="16" fillId="7" borderId="0" xfId="0" applyFont="1" applyFill="1" applyAlignment="1">
      <alignment horizontal="left"/>
    </xf>
    <xf numFmtId="0" fontId="16" fillId="7" borderId="0" xfId="0" applyFont="1" applyFill="1" applyAlignment="1">
      <alignment horizontal="left" indent="1"/>
    </xf>
    <xf numFmtId="0" fontId="18" fillId="7" borderId="0" xfId="0" applyFont="1" applyFill="1"/>
    <xf numFmtId="0" fontId="17" fillId="9" borderId="3" xfId="0" applyFont="1" applyFill="1" applyBorder="1" applyAlignment="1">
      <alignment vertical="center" wrapText="1"/>
    </xf>
    <xf numFmtId="165" fontId="0" fillId="8" borderId="0" xfId="0" applyNumberFormat="1" applyFill="1"/>
    <xf numFmtId="173" fontId="0" fillId="0" borderId="0" xfId="0" applyNumberFormat="1"/>
    <xf numFmtId="10" fontId="20" fillId="0" borderId="0" xfId="0" applyNumberFormat="1" applyFont="1"/>
    <xf numFmtId="172" fontId="0" fillId="8" borderId="0" xfId="0" applyNumberFormat="1" applyFill="1"/>
    <xf numFmtId="0" fontId="21" fillId="0" borderId="0" xfId="0" applyFont="1"/>
    <xf numFmtId="10" fontId="21" fillId="0" borderId="0" xfId="2" applyNumberFormat="1" applyFont="1"/>
    <xf numFmtId="10" fontId="21" fillId="8" borderId="0" xfId="2" applyNumberFormat="1" applyFont="1" applyFill="1"/>
    <xf numFmtId="174" fontId="12" fillId="0" borderId="0" xfId="0" applyNumberFormat="1" applyFont="1"/>
    <xf numFmtId="172" fontId="12" fillId="8" borderId="1" xfId="0" applyNumberFormat="1" applyFont="1" applyFill="1" applyBorder="1"/>
    <xf numFmtId="0" fontId="15" fillId="8" borderId="0" xfId="0" applyFont="1" applyFill="1"/>
    <xf numFmtId="174" fontId="21" fillId="0" borderId="0" xfId="0" applyNumberFormat="1" applyFont="1"/>
    <xf numFmtId="0" fontId="11" fillId="6" borderId="0" xfId="0" applyFont="1" applyFill="1" applyAlignment="1">
      <alignment horizontal="center"/>
    </xf>
    <xf numFmtId="175" fontId="0" fillId="0" borderId="0" xfId="0" applyNumberFormat="1"/>
    <xf numFmtId="175" fontId="19" fillId="0" borderId="0" xfId="0" applyNumberFormat="1" applyFont="1"/>
    <xf numFmtId="175" fontId="19" fillId="0" borderId="0" xfId="2" applyNumberFormat="1" applyFont="1"/>
    <xf numFmtId="175" fontId="5" fillId="0" borderId="3" xfId="0" applyNumberFormat="1" applyFont="1" applyBorder="1"/>
    <xf numFmtId="175" fontId="0" fillId="8" borderId="0" xfId="0" applyNumberFormat="1" applyFill="1"/>
    <xf numFmtId="175" fontId="19" fillId="8" borderId="0" xfId="2" applyNumberFormat="1" applyFont="1" applyFill="1"/>
    <xf numFmtId="175" fontId="5" fillId="8" borderId="3" xfId="0" applyNumberFormat="1" applyFont="1" applyFill="1" applyBorder="1"/>
    <xf numFmtId="0" fontId="3" fillId="0" borderId="0" xfId="0" applyFont="1"/>
    <xf numFmtId="0" fontId="12" fillId="0" borderId="4" xfId="0" applyFont="1" applyBorder="1"/>
    <xf numFmtId="175" fontId="12" fillId="0" borderId="4" xfId="0" applyNumberFormat="1" applyFont="1" applyBorder="1"/>
    <xf numFmtId="175" fontId="12" fillId="8" borderId="4" xfId="0" applyNumberFormat="1" applyFont="1" applyFill="1" applyBorder="1"/>
    <xf numFmtId="172" fontId="12" fillId="8" borderId="2" xfId="0" applyNumberFormat="1" applyFont="1" applyFill="1" applyBorder="1"/>
    <xf numFmtId="0" fontId="22" fillId="0" borderId="0" xfId="0" applyFont="1" applyAlignment="1">
      <alignment vertical="center"/>
    </xf>
    <xf numFmtId="0" fontId="23" fillId="6" borderId="0" xfId="0" applyFont="1" applyFill="1" applyAlignment="1">
      <alignment vertical="center"/>
    </xf>
    <xf numFmtId="0" fontId="24" fillId="6" borderId="0" xfId="0" applyFont="1" applyFill="1" applyAlignment="1">
      <alignment vertical="center"/>
    </xf>
    <xf numFmtId="0" fontId="25" fillId="0" borderId="0" xfId="0" applyFont="1"/>
    <xf numFmtId="10" fontId="10" fillId="0" borderId="0" xfId="2" applyNumberFormat="1"/>
    <xf numFmtId="176" fontId="0" fillId="0" borderId="5" xfId="0" applyNumberFormat="1" applyBorder="1"/>
    <xf numFmtId="176" fontId="0" fillId="0" borderId="0" xfId="0" applyNumberFormat="1"/>
    <xf numFmtId="0" fontId="0" fillId="0" borderId="6" xfId="0" applyBorder="1"/>
    <xf numFmtId="10" fontId="10" fillId="0" borderId="6" xfId="2" applyNumberFormat="1" applyBorder="1"/>
    <xf numFmtId="10" fontId="0" fillId="0" borderId="6" xfId="0" applyNumberFormat="1" applyBorder="1"/>
    <xf numFmtId="0" fontId="0" fillId="0" borderId="5" xfId="0" applyBorder="1"/>
    <xf numFmtId="10" fontId="10" fillId="0" borderId="5" xfId="2" applyNumberFormat="1" applyBorder="1"/>
    <xf numFmtId="10" fontId="0" fillId="0" borderId="5" xfId="0" applyNumberFormat="1" applyBorder="1"/>
    <xf numFmtId="176" fontId="0" fillId="0" borderId="6" xfId="0" applyNumberFormat="1" applyBorder="1"/>
    <xf numFmtId="1" fontId="0" fillId="0" borderId="6" xfId="0" applyNumberFormat="1" applyBorder="1"/>
    <xf numFmtId="1" fontId="0" fillId="0" borderId="0" xfId="0" applyNumberFormat="1"/>
    <xf numFmtId="1" fontId="0" fillId="0" borderId="5" xfId="0" applyNumberFormat="1" applyBorder="1"/>
    <xf numFmtId="0" fontId="12" fillId="0" borderId="5" xfId="0" applyFont="1" applyBorder="1"/>
    <xf numFmtId="170" fontId="12" fillId="0" borderId="5" xfId="0" applyNumberFormat="1" applyFont="1" applyBorder="1"/>
    <xf numFmtId="171" fontId="12" fillId="0" borderId="5" xfId="0" applyNumberFormat="1" applyFont="1" applyBorder="1"/>
    <xf numFmtId="0" fontId="0" fillId="0" borderId="7" xfId="0" applyBorder="1"/>
    <xf numFmtId="10" fontId="10" fillId="0" borderId="7" xfId="2" applyNumberFormat="1" applyBorder="1"/>
    <xf numFmtId="0" fontId="0" fillId="0" borderId="9" xfId="0" applyBorder="1"/>
    <xf numFmtId="10" fontId="10" fillId="0" borderId="9" xfId="2" applyNumberFormat="1" applyBorder="1"/>
    <xf numFmtId="0" fontId="12" fillId="0" borderId="8" xfId="0" applyFont="1" applyBorder="1"/>
    <xf numFmtId="10" fontId="12" fillId="0" borderId="8" xfId="2" applyNumberFormat="1" applyFont="1" applyBorder="1"/>
    <xf numFmtId="10" fontId="12" fillId="0" borderId="0" xfId="2" applyNumberFormat="1" applyFont="1"/>
    <xf numFmtId="0" fontId="12" fillId="0" borderId="6" xfId="0" applyFont="1" applyBorder="1"/>
    <xf numFmtId="10" fontId="12" fillId="0" borderId="6" xfId="2" applyNumberFormat="1" applyFont="1" applyBorder="1"/>
    <xf numFmtId="0" fontId="0" fillId="6" borderId="0" xfId="0" applyFill="1"/>
    <xf numFmtId="0" fontId="0" fillId="0" borderId="0" xfId="0" applyAlignment="1">
      <alignment horizontal="left"/>
    </xf>
    <xf numFmtId="0" fontId="12" fillId="0" borderId="0" xfId="0" applyFont="1" applyAlignment="1">
      <alignment horizontal="left"/>
    </xf>
    <xf numFmtId="0" fontId="12" fillId="0" borderId="0" xfId="0" applyFont="1" applyAlignment="1">
      <alignment horizontal="center"/>
    </xf>
    <xf numFmtId="10" fontId="27" fillId="0" borderId="0" xfId="0" applyNumberFormat="1" applyFont="1"/>
    <xf numFmtId="10" fontId="0" fillId="7" borderId="0" xfId="0" applyNumberFormat="1" applyFill="1"/>
    <xf numFmtId="174" fontId="0" fillId="0" borderId="0" xfId="0" applyNumberFormat="1"/>
    <xf numFmtId="0" fontId="12" fillId="0" borderId="10" xfId="0" applyFont="1" applyBorder="1"/>
    <xf numFmtId="174" fontId="0" fillId="0" borderId="0" xfId="0" applyNumberFormat="1" applyAlignment="1">
      <alignment vertical="center"/>
    </xf>
    <xf numFmtId="0" fontId="12" fillId="0" borderId="10" xfId="0" applyFont="1" applyBorder="1" applyAlignment="1">
      <alignment horizontal="center"/>
    </xf>
    <xf numFmtId="0" fontId="0" fillId="0" borderId="11" xfId="0" applyBorder="1"/>
    <xf numFmtId="0" fontId="25" fillId="0" borderId="12" xfId="0" applyFont="1" applyBorder="1" applyAlignment="1">
      <alignment horizontal="center"/>
    </xf>
    <xf numFmtId="0" fontId="25" fillId="0" borderId="12" xfId="0" applyFont="1" applyBorder="1" applyAlignment="1">
      <alignment horizontal="centerContinuous"/>
    </xf>
    <xf numFmtId="2" fontId="0" fillId="0" borderId="0" xfId="0" applyNumberFormat="1"/>
    <xf numFmtId="2" fontId="0" fillId="7" borderId="0" xfId="0" applyNumberFormat="1" applyFill="1"/>
    <xf numFmtId="0" fontId="28" fillId="6" borderId="0" xfId="0" applyFont="1" applyFill="1"/>
    <xf numFmtId="2" fontId="12" fillId="7" borderId="0" xfId="0" applyNumberFormat="1" applyFont="1" applyFill="1"/>
    <xf numFmtId="10" fontId="0" fillId="7" borderId="6" xfId="0" applyNumberFormat="1" applyFill="1" applyBorder="1"/>
    <xf numFmtId="10" fontId="12" fillId="7" borderId="6" xfId="0" applyNumberFormat="1" applyFont="1" applyFill="1" applyBorder="1"/>
    <xf numFmtId="0" fontId="26" fillId="6" borderId="0" xfId="0" applyFont="1" applyFill="1"/>
    <xf numFmtId="0" fontId="29" fillId="6" borderId="0" xfId="0" applyFont="1" applyFill="1"/>
    <xf numFmtId="175" fontId="12" fillId="7" borderId="6" xfId="0" applyNumberFormat="1" applyFont="1" applyFill="1" applyBorder="1"/>
    <xf numFmtId="177" fontId="27" fillId="0" borderId="0" xfId="0" applyNumberFormat="1" applyFont="1"/>
    <xf numFmtId="0" fontId="12" fillId="10" borderId="0" xfId="0" applyFont="1" applyFill="1"/>
    <xf numFmtId="0" fontId="30" fillId="10" borderId="0" xfId="0" applyFont="1" applyFill="1"/>
    <xf numFmtId="2" fontId="0" fillId="7" borderId="6" xfId="0" applyNumberFormat="1" applyFill="1" applyBorder="1"/>
    <xf numFmtId="175" fontId="12" fillId="0" borderId="0" xfId="0" applyNumberFormat="1" applyFont="1"/>
    <xf numFmtId="0" fontId="6" fillId="6" borderId="0" xfId="0" applyFont="1" applyFill="1"/>
    <xf numFmtId="10" fontId="12" fillId="0" borderId="0" xfId="0" applyNumberFormat="1" applyFont="1"/>
    <xf numFmtId="10" fontId="12" fillId="0" borderId="0" xfId="0" applyNumberFormat="1" applyFont="1" applyAlignment="1">
      <alignment horizontal="left"/>
    </xf>
    <xf numFmtId="175" fontId="6" fillId="0" borderId="0" xfId="0" applyNumberFormat="1" applyFont="1" applyAlignment="1">
      <alignment horizontal="left"/>
    </xf>
    <xf numFmtId="166" fontId="0" fillId="11" borderId="0" xfId="0" applyNumberFormat="1" applyFill="1"/>
    <xf numFmtId="0" fontId="31" fillId="0" borderId="5" xfId="0" applyFont="1" applyBorder="1"/>
    <xf numFmtId="0" fontId="32" fillId="7" borderId="7" xfId="0" applyFont="1" applyFill="1" applyBorder="1" applyAlignment="1">
      <alignment horizontal="left"/>
    </xf>
    <xf numFmtId="3" fontId="32" fillId="7" borderId="7" xfId="0" applyNumberFormat="1" applyFont="1" applyFill="1" applyBorder="1" applyAlignment="1">
      <alignment horizontal="right" wrapText="1"/>
    </xf>
    <xf numFmtId="2" fontId="32" fillId="7" borderId="7" xfId="0" applyNumberFormat="1" applyFont="1" applyFill="1" applyBorder="1" applyAlignment="1">
      <alignment horizontal="right" wrapText="1"/>
    </xf>
    <xf numFmtId="3" fontId="0" fillId="7" borderId="7" xfId="0" applyNumberFormat="1" applyFill="1" applyBorder="1" applyAlignment="1">
      <alignment horizontal="right"/>
    </xf>
    <xf numFmtId="3" fontId="32" fillId="7" borderId="7" xfId="0" applyNumberFormat="1" applyFont="1" applyFill="1" applyBorder="1" applyAlignment="1">
      <alignment horizontal="right"/>
    </xf>
    <xf numFmtId="178" fontId="32" fillId="7" borderId="7" xfId="0" applyNumberFormat="1" applyFont="1" applyFill="1" applyBorder="1" applyAlignment="1">
      <alignment horizontal="right"/>
    </xf>
    <xf numFmtId="0" fontId="0" fillId="0" borderId="7" xfId="0" applyBorder="1" applyAlignment="1">
      <alignment horizontal="left"/>
    </xf>
    <xf numFmtId="3" fontId="0" fillId="0" borderId="7" xfId="0" applyNumberFormat="1" applyBorder="1" applyAlignment="1">
      <alignment horizontal="right"/>
    </xf>
    <xf numFmtId="0" fontId="0" fillId="0" borderId="7" xfId="0" applyBorder="1" applyAlignment="1">
      <alignment horizontal="right"/>
    </xf>
    <xf numFmtId="3" fontId="33" fillId="7" borderId="7" xfId="0" applyNumberFormat="1" applyFont="1" applyFill="1" applyBorder="1" applyAlignment="1">
      <alignment horizontal="right" wrapText="1"/>
    </xf>
    <xf numFmtId="3" fontId="33" fillId="0" borderId="7" xfId="0" applyNumberFormat="1" applyFont="1" applyBorder="1" applyAlignment="1">
      <alignment horizontal="right"/>
    </xf>
    <xf numFmtId="2" fontId="33" fillId="0" borderId="7" xfId="0" applyNumberFormat="1" applyFont="1" applyBorder="1" applyAlignment="1">
      <alignment horizontal="right"/>
    </xf>
    <xf numFmtId="3" fontId="33" fillId="7" borderId="7" xfId="0" applyNumberFormat="1" applyFont="1" applyFill="1" applyBorder="1" applyAlignment="1">
      <alignment horizontal="right"/>
    </xf>
    <xf numFmtId="3" fontId="27" fillId="0" borderId="7" xfId="0" applyNumberFormat="1" applyFont="1" applyBorder="1" applyAlignment="1">
      <alignment horizontal="right"/>
    </xf>
    <xf numFmtId="178" fontId="32" fillId="0" borderId="7" xfId="0" applyNumberFormat="1" applyFont="1" applyBorder="1" applyAlignment="1">
      <alignment horizontal="right"/>
    </xf>
    <xf numFmtId="0" fontId="0" fillId="7" borderId="7" xfId="0" applyFill="1" applyBorder="1"/>
    <xf numFmtId="178" fontId="0" fillId="7" borderId="7" xfId="0" applyNumberFormat="1" applyFill="1" applyBorder="1"/>
    <xf numFmtId="0" fontId="12" fillId="7" borderId="7" xfId="0" applyFont="1" applyFill="1" applyBorder="1"/>
    <xf numFmtId="178" fontId="12" fillId="7" borderId="7" xfId="0" applyNumberFormat="1" applyFont="1" applyFill="1" applyBorder="1"/>
    <xf numFmtId="0" fontId="11" fillId="6" borderId="5" xfId="0" applyFont="1" applyFill="1" applyBorder="1"/>
    <xf numFmtId="0" fontId="11" fillId="6" borderId="0" xfId="0" applyFont="1" applyFill="1" applyAlignment="1">
      <alignment horizontal="right"/>
    </xf>
    <xf numFmtId="0" fontId="12" fillId="7" borderId="1" xfId="0" applyFont="1" applyFill="1" applyBorder="1"/>
    <xf numFmtId="166" fontId="12" fillId="7" borderId="1" xfId="0" applyNumberFormat="1" applyFont="1" applyFill="1" applyBorder="1"/>
    <xf numFmtId="179" fontId="0" fillId="0" borderId="7" xfId="0" applyNumberFormat="1" applyBorder="1"/>
    <xf numFmtId="0" fontId="11" fillId="0" borderId="0" xfId="0" applyFont="1"/>
    <xf numFmtId="174" fontId="0" fillId="0" borderId="0" xfId="0" applyNumberFormat="1" applyAlignment="1">
      <alignment horizontal="center"/>
    </xf>
    <xf numFmtId="174" fontId="27" fillId="0" borderId="0" xfId="0" applyNumberFormat="1" applyFont="1" applyAlignment="1">
      <alignment horizontal="center"/>
    </xf>
    <xf numFmtId="0" fontId="12" fillId="0" borderId="14" xfId="0" applyFont="1" applyBorder="1"/>
    <xf numFmtId="0" fontId="12" fillId="0" borderId="15" xfId="0" applyFont="1" applyBorder="1"/>
    <xf numFmtId="0" fontId="12" fillId="0" borderId="16" xfId="0" applyFont="1" applyBorder="1"/>
    <xf numFmtId="0" fontId="34" fillId="0" borderId="0" xfId="0" applyFont="1" applyAlignment="1">
      <alignment horizontal="left"/>
    </xf>
    <xf numFmtId="0" fontId="0" fillId="0" borderId="17" xfId="0" applyBorder="1"/>
    <xf numFmtId="0" fontId="0" fillId="0" borderId="0" xfId="0" applyAlignment="1">
      <alignment wrapText="1"/>
    </xf>
    <xf numFmtId="17" fontId="12" fillId="0" borderId="0" xfId="0" applyNumberFormat="1" applyFont="1"/>
    <xf numFmtId="10" fontId="10" fillId="8" borderId="6" xfId="2" applyNumberFormat="1" applyFill="1" applyBorder="1"/>
    <xf numFmtId="10" fontId="10" fillId="8" borderId="0" xfId="2" applyNumberFormat="1" applyFill="1"/>
    <xf numFmtId="10" fontId="10" fillId="8" borderId="5" xfId="2" applyNumberFormat="1" applyFill="1" applyBorder="1"/>
    <xf numFmtId="10" fontId="0" fillId="8" borderId="6" xfId="0" applyNumberFormat="1" applyFill="1" applyBorder="1"/>
    <xf numFmtId="10" fontId="0" fillId="8" borderId="0" xfId="0" applyNumberFormat="1" applyFill="1"/>
    <xf numFmtId="10" fontId="0" fillId="8" borderId="5" xfId="0" applyNumberFormat="1" applyFill="1" applyBorder="1"/>
    <xf numFmtId="176" fontId="0" fillId="8" borderId="5" xfId="0" applyNumberFormat="1" applyFill="1" applyBorder="1"/>
    <xf numFmtId="176" fontId="0" fillId="8" borderId="6" xfId="0" applyNumberFormat="1" applyFill="1" applyBorder="1"/>
    <xf numFmtId="176" fontId="0" fillId="8" borderId="0" xfId="0" applyNumberFormat="1" applyFill="1"/>
    <xf numFmtId="1" fontId="0" fillId="8" borderId="6" xfId="0" applyNumberFormat="1" applyFill="1" applyBorder="1"/>
    <xf numFmtId="1" fontId="0" fillId="8" borderId="0" xfId="0" applyNumberFormat="1" applyFill="1"/>
    <xf numFmtId="1" fontId="0" fillId="8" borderId="5" xfId="0" applyNumberFormat="1" applyFill="1" applyBorder="1"/>
    <xf numFmtId="0" fontId="12" fillId="13" borderId="0" xfId="0" applyFont="1" applyFill="1"/>
    <xf numFmtId="10" fontId="12" fillId="13" borderId="0" xfId="2" applyNumberFormat="1" applyFont="1" applyFill="1"/>
    <xf numFmtId="178" fontId="12" fillId="13" borderId="0" xfId="2" applyNumberFormat="1" applyFont="1" applyFill="1"/>
    <xf numFmtId="0" fontId="36" fillId="0" borderId="0" xfId="0" applyFont="1" applyAlignment="1">
      <alignment horizontal="left"/>
    </xf>
    <xf numFmtId="0" fontId="37" fillId="0" borderId="0" xfId="0" applyFont="1"/>
    <xf numFmtId="0" fontId="36" fillId="0" borderId="0" xfId="0" applyFont="1"/>
    <xf numFmtId="0" fontId="0" fillId="12" borderId="0" xfId="0" applyFill="1"/>
    <xf numFmtId="0" fontId="0" fillId="0" borderId="0" xfId="0" applyAlignment="1">
      <alignment horizontal="center" vertical="center"/>
    </xf>
    <xf numFmtId="0" fontId="0" fillId="0" borderId="18" xfId="0" applyBorder="1"/>
    <xf numFmtId="0" fontId="35" fillId="6" borderId="0" xfId="0" applyFont="1" applyFill="1"/>
    <xf numFmtId="17" fontId="35" fillId="6" borderId="0" xfId="0" applyNumberFormat="1" applyFont="1" applyFill="1"/>
    <xf numFmtId="0" fontId="41" fillId="0" borderId="0" xfId="0" applyFont="1"/>
    <xf numFmtId="43" fontId="0" fillId="0" borderId="0" xfId="0" applyNumberFormat="1"/>
    <xf numFmtId="0" fontId="40" fillId="0" borderId="0" xfId="0" applyFont="1"/>
    <xf numFmtId="0" fontId="0" fillId="0" borderId="19" xfId="0" applyBorder="1"/>
    <xf numFmtId="2" fontId="0" fillId="0" borderId="19" xfId="0" applyNumberFormat="1" applyBorder="1"/>
    <xf numFmtId="0" fontId="6" fillId="6" borderId="19" xfId="0" applyFont="1" applyFill="1" applyBorder="1"/>
    <xf numFmtId="0" fontId="11" fillId="6" borderId="19" xfId="0" applyFont="1" applyFill="1" applyBorder="1"/>
    <xf numFmtId="10" fontId="10" fillId="0" borderId="19" xfId="2" applyNumberFormat="1" applyBorder="1"/>
    <xf numFmtId="0" fontId="35" fillId="6" borderId="0" xfId="0" applyFont="1" applyFill="1" applyAlignment="1">
      <alignment horizontal="center" wrapText="1"/>
    </xf>
    <xf numFmtId="0" fontId="0" fillId="9" borderId="0" xfId="0" applyFill="1"/>
    <xf numFmtId="0" fontId="6" fillId="6" borderId="0" xfId="0" applyFont="1" applyFill="1" applyAlignment="1">
      <alignment horizontal="center"/>
    </xf>
    <xf numFmtId="0" fontId="35" fillId="6" borderId="0" xfId="0" applyFont="1" applyFill="1" applyAlignment="1">
      <alignment horizontal="left" vertical="center"/>
    </xf>
    <xf numFmtId="0" fontId="2" fillId="0" borderId="19" xfId="0" applyFont="1" applyBorder="1"/>
    <xf numFmtId="10" fontId="2" fillId="0" borderId="19" xfId="0" applyNumberFormat="1" applyFont="1" applyBorder="1"/>
    <xf numFmtId="0" fontId="0" fillId="0" borderId="20" xfId="0" applyBorder="1"/>
    <xf numFmtId="10" fontId="10" fillId="0" borderId="20" xfId="2" applyNumberFormat="1" applyBorder="1"/>
    <xf numFmtId="10" fontId="0" fillId="0" borderId="20" xfId="0" applyNumberFormat="1" applyBorder="1"/>
    <xf numFmtId="174" fontId="0" fillId="0" borderId="20" xfId="0" applyNumberFormat="1" applyBorder="1"/>
    <xf numFmtId="178" fontId="0" fillId="0" borderId="20" xfId="0" applyNumberFormat="1" applyBorder="1"/>
    <xf numFmtId="0" fontId="0" fillId="0" borderId="20" xfId="0" applyBorder="1" applyAlignment="1">
      <alignment horizontal="left"/>
    </xf>
    <xf numFmtId="166" fontId="0" fillId="0" borderId="20" xfId="0" applyNumberFormat="1" applyBorder="1"/>
    <xf numFmtId="0" fontId="0" fillId="0" borderId="0" xfId="0" applyAlignment="1">
      <alignment horizontal="center"/>
    </xf>
    <xf numFmtId="0" fontId="0" fillId="0" borderId="0" xfId="0" applyAlignment="1">
      <alignment horizontal="center" wrapText="1"/>
    </xf>
    <xf numFmtId="0" fontId="0" fillId="0" borderId="20" xfId="0" applyBorder="1" applyAlignment="1">
      <alignment horizontal="center"/>
    </xf>
    <xf numFmtId="180" fontId="0" fillId="0" borderId="20" xfId="0" applyNumberFormat="1" applyBorder="1" applyAlignment="1">
      <alignment horizontal="center"/>
    </xf>
    <xf numFmtId="180" fontId="0" fillId="0" borderId="20" xfId="0" applyNumberFormat="1" applyBorder="1"/>
    <xf numFmtId="0" fontId="0" fillId="0" borderId="21" xfId="0" applyBorder="1" applyAlignment="1">
      <alignment horizontal="left" indent="1"/>
    </xf>
    <xf numFmtId="0" fontId="0" fillId="0" borderId="21" xfId="0" applyBorder="1"/>
    <xf numFmtId="180" fontId="0" fillId="0" borderId="21" xfId="0" applyNumberFormat="1" applyBorder="1"/>
    <xf numFmtId="0" fontId="0" fillId="0" borderId="20" xfId="0" applyBorder="1" applyAlignment="1">
      <alignment horizontal="left" indent="1"/>
    </xf>
    <xf numFmtId="0" fontId="12" fillId="0" borderId="22" xfId="0" applyFont="1" applyBorder="1"/>
    <xf numFmtId="0" fontId="0" fillId="0" borderId="22" xfId="0" applyBorder="1"/>
    <xf numFmtId="180" fontId="12" fillId="0" borderId="22" xfId="0" applyNumberFormat="1" applyFont="1" applyBorder="1"/>
    <xf numFmtId="0" fontId="0" fillId="0" borderId="0" xfId="0" applyAlignment="1">
      <alignment horizontal="center"/>
    </xf>
    <xf numFmtId="2" fontId="0" fillId="0" borderId="20" xfId="0" quotePrefix="1" applyNumberFormat="1" applyBorder="1" applyAlignment="1">
      <alignment horizontal="center"/>
    </xf>
    <xf numFmtId="2" fontId="0" fillId="0" borderId="20" xfId="0" applyNumberFormat="1" applyBorder="1" applyAlignment="1">
      <alignment horizontal="center"/>
    </xf>
    <xf numFmtId="0" fontId="0" fillId="0" borderId="20" xfId="0" quotePrefix="1" applyBorder="1" applyAlignment="1">
      <alignment horizontal="center"/>
    </xf>
    <xf numFmtId="0" fontId="0" fillId="0" borderId="20" xfId="0" applyBorder="1" applyAlignment="1">
      <alignment horizontal="center"/>
    </xf>
    <xf numFmtId="0" fontId="35" fillId="6" borderId="0" xfId="0" applyFont="1" applyFill="1" applyAlignment="1">
      <alignment horizontal="center" vertical="center"/>
    </xf>
    <xf numFmtId="0" fontId="35" fillId="6" borderId="0" xfId="0" applyFont="1" applyFill="1" applyAlignment="1">
      <alignment horizontal="center"/>
    </xf>
    <xf numFmtId="0" fontId="39" fillId="6" borderId="0" xfId="0" applyFont="1" applyFill="1" applyAlignment="1">
      <alignment horizontal="center"/>
    </xf>
    <xf numFmtId="0" fontId="0" fillId="0" borderId="18" xfId="0" applyBorder="1" applyAlignment="1">
      <alignment horizontal="left" vertical="center" wrapText="1"/>
    </xf>
    <xf numFmtId="0" fontId="11" fillId="6" borderId="0" xfId="0" applyFont="1" applyFill="1" applyAlignment="1">
      <alignment horizontal="center"/>
    </xf>
    <xf numFmtId="0" fontId="0" fillId="14" borderId="0" xfId="0" applyFill="1" applyAlignment="1">
      <alignment horizontal="left" wrapText="1"/>
    </xf>
    <xf numFmtId="0" fontId="35" fillId="12" borderId="0" xfId="0" applyFont="1" applyFill="1" applyAlignment="1">
      <alignment horizontal="center"/>
    </xf>
    <xf numFmtId="0" fontId="38" fillId="0" borderId="0" xfId="0" applyFont="1" applyAlignment="1">
      <alignment horizontal="left" wrapText="1"/>
    </xf>
    <xf numFmtId="0" fontId="0" fillId="0" borderId="0" xfId="0" applyAlignment="1">
      <alignment horizontal="left" wrapText="1"/>
    </xf>
    <xf numFmtId="0" fontId="11" fillId="6" borderId="13" xfId="0" applyFont="1" applyFill="1" applyBorder="1" applyAlignment="1">
      <alignment horizontal="center"/>
    </xf>
    <xf numFmtId="168" fontId="7" fillId="0" borderId="0" xfId="3" applyNumberFormat="1" applyAlignment="1" applyProtection="1">
      <alignment horizontal="center"/>
    </xf>
    <xf numFmtId="168" fontId="4" fillId="2" borderId="0" xfId="4" applyNumberFormat="1" applyFont="1" applyAlignment="1">
      <alignment horizontal="center"/>
    </xf>
  </cellXfs>
  <cellStyles count="7">
    <cellStyle name="Comma" xfId="1" builtinId="3"/>
    <cellStyle name="Excel Built-in 60% - Accent1" xfId="5" xr:uid="{00000000-0005-0000-0000-000008000000}"/>
    <cellStyle name="Excel Built-in 60% - Accent3" xfId="6" xr:uid="{00000000-0005-0000-0000-000009000000}"/>
    <cellStyle name="Excel Built-in Accent6" xfId="4" xr:uid="{00000000-0005-0000-0000-000007000000}"/>
    <cellStyle name="Hyperlink" xfId="3" builtinId="8"/>
    <cellStyle name="Normal" xfId="0" builtinId="0"/>
    <cellStyle name="Percent" xfId="2" builtinId="5"/>
  </cellStyles>
  <dxfs count="1">
    <dxf>
      <font>
        <b/>
        <color rgb="FFFFFFFF"/>
      </font>
      <fill>
        <patternFill>
          <bgColor theme="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7D3C4A"/>
      <rgbColor rgb="FFFFFFCC"/>
      <rgbColor rgb="FFCCFFFF"/>
      <rgbColor rgb="FF660066"/>
      <rgbColor rgb="FFF3A276"/>
      <rgbColor rgb="FF0275D8"/>
      <rgbColor rgb="FFD4DFEF"/>
      <rgbColor rgb="FF000080"/>
      <rgbColor rgb="FFFF00FF"/>
      <rgbColor rgb="FFFFFF00"/>
      <rgbColor rgb="FF00FFFF"/>
      <rgbColor rgb="FF800080"/>
      <rgbColor rgb="FF800000"/>
      <rgbColor rgb="FF008080"/>
      <rgbColor rgb="FF0000FF"/>
      <rgbColor rgb="FF00CCFF"/>
      <rgbColor rgb="FFCCFFFF"/>
      <rgbColor rgb="FFCCFFCC"/>
      <rgbColor rgb="FFFFFF99"/>
      <rgbColor rgb="FF7ACBE0"/>
      <rgbColor rgb="FFFF99CC"/>
      <rgbColor rgb="FFCC99FF"/>
      <rgbColor rgb="FFFFCC99"/>
      <rgbColor rgb="FF3366FF"/>
      <rgbColor rgb="FF33CCCC"/>
      <rgbColor rgb="FF99CC00"/>
      <rgbColor rgb="FFFFCC00"/>
      <rgbColor rgb="FFFF8119"/>
      <rgbColor rgb="FFFF6600"/>
      <rgbColor rgb="FF666699"/>
      <rgbColor rgb="FF969696"/>
      <rgbColor rgb="FF003366"/>
      <rgbColor rgb="FF339966"/>
      <rgbColor rgb="FF003300"/>
      <rgbColor rgb="FF333300"/>
      <rgbColor rgb="FFDA1F28"/>
      <rgbColor rgb="FF993366"/>
      <rgbColor rgb="FF333399"/>
      <rgbColor rgb="FF1D324F"/>
      <rgbColor rgb="00003366"/>
      <rgbColor rgb="00339966"/>
      <rgbColor rgb="00003300"/>
      <rgbColor rgb="00333300"/>
      <rgbColor rgb="00993300"/>
      <rgbColor rgb="00993366"/>
      <rgbColor rgb="00333399"/>
      <rgbColor rgb="00333333"/>
    </indexedColors>
    <mruColors>
      <color rgb="FF3333FF"/>
      <color rgb="FF007CC3"/>
      <color rgb="FF2596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'Input Sheet'!$N$3</c:f>
              <c:strCache>
                <c:ptCount val="1"/>
                <c:pt idx="0">
                  <c:v>Adj Close</c:v>
                </c:pt>
              </c:strCache>
            </c:strRef>
          </c:tx>
          <c:spPr>
            <a:ln w="28575" cap="rnd">
              <a:solidFill>
                <a:srgbClr val="007CC3"/>
              </a:solidFill>
              <a:round/>
            </a:ln>
            <a:effectLst/>
          </c:spPr>
          <c:marker>
            <c:symbol val="none"/>
          </c:marker>
          <c:cat>
            <c:strRef>
              <c:f>'Input Sheet'!$M$4:$M$1257</c:f>
              <c:strCache>
                <c:ptCount val="1254"/>
                <c:pt idx="0">
                  <c:v>Oct 22, 2026</c:v>
                </c:pt>
                <c:pt idx="1">
                  <c:v>Oct 21, 2026</c:v>
                </c:pt>
                <c:pt idx="2">
                  <c:v>Oct 20, 2026</c:v>
                </c:pt>
                <c:pt idx="3">
                  <c:v>Oct 19, 2026</c:v>
                </c:pt>
                <c:pt idx="4">
                  <c:v>Oct 16, 2026</c:v>
                </c:pt>
                <c:pt idx="5">
                  <c:v>Oct 15, 2026</c:v>
                </c:pt>
                <c:pt idx="6">
                  <c:v>Oct 14, 2026</c:v>
                </c:pt>
                <c:pt idx="7">
                  <c:v>Oct 13, 2026</c:v>
                </c:pt>
                <c:pt idx="8">
                  <c:v>Oct 12, 2026</c:v>
                </c:pt>
                <c:pt idx="9">
                  <c:v>Oct 09, 2026</c:v>
                </c:pt>
                <c:pt idx="10">
                  <c:v>Oct 08, 2026</c:v>
                </c:pt>
                <c:pt idx="11">
                  <c:v>Oct 07, 2026</c:v>
                </c:pt>
                <c:pt idx="12">
                  <c:v>Oct 06, 2026</c:v>
                </c:pt>
                <c:pt idx="13">
                  <c:v>Oct 05, 2026</c:v>
                </c:pt>
                <c:pt idx="14">
                  <c:v>Oct 02, 2026</c:v>
                </c:pt>
                <c:pt idx="15">
                  <c:v>Oct 01, 2026</c:v>
                </c:pt>
                <c:pt idx="16">
                  <c:v>Sep 30, 2026</c:v>
                </c:pt>
                <c:pt idx="17">
                  <c:v>Sep 29, 2026</c:v>
                </c:pt>
                <c:pt idx="18">
                  <c:v>Sep 28, 2026</c:v>
                </c:pt>
                <c:pt idx="19">
                  <c:v>Sep 25, 2026</c:v>
                </c:pt>
                <c:pt idx="20">
                  <c:v>Sep 24, 2026</c:v>
                </c:pt>
                <c:pt idx="21">
                  <c:v>Sep 23, 2026</c:v>
                </c:pt>
                <c:pt idx="22">
                  <c:v>Sep 22, 2026</c:v>
                </c:pt>
                <c:pt idx="23">
                  <c:v>Sep 21, 2026</c:v>
                </c:pt>
                <c:pt idx="24">
                  <c:v>Sep 18, 2026</c:v>
                </c:pt>
                <c:pt idx="25">
                  <c:v>Sep 17, 2026</c:v>
                </c:pt>
                <c:pt idx="26">
                  <c:v>Sep 16, 2026</c:v>
                </c:pt>
                <c:pt idx="27">
                  <c:v>Sep 15, 2026</c:v>
                </c:pt>
                <c:pt idx="28">
                  <c:v>Sep 14, 2026</c:v>
                </c:pt>
                <c:pt idx="29">
                  <c:v>Sep 11, 2026</c:v>
                </c:pt>
                <c:pt idx="30">
                  <c:v>Sep 10, 2026</c:v>
                </c:pt>
                <c:pt idx="31">
                  <c:v>Sep 09, 2026</c:v>
                </c:pt>
                <c:pt idx="32">
                  <c:v>Sep 08, 2026</c:v>
                </c:pt>
                <c:pt idx="33">
                  <c:v>Sep 04, 2026</c:v>
                </c:pt>
                <c:pt idx="34">
                  <c:v>Sep 03, 2026</c:v>
                </c:pt>
                <c:pt idx="35">
                  <c:v>Sep 02, 2026</c:v>
                </c:pt>
                <c:pt idx="36">
                  <c:v>Sep 01, 2026</c:v>
                </c:pt>
                <c:pt idx="37">
                  <c:v>Aug 31, 2026</c:v>
                </c:pt>
                <c:pt idx="38">
                  <c:v>Aug 28, 2026</c:v>
                </c:pt>
                <c:pt idx="39">
                  <c:v>Aug 27, 2026</c:v>
                </c:pt>
                <c:pt idx="40">
                  <c:v>Aug 26, 2026</c:v>
                </c:pt>
                <c:pt idx="41">
                  <c:v>Aug 25, 2026</c:v>
                </c:pt>
                <c:pt idx="42">
                  <c:v>Aug 24, 2026</c:v>
                </c:pt>
                <c:pt idx="43">
                  <c:v>Aug 21, 2026</c:v>
                </c:pt>
                <c:pt idx="44">
                  <c:v>Aug 20, 2026</c:v>
                </c:pt>
                <c:pt idx="45">
                  <c:v>Aug 19, 2026</c:v>
                </c:pt>
                <c:pt idx="46">
                  <c:v>Aug 18, 2026</c:v>
                </c:pt>
                <c:pt idx="47">
                  <c:v>Aug 17, 2026</c:v>
                </c:pt>
                <c:pt idx="48">
                  <c:v>Aug 14, 2026</c:v>
                </c:pt>
                <c:pt idx="49">
                  <c:v>Aug 13, 2026</c:v>
                </c:pt>
                <c:pt idx="50">
                  <c:v>Aug 12, 2026</c:v>
                </c:pt>
                <c:pt idx="51">
                  <c:v>Aug 11, 2026</c:v>
                </c:pt>
                <c:pt idx="52">
                  <c:v>Aug 10, 2026</c:v>
                </c:pt>
                <c:pt idx="53">
                  <c:v>Aug 07, 2026</c:v>
                </c:pt>
                <c:pt idx="54">
                  <c:v>Aug 06, 2026</c:v>
                </c:pt>
                <c:pt idx="55">
                  <c:v>Aug 05, 2026</c:v>
                </c:pt>
                <c:pt idx="56">
                  <c:v>Aug 04, 2026</c:v>
                </c:pt>
                <c:pt idx="57">
                  <c:v>Aug 03, 2026</c:v>
                </c:pt>
                <c:pt idx="58">
                  <c:v>Jul 31, 2026</c:v>
                </c:pt>
                <c:pt idx="59">
                  <c:v>Jul 30, 2026</c:v>
                </c:pt>
                <c:pt idx="60">
                  <c:v>Jul 29, 2026</c:v>
                </c:pt>
                <c:pt idx="61">
                  <c:v>Jul 28, 2026</c:v>
                </c:pt>
                <c:pt idx="62">
                  <c:v>Jul 27, 2026</c:v>
                </c:pt>
                <c:pt idx="63">
                  <c:v>Jul 24, 2026</c:v>
                </c:pt>
                <c:pt idx="64">
                  <c:v>Jul 23, 2026</c:v>
                </c:pt>
                <c:pt idx="65">
                  <c:v>Jul 22, 2026</c:v>
                </c:pt>
                <c:pt idx="66">
                  <c:v>Jul 21, 2026</c:v>
                </c:pt>
                <c:pt idx="67">
                  <c:v>Jul 20, 2026</c:v>
                </c:pt>
                <c:pt idx="68">
                  <c:v>Jul 17, 2026</c:v>
                </c:pt>
                <c:pt idx="69">
                  <c:v>Jul 16, 2026</c:v>
                </c:pt>
                <c:pt idx="70">
                  <c:v>Jul 15, 2026</c:v>
                </c:pt>
                <c:pt idx="71">
                  <c:v>Jul 14, 2026</c:v>
                </c:pt>
                <c:pt idx="72">
                  <c:v>Jul 13, 2026</c:v>
                </c:pt>
                <c:pt idx="73">
                  <c:v>Jul 10, 2026</c:v>
                </c:pt>
                <c:pt idx="74">
                  <c:v>Jul 09, 2026</c:v>
                </c:pt>
                <c:pt idx="75">
                  <c:v>Jul 08, 2026</c:v>
                </c:pt>
                <c:pt idx="76">
                  <c:v>Jul 07, 2026</c:v>
                </c:pt>
                <c:pt idx="77">
                  <c:v>Jul 06, 2026</c:v>
                </c:pt>
                <c:pt idx="78">
                  <c:v>Jul 02, 2026</c:v>
                </c:pt>
                <c:pt idx="79">
                  <c:v>Jul 01, 2026</c:v>
                </c:pt>
                <c:pt idx="80">
                  <c:v>Jun 30, 2026</c:v>
                </c:pt>
                <c:pt idx="81">
                  <c:v>Jun 29, 2026</c:v>
                </c:pt>
                <c:pt idx="82">
                  <c:v>Jun 26, 2026</c:v>
                </c:pt>
                <c:pt idx="83">
                  <c:v>Jun 25, 2026</c:v>
                </c:pt>
                <c:pt idx="84">
                  <c:v>Jun 24, 2026</c:v>
                </c:pt>
                <c:pt idx="85">
                  <c:v>Jun 23, 2026</c:v>
                </c:pt>
                <c:pt idx="86">
                  <c:v>Jun 22, 2026</c:v>
                </c:pt>
                <c:pt idx="87">
                  <c:v>Jun 18, 2026</c:v>
                </c:pt>
                <c:pt idx="88">
                  <c:v>Jun 17, 2026</c:v>
                </c:pt>
                <c:pt idx="89">
                  <c:v>Jun 16, 2026</c:v>
                </c:pt>
                <c:pt idx="90">
                  <c:v>Jun 15, 2026</c:v>
                </c:pt>
                <c:pt idx="91">
                  <c:v>Jun 12, 2026</c:v>
                </c:pt>
                <c:pt idx="92">
                  <c:v>Jun 11, 2026</c:v>
                </c:pt>
                <c:pt idx="93">
                  <c:v>Jun 10, 2026</c:v>
                </c:pt>
                <c:pt idx="94">
                  <c:v>Jun 09, 2026</c:v>
                </c:pt>
                <c:pt idx="95">
                  <c:v>Jun 08, 2026</c:v>
                </c:pt>
                <c:pt idx="96">
                  <c:v>Jun 05, 2026</c:v>
                </c:pt>
                <c:pt idx="97">
                  <c:v>Jun 04, 2026</c:v>
                </c:pt>
                <c:pt idx="98">
                  <c:v>Jun 03, 2026</c:v>
                </c:pt>
                <c:pt idx="99">
                  <c:v>Jun 02, 2026</c:v>
                </c:pt>
                <c:pt idx="100">
                  <c:v>Jun 01, 2026</c:v>
                </c:pt>
                <c:pt idx="101">
                  <c:v>May 29, 2026</c:v>
                </c:pt>
                <c:pt idx="102">
                  <c:v>May 28, 2026</c:v>
                </c:pt>
                <c:pt idx="103">
                  <c:v>May 27, 2026</c:v>
                </c:pt>
                <c:pt idx="104">
                  <c:v>May 26, 2026</c:v>
                </c:pt>
                <c:pt idx="105">
                  <c:v>May 22, 2026</c:v>
                </c:pt>
                <c:pt idx="106">
                  <c:v>May 21, 2026</c:v>
                </c:pt>
                <c:pt idx="107">
                  <c:v>May 20, 2026</c:v>
                </c:pt>
                <c:pt idx="108">
                  <c:v>May 19, 2026</c:v>
                </c:pt>
                <c:pt idx="109">
                  <c:v>May 18, 2026</c:v>
                </c:pt>
                <c:pt idx="110">
                  <c:v>May 15, 2026</c:v>
                </c:pt>
                <c:pt idx="111">
                  <c:v>May 14, 2026</c:v>
                </c:pt>
                <c:pt idx="112">
                  <c:v>May 13, 2026</c:v>
                </c:pt>
                <c:pt idx="113">
                  <c:v>May 12, 2026</c:v>
                </c:pt>
                <c:pt idx="114">
                  <c:v>May 11, 2026</c:v>
                </c:pt>
                <c:pt idx="115">
                  <c:v>May 08, 2026</c:v>
                </c:pt>
                <c:pt idx="116">
                  <c:v>May 07, 2026</c:v>
                </c:pt>
                <c:pt idx="117">
                  <c:v>May 06, 2026</c:v>
                </c:pt>
                <c:pt idx="118">
                  <c:v>May 05, 2026</c:v>
                </c:pt>
                <c:pt idx="119">
                  <c:v>May 04, 2026</c:v>
                </c:pt>
                <c:pt idx="120">
                  <c:v>May 01, 2026</c:v>
                </c:pt>
                <c:pt idx="121">
                  <c:v>Apr 30, 2026</c:v>
                </c:pt>
                <c:pt idx="122">
                  <c:v>Apr 29, 2026</c:v>
                </c:pt>
                <c:pt idx="123">
                  <c:v>Apr 28, 2026</c:v>
                </c:pt>
                <c:pt idx="124">
                  <c:v>Apr 27, 2026</c:v>
                </c:pt>
                <c:pt idx="125">
                  <c:v>Apr 24, 2026</c:v>
                </c:pt>
                <c:pt idx="126">
                  <c:v>Apr 23, 2026</c:v>
                </c:pt>
                <c:pt idx="127">
                  <c:v>Apr 22, 2026</c:v>
                </c:pt>
                <c:pt idx="128">
                  <c:v>Apr 21, 2026</c:v>
                </c:pt>
                <c:pt idx="129">
                  <c:v>Apr 20, 2026</c:v>
                </c:pt>
                <c:pt idx="130">
                  <c:v>Apr 17, 2026</c:v>
                </c:pt>
                <c:pt idx="131">
                  <c:v>Apr 16, 2026</c:v>
                </c:pt>
                <c:pt idx="132">
                  <c:v>Apr 15, 2026</c:v>
                </c:pt>
                <c:pt idx="133">
                  <c:v>Apr 14, 2026</c:v>
                </c:pt>
                <c:pt idx="134">
                  <c:v>Apr 13, 2026</c:v>
                </c:pt>
                <c:pt idx="135">
                  <c:v>Apr 10, 2026</c:v>
                </c:pt>
                <c:pt idx="136">
                  <c:v>Apr 09, 2026</c:v>
                </c:pt>
                <c:pt idx="137">
                  <c:v>Apr 08, 2026</c:v>
                </c:pt>
                <c:pt idx="138">
                  <c:v>Apr 07, 2026</c:v>
                </c:pt>
                <c:pt idx="139">
                  <c:v>Apr 06, 2026</c:v>
                </c:pt>
                <c:pt idx="140">
                  <c:v>Apr 02, 2026</c:v>
                </c:pt>
                <c:pt idx="141">
                  <c:v>Apr 01, 2026</c:v>
                </c:pt>
                <c:pt idx="142">
                  <c:v>Mar 31, 2026</c:v>
                </c:pt>
                <c:pt idx="143">
                  <c:v>Mar 30, 2026</c:v>
                </c:pt>
                <c:pt idx="144">
                  <c:v>Mar 27, 2026</c:v>
                </c:pt>
                <c:pt idx="145">
                  <c:v>Mar 26, 2026</c:v>
                </c:pt>
                <c:pt idx="146">
                  <c:v>Mar 25, 2026</c:v>
                </c:pt>
                <c:pt idx="147">
                  <c:v>Mar 24, 2026</c:v>
                </c:pt>
                <c:pt idx="148">
                  <c:v>Mar 23, 2026</c:v>
                </c:pt>
                <c:pt idx="149">
                  <c:v>Mar 20, 2026</c:v>
                </c:pt>
                <c:pt idx="150">
                  <c:v>Mar 19, 2026</c:v>
                </c:pt>
                <c:pt idx="151">
                  <c:v>Mar 18, 2026</c:v>
                </c:pt>
                <c:pt idx="152">
                  <c:v>Mar 17, 2026</c:v>
                </c:pt>
                <c:pt idx="153">
                  <c:v>Mar 16, 2026</c:v>
                </c:pt>
                <c:pt idx="154">
                  <c:v>Mar 13, 2026</c:v>
                </c:pt>
                <c:pt idx="155">
                  <c:v>Mar 12, 2026</c:v>
                </c:pt>
                <c:pt idx="156">
                  <c:v>Mar 11, 2026</c:v>
                </c:pt>
                <c:pt idx="157">
                  <c:v>Mar 10, 2026</c:v>
                </c:pt>
                <c:pt idx="158">
                  <c:v>Mar 09, 2026</c:v>
                </c:pt>
                <c:pt idx="159">
                  <c:v>Mar 06, 2026</c:v>
                </c:pt>
                <c:pt idx="160">
                  <c:v>Mar 05, 2026</c:v>
                </c:pt>
                <c:pt idx="161">
                  <c:v>Mar 04, 2026</c:v>
                </c:pt>
                <c:pt idx="162">
                  <c:v>Mar 03, 2026</c:v>
                </c:pt>
                <c:pt idx="163">
                  <c:v>Mar 02, 2026</c:v>
                </c:pt>
                <c:pt idx="164">
                  <c:v>Feb 27, 2026</c:v>
                </c:pt>
                <c:pt idx="165">
                  <c:v>Feb 26, 2026</c:v>
                </c:pt>
                <c:pt idx="166">
                  <c:v>Feb 25, 2026</c:v>
                </c:pt>
                <c:pt idx="167">
                  <c:v>Feb 24, 2026</c:v>
                </c:pt>
                <c:pt idx="168">
                  <c:v>Feb 23, 2026</c:v>
                </c:pt>
                <c:pt idx="169">
                  <c:v>Feb 20, 2026</c:v>
                </c:pt>
                <c:pt idx="170">
                  <c:v>Feb 19, 2026</c:v>
                </c:pt>
                <c:pt idx="171">
                  <c:v>Feb 18, 2026</c:v>
                </c:pt>
                <c:pt idx="172">
                  <c:v>Feb 17, 2026</c:v>
                </c:pt>
                <c:pt idx="173">
                  <c:v>Feb 13, 2026</c:v>
                </c:pt>
                <c:pt idx="174">
                  <c:v>Feb 12, 2026</c:v>
                </c:pt>
                <c:pt idx="175">
                  <c:v>Feb 11, 2026</c:v>
                </c:pt>
                <c:pt idx="176">
                  <c:v>Feb 10, 2026</c:v>
                </c:pt>
                <c:pt idx="177">
                  <c:v>Feb 09, 2026</c:v>
                </c:pt>
                <c:pt idx="178">
                  <c:v>Feb 06, 2026</c:v>
                </c:pt>
                <c:pt idx="179">
                  <c:v>Feb 05, 2026</c:v>
                </c:pt>
                <c:pt idx="180">
                  <c:v>Feb 04, 2026</c:v>
                </c:pt>
                <c:pt idx="181">
                  <c:v>Feb 03, 2026</c:v>
                </c:pt>
                <c:pt idx="182">
                  <c:v>Feb 02, 2026</c:v>
                </c:pt>
                <c:pt idx="183">
                  <c:v>Jan 30, 2026</c:v>
                </c:pt>
                <c:pt idx="184">
                  <c:v>Jan 29, 2026</c:v>
                </c:pt>
                <c:pt idx="185">
                  <c:v>Jan 28, 2026</c:v>
                </c:pt>
                <c:pt idx="186">
                  <c:v>Jan 27, 2026</c:v>
                </c:pt>
                <c:pt idx="187">
                  <c:v>Jan 26, 2026</c:v>
                </c:pt>
                <c:pt idx="188">
                  <c:v>Jan 23, 2026</c:v>
                </c:pt>
                <c:pt idx="189">
                  <c:v>Jan 22, 2026</c:v>
                </c:pt>
                <c:pt idx="190">
                  <c:v>Jan 21, 2026</c:v>
                </c:pt>
                <c:pt idx="191">
                  <c:v>Jan 20, 2026</c:v>
                </c:pt>
                <c:pt idx="192">
                  <c:v>Jan 16, 2026</c:v>
                </c:pt>
                <c:pt idx="193">
                  <c:v>Jan 15, 2026</c:v>
                </c:pt>
                <c:pt idx="194">
                  <c:v>Jan 14, 2026</c:v>
                </c:pt>
                <c:pt idx="195">
                  <c:v>Jan 13, 2026</c:v>
                </c:pt>
                <c:pt idx="196">
                  <c:v>Jan 12, 2026</c:v>
                </c:pt>
                <c:pt idx="197">
                  <c:v>Jan 09, 2026</c:v>
                </c:pt>
                <c:pt idx="198">
                  <c:v>Jan 08, 2026</c:v>
                </c:pt>
                <c:pt idx="199">
                  <c:v>Jan 07, 2026</c:v>
                </c:pt>
                <c:pt idx="200">
                  <c:v>Jan 06, 2026</c:v>
                </c:pt>
                <c:pt idx="201">
                  <c:v>Jan 05, 2026</c:v>
                </c:pt>
                <c:pt idx="202">
                  <c:v>Jan 02, 2026</c:v>
                </c:pt>
                <c:pt idx="203">
                  <c:v>Dec 31, 2025</c:v>
                </c:pt>
                <c:pt idx="204">
                  <c:v>Dec 30, 2025</c:v>
                </c:pt>
                <c:pt idx="205">
                  <c:v>Dec 29, 2025</c:v>
                </c:pt>
                <c:pt idx="206">
                  <c:v>Dec 26, 2025</c:v>
                </c:pt>
                <c:pt idx="207">
                  <c:v>Dec 24, 2025</c:v>
                </c:pt>
                <c:pt idx="208">
                  <c:v>Dec 23, 2025</c:v>
                </c:pt>
                <c:pt idx="209">
                  <c:v>Dec 22, 2025</c:v>
                </c:pt>
                <c:pt idx="210">
                  <c:v>Dec 19, 2025</c:v>
                </c:pt>
                <c:pt idx="211">
                  <c:v>Dec 18, 2025</c:v>
                </c:pt>
                <c:pt idx="212">
                  <c:v>Dec 17, 2025</c:v>
                </c:pt>
                <c:pt idx="213">
                  <c:v>Dec 16, 2025</c:v>
                </c:pt>
                <c:pt idx="214">
                  <c:v>Dec 15, 2025</c:v>
                </c:pt>
                <c:pt idx="215">
                  <c:v>Dec 12, 2025</c:v>
                </c:pt>
                <c:pt idx="216">
                  <c:v>Dec 11, 2025</c:v>
                </c:pt>
                <c:pt idx="217">
                  <c:v>Dec 10, 2025</c:v>
                </c:pt>
                <c:pt idx="218">
                  <c:v>Dec 09, 2025</c:v>
                </c:pt>
                <c:pt idx="219">
                  <c:v>Dec 08, 2025</c:v>
                </c:pt>
                <c:pt idx="220">
                  <c:v>Dec 05, 2025</c:v>
                </c:pt>
                <c:pt idx="221">
                  <c:v>Dec 04, 2025</c:v>
                </c:pt>
                <c:pt idx="222">
                  <c:v>Dec 03, 2025</c:v>
                </c:pt>
                <c:pt idx="223">
                  <c:v>Dec 02, 2025</c:v>
                </c:pt>
                <c:pt idx="224">
                  <c:v>Dec 01, 2025</c:v>
                </c:pt>
                <c:pt idx="225">
                  <c:v>Nov 28, 2025</c:v>
                </c:pt>
                <c:pt idx="226">
                  <c:v>Nov 26, 2025</c:v>
                </c:pt>
                <c:pt idx="227">
                  <c:v>Nov 25, 2025</c:v>
                </c:pt>
                <c:pt idx="228">
                  <c:v>Nov 24, 2025</c:v>
                </c:pt>
                <c:pt idx="229">
                  <c:v>Nov 21, 2025</c:v>
                </c:pt>
                <c:pt idx="230">
                  <c:v>Nov 20, 2025</c:v>
                </c:pt>
                <c:pt idx="231">
                  <c:v>Nov 19, 2025</c:v>
                </c:pt>
                <c:pt idx="232">
                  <c:v>Nov 18, 2025</c:v>
                </c:pt>
                <c:pt idx="233">
                  <c:v>Nov 17, 2025</c:v>
                </c:pt>
                <c:pt idx="234">
                  <c:v>Nov 14, 2025</c:v>
                </c:pt>
                <c:pt idx="235">
                  <c:v>Nov 13, 2025</c:v>
                </c:pt>
                <c:pt idx="236">
                  <c:v>Nov 12, 2025</c:v>
                </c:pt>
                <c:pt idx="237">
                  <c:v>Nov 11, 2025</c:v>
                </c:pt>
                <c:pt idx="238">
                  <c:v>Nov 10, 2025</c:v>
                </c:pt>
                <c:pt idx="239">
                  <c:v>Nov 07, 2025</c:v>
                </c:pt>
                <c:pt idx="240">
                  <c:v>Nov 06, 2025</c:v>
                </c:pt>
                <c:pt idx="241">
                  <c:v>Nov 05, 2025</c:v>
                </c:pt>
                <c:pt idx="242">
                  <c:v>Nov 04, 2025</c:v>
                </c:pt>
                <c:pt idx="243">
                  <c:v>Nov 03, 2025</c:v>
                </c:pt>
                <c:pt idx="244">
                  <c:v>Oct 31, 2025</c:v>
                </c:pt>
                <c:pt idx="245">
                  <c:v>Oct 30, 2025</c:v>
                </c:pt>
                <c:pt idx="246">
                  <c:v>Oct 29, 2025</c:v>
                </c:pt>
                <c:pt idx="247">
                  <c:v>Oct 28, 2025</c:v>
                </c:pt>
                <c:pt idx="248">
                  <c:v>Oct 27, 2025</c:v>
                </c:pt>
                <c:pt idx="249">
                  <c:v>Oct 24, 2025</c:v>
                </c:pt>
                <c:pt idx="250">
                  <c:v>Oct 23, 2025</c:v>
                </c:pt>
                <c:pt idx="251">
                  <c:v>Oct 22, 2025</c:v>
                </c:pt>
                <c:pt idx="252">
                  <c:v>Oct 21, 2025</c:v>
                </c:pt>
                <c:pt idx="253">
                  <c:v>Oct 20, 2025</c:v>
                </c:pt>
                <c:pt idx="254">
                  <c:v>Oct 17, 2025</c:v>
                </c:pt>
                <c:pt idx="255">
                  <c:v>Oct 16, 2025</c:v>
                </c:pt>
                <c:pt idx="256">
                  <c:v>Oct 15, 2025</c:v>
                </c:pt>
                <c:pt idx="257">
                  <c:v>Oct 14, 2025</c:v>
                </c:pt>
                <c:pt idx="258">
                  <c:v>Oct 13, 2025</c:v>
                </c:pt>
                <c:pt idx="259">
                  <c:v>Oct 10, 2025</c:v>
                </c:pt>
                <c:pt idx="260">
                  <c:v>Oct 09, 2025</c:v>
                </c:pt>
                <c:pt idx="261">
                  <c:v>Oct 08, 2025</c:v>
                </c:pt>
                <c:pt idx="262">
                  <c:v>Oct 07, 2025</c:v>
                </c:pt>
                <c:pt idx="263">
                  <c:v>Oct 06, 2025</c:v>
                </c:pt>
                <c:pt idx="264">
                  <c:v>Oct 03, 2025</c:v>
                </c:pt>
                <c:pt idx="265">
                  <c:v>Oct 02, 2025</c:v>
                </c:pt>
                <c:pt idx="266">
                  <c:v>Oct 01, 2025</c:v>
                </c:pt>
                <c:pt idx="267">
                  <c:v>Sep 30, 2025</c:v>
                </c:pt>
                <c:pt idx="268">
                  <c:v>Sep 29, 2025</c:v>
                </c:pt>
                <c:pt idx="269">
                  <c:v>Sep 26, 2025</c:v>
                </c:pt>
                <c:pt idx="270">
                  <c:v>Sep 25, 2025</c:v>
                </c:pt>
                <c:pt idx="271">
                  <c:v>Sep 24, 2025</c:v>
                </c:pt>
                <c:pt idx="272">
                  <c:v>Sep 23, 2025</c:v>
                </c:pt>
                <c:pt idx="273">
                  <c:v>Sep 22, 2025</c:v>
                </c:pt>
                <c:pt idx="274">
                  <c:v>Sep 19, 2025</c:v>
                </c:pt>
                <c:pt idx="275">
                  <c:v>Sep 18, 2025</c:v>
                </c:pt>
                <c:pt idx="276">
                  <c:v>Sep 17, 2025</c:v>
                </c:pt>
                <c:pt idx="277">
                  <c:v>Sep 16, 2025</c:v>
                </c:pt>
                <c:pt idx="278">
                  <c:v>Sep 15, 2025</c:v>
                </c:pt>
                <c:pt idx="279">
                  <c:v>Sep 12, 2025</c:v>
                </c:pt>
                <c:pt idx="280">
                  <c:v>Sep 11, 2025</c:v>
                </c:pt>
                <c:pt idx="281">
                  <c:v>Sep 10, 2025</c:v>
                </c:pt>
                <c:pt idx="282">
                  <c:v>Sep 09, 2025</c:v>
                </c:pt>
                <c:pt idx="283">
                  <c:v>Sep 08, 2025</c:v>
                </c:pt>
                <c:pt idx="284">
                  <c:v>Sep 05, 2025</c:v>
                </c:pt>
                <c:pt idx="285">
                  <c:v>Sep 04, 2025</c:v>
                </c:pt>
                <c:pt idx="286">
                  <c:v>Sep 03, 2025</c:v>
                </c:pt>
                <c:pt idx="287">
                  <c:v>Sep 02, 2025</c:v>
                </c:pt>
                <c:pt idx="288">
                  <c:v>Aug 29, 2025</c:v>
                </c:pt>
                <c:pt idx="289">
                  <c:v>Aug 28, 2025</c:v>
                </c:pt>
                <c:pt idx="290">
                  <c:v>Aug 27, 2025</c:v>
                </c:pt>
                <c:pt idx="291">
                  <c:v>Aug 26, 2025</c:v>
                </c:pt>
                <c:pt idx="292">
                  <c:v>Aug 25, 2025</c:v>
                </c:pt>
                <c:pt idx="293">
                  <c:v>Aug 22, 2025</c:v>
                </c:pt>
                <c:pt idx="294">
                  <c:v>Aug 21, 2025</c:v>
                </c:pt>
                <c:pt idx="295">
                  <c:v>Aug 20, 2025</c:v>
                </c:pt>
                <c:pt idx="296">
                  <c:v>Aug 19, 2025</c:v>
                </c:pt>
                <c:pt idx="297">
                  <c:v>Aug 18, 2025</c:v>
                </c:pt>
                <c:pt idx="298">
                  <c:v>Aug 15, 2025</c:v>
                </c:pt>
                <c:pt idx="299">
                  <c:v>Aug 14, 2025</c:v>
                </c:pt>
                <c:pt idx="300">
                  <c:v>Aug 13, 2025</c:v>
                </c:pt>
                <c:pt idx="301">
                  <c:v>Aug 12, 2025</c:v>
                </c:pt>
                <c:pt idx="302">
                  <c:v>Aug 11, 2025</c:v>
                </c:pt>
                <c:pt idx="303">
                  <c:v>Aug 08, 2025</c:v>
                </c:pt>
                <c:pt idx="304">
                  <c:v>Aug 07, 2025</c:v>
                </c:pt>
                <c:pt idx="305">
                  <c:v>Aug 06, 2025</c:v>
                </c:pt>
                <c:pt idx="306">
                  <c:v>Aug 05, 2025</c:v>
                </c:pt>
                <c:pt idx="307">
                  <c:v>Aug 04, 2025</c:v>
                </c:pt>
                <c:pt idx="308">
                  <c:v>Aug 01, 2025</c:v>
                </c:pt>
                <c:pt idx="309">
                  <c:v>Jul 31, 2025</c:v>
                </c:pt>
                <c:pt idx="310">
                  <c:v>Jul 30, 2025</c:v>
                </c:pt>
                <c:pt idx="311">
                  <c:v>Jul 29, 2025</c:v>
                </c:pt>
                <c:pt idx="312">
                  <c:v>Jul 28, 2025</c:v>
                </c:pt>
                <c:pt idx="313">
                  <c:v>Jul 25, 2025</c:v>
                </c:pt>
                <c:pt idx="314">
                  <c:v>Jul 24, 2025</c:v>
                </c:pt>
                <c:pt idx="315">
                  <c:v>Jul 23, 2025</c:v>
                </c:pt>
                <c:pt idx="316">
                  <c:v>Jul 22, 2025</c:v>
                </c:pt>
                <c:pt idx="317">
                  <c:v>Jul 21, 2025</c:v>
                </c:pt>
                <c:pt idx="318">
                  <c:v>Jul 18, 2025</c:v>
                </c:pt>
                <c:pt idx="319">
                  <c:v>Jul 17, 2025</c:v>
                </c:pt>
                <c:pt idx="320">
                  <c:v>Jul 16, 2025</c:v>
                </c:pt>
                <c:pt idx="321">
                  <c:v>Jul 15, 2025</c:v>
                </c:pt>
                <c:pt idx="322">
                  <c:v>Jul 14, 2025</c:v>
                </c:pt>
                <c:pt idx="323">
                  <c:v>Jul 11, 2025</c:v>
                </c:pt>
                <c:pt idx="324">
                  <c:v>Jul 10, 2025</c:v>
                </c:pt>
                <c:pt idx="325">
                  <c:v>Jul 09, 2025</c:v>
                </c:pt>
                <c:pt idx="326">
                  <c:v>Jul 08, 2025</c:v>
                </c:pt>
                <c:pt idx="327">
                  <c:v>Jul 07, 2025</c:v>
                </c:pt>
                <c:pt idx="328">
                  <c:v>Jul 03, 2025</c:v>
                </c:pt>
                <c:pt idx="329">
                  <c:v>Jul 02, 2025</c:v>
                </c:pt>
                <c:pt idx="330">
                  <c:v>Jul 01, 2025</c:v>
                </c:pt>
                <c:pt idx="331">
                  <c:v>Jun 30, 2025</c:v>
                </c:pt>
                <c:pt idx="332">
                  <c:v>Jun 27, 2025</c:v>
                </c:pt>
                <c:pt idx="333">
                  <c:v>Jun 26, 2025</c:v>
                </c:pt>
                <c:pt idx="334">
                  <c:v>Jun 25, 2025</c:v>
                </c:pt>
                <c:pt idx="335">
                  <c:v>Jun 24, 2025</c:v>
                </c:pt>
                <c:pt idx="336">
                  <c:v>Jun 23, 2025</c:v>
                </c:pt>
                <c:pt idx="337">
                  <c:v>Jun 20, 2025</c:v>
                </c:pt>
                <c:pt idx="338">
                  <c:v>Jun 18, 2025</c:v>
                </c:pt>
                <c:pt idx="339">
                  <c:v>Jun 17, 2025</c:v>
                </c:pt>
                <c:pt idx="340">
                  <c:v>Jun 16, 2025</c:v>
                </c:pt>
                <c:pt idx="341">
                  <c:v>Jun 13, 2025</c:v>
                </c:pt>
                <c:pt idx="342">
                  <c:v>Jun 12, 2025</c:v>
                </c:pt>
                <c:pt idx="343">
                  <c:v>Jun 11, 2025</c:v>
                </c:pt>
                <c:pt idx="344">
                  <c:v>Jun 10, 2025</c:v>
                </c:pt>
                <c:pt idx="345">
                  <c:v>Jun 09, 2025</c:v>
                </c:pt>
                <c:pt idx="346">
                  <c:v>Jun 06, 2025</c:v>
                </c:pt>
                <c:pt idx="347">
                  <c:v>Jun 05, 2025</c:v>
                </c:pt>
                <c:pt idx="348">
                  <c:v>Jun 04, 2025</c:v>
                </c:pt>
                <c:pt idx="349">
                  <c:v>Jun 03, 2025</c:v>
                </c:pt>
                <c:pt idx="350">
                  <c:v>Jun 02, 2025</c:v>
                </c:pt>
                <c:pt idx="351">
                  <c:v>May 30, 2025</c:v>
                </c:pt>
                <c:pt idx="352">
                  <c:v>May 29, 2025</c:v>
                </c:pt>
                <c:pt idx="353">
                  <c:v>May 28, 2025</c:v>
                </c:pt>
                <c:pt idx="354">
                  <c:v>May 27, 2025</c:v>
                </c:pt>
                <c:pt idx="355">
                  <c:v>May 23, 2025</c:v>
                </c:pt>
                <c:pt idx="356">
                  <c:v>May 22, 2025</c:v>
                </c:pt>
                <c:pt idx="357">
                  <c:v>May 21, 2025</c:v>
                </c:pt>
                <c:pt idx="358">
                  <c:v>May 20, 2025</c:v>
                </c:pt>
                <c:pt idx="359">
                  <c:v>May 19, 2025</c:v>
                </c:pt>
                <c:pt idx="360">
                  <c:v>May 16, 2025</c:v>
                </c:pt>
                <c:pt idx="361">
                  <c:v>May 15, 2025</c:v>
                </c:pt>
                <c:pt idx="362">
                  <c:v>May 14, 2025</c:v>
                </c:pt>
                <c:pt idx="363">
                  <c:v>May 13, 2025</c:v>
                </c:pt>
                <c:pt idx="364">
                  <c:v>May 12, 2025</c:v>
                </c:pt>
                <c:pt idx="365">
                  <c:v>May 09, 2025</c:v>
                </c:pt>
                <c:pt idx="366">
                  <c:v>May 08, 2025</c:v>
                </c:pt>
                <c:pt idx="367">
                  <c:v>May 07, 2025</c:v>
                </c:pt>
                <c:pt idx="368">
                  <c:v>May 06, 2025</c:v>
                </c:pt>
                <c:pt idx="369">
                  <c:v>May 05, 2025</c:v>
                </c:pt>
                <c:pt idx="370">
                  <c:v>May 02, 2025</c:v>
                </c:pt>
                <c:pt idx="371">
                  <c:v>May 01, 2025</c:v>
                </c:pt>
                <c:pt idx="372">
                  <c:v>Apr 30, 2025</c:v>
                </c:pt>
                <c:pt idx="373">
                  <c:v>Apr 29, 2025</c:v>
                </c:pt>
                <c:pt idx="374">
                  <c:v>Apr 28, 2025</c:v>
                </c:pt>
                <c:pt idx="375">
                  <c:v>Apr 25, 2025</c:v>
                </c:pt>
                <c:pt idx="376">
                  <c:v>Apr 24, 2025</c:v>
                </c:pt>
                <c:pt idx="377">
                  <c:v>Apr 23, 2025</c:v>
                </c:pt>
                <c:pt idx="378">
                  <c:v>Apr 22, 2025</c:v>
                </c:pt>
                <c:pt idx="379">
                  <c:v>Apr 21, 2025</c:v>
                </c:pt>
                <c:pt idx="380">
                  <c:v>Apr 17, 2025</c:v>
                </c:pt>
                <c:pt idx="381">
                  <c:v>Apr 16, 2025</c:v>
                </c:pt>
                <c:pt idx="382">
                  <c:v>Apr 15, 2025</c:v>
                </c:pt>
                <c:pt idx="383">
                  <c:v>Apr 14, 2025</c:v>
                </c:pt>
                <c:pt idx="384">
                  <c:v>Apr 11, 2025</c:v>
                </c:pt>
                <c:pt idx="385">
                  <c:v>Apr 10, 2025</c:v>
                </c:pt>
                <c:pt idx="386">
                  <c:v>Apr 09, 2025</c:v>
                </c:pt>
                <c:pt idx="387">
                  <c:v>Apr 08, 2025</c:v>
                </c:pt>
                <c:pt idx="388">
                  <c:v>Apr 07, 2025</c:v>
                </c:pt>
                <c:pt idx="389">
                  <c:v>Apr 04, 2025</c:v>
                </c:pt>
                <c:pt idx="390">
                  <c:v>Apr 03, 2025</c:v>
                </c:pt>
                <c:pt idx="391">
                  <c:v>Apr 02, 2025</c:v>
                </c:pt>
                <c:pt idx="392">
                  <c:v>Apr 01, 2025</c:v>
                </c:pt>
                <c:pt idx="393">
                  <c:v>Mar 31, 2025</c:v>
                </c:pt>
                <c:pt idx="394">
                  <c:v>Mar 28, 2025</c:v>
                </c:pt>
                <c:pt idx="395">
                  <c:v>Mar 27, 2025</c:v>
                </c:pt>
                <c:pt idx="396">
                  <c:v>Mar 26, 2025</c:v>
                </c:pt>
                <c:pt idx="397">
                  <c:v>Mar 25, 2025</c:v>
                </c:pt>
                <c:pt idx="398">
                  <c:v>Mar 24, 2025</c:v>
                </c:pt>
                <c:pt idx="399">
                  <c:v>Mar 21, 2025</c:v>
                </c:pt>
                <c:pt idx="400">
                  <c:v>Mar 20, 2025</c:v>
                </c:pt>
                <c:pt idx="401">
                  <c:v>Mar 19, 2025</c:v>
                </c:pt>
                <c:pt idx="402">
                  <c:v>Mar 18, 2025</c:v>
                </c:pt>
                <c:pt idx="403">
                  <c:v>Mar 17, 2025</c:v>
                </c:pt>
                <c:pt idx="404">
                  <c:v>Mar 14, 2025</c:v>
                </c:pt>
                <c:pt idx="405">
                  <c:v>Mar 13, 2025</c:v>
                </c:pt>
                <c:pt idx="406">
                  <c:v>Mar 12, 2025</c:v>
                </c:pt>
                <c:pt idx="407">
                  <c:v>Mar 11, 2025</c:v>
                </c:pt>
                <c:pt idx="408">
                  <c:v>Mar 10, 2025</c:v>
                </c:pt>
                <c:pt idx="409">
                  <c:v>Mar 07, 2025</c:v>
                </c:pt>
                <c:pt idx="410">
                  <c:v>Mar 06, 2025</c:v>
                </c:pt>
                <c:pt idx="411">
                  <c:v>Mar 05, 2025</c:v>
                </c:pt>
                <c:pt idx="412">
                  <c:v>Mar 04, 2025</c:v>
                </c:pt>
                <c:pt idx="413">
                  <c:v>Mar 03, 2025</c:v>
                </c:pt>
                <c:pt idx="414">
                  <c:v>Feb 28, 2025</c:v>
                </c:pt>
                <c:pt idx="415">
                  <c:v>Feb 27, 2025</c:v>
                </c:pt>
                <c:pt idx="416">
                  <c:v>Feb 26, 2025</c:v>
                </c:pt>
                <c:pt idx="417">
                  <c:v>Feb 25, 2025</c:v>
                </c:pt>
                <c:pt idx="418">
                  <c:v>Feb 24, 2025</c:v>
                </c:pt>
                <c:pt idx="419">
                  <c:v>Feb 21, 2025</c:v>
                </c:pt>
                <c:pt idx="420">
                  <c:v>Feb 20, 2025</c:v>
                </c:pt>
                <c:pt idx="421">
                  <c:v>Feb 19, 2025</c:v>
                </c:pt>
                <c:pt idx="422">
                  <c:v>Feb 18, 2025</c:v>
                </c:pt>
                <c:pt idx="423">
                  <c:v>Feb 14, 2025</c:v>
                </c:pt>
                <c:pt idx="424">
                  <c:v>Feb 13, 2025</c:v>
                </c:pt>
                <c:pt idx="425">
                  <c:v>Feb 12, 2025</c:v>
                </c:pt>
                <c:pt idx="426">
                  <c:v>Feb 11, 2025</c:v>
                </c:pt>
                <c:pt idx="427">
                  <c:v>Feb 10, 2025</c:v>
                </c:pt>
                <c:pt idx="428">
                  <c:v>Feb 07, 2025</c:v>
                </c:pt>
                <c:pt idx="429">
                  <c:v>Feb 06, 2025</c:v>
                </c:pt>
                <c:pt idx="430">
                  <c:v>Feb 05, 2025</c:v>
                </c:pt>
                <c:pt idx="431">
                  <c:v>Feb 04, 2025</c:v>
                </c:pt>
                <c:pt idx="432">
                  <c:v>Feb 03, 2025</c:v>
                </c:pt>
                <c:pt idx="433">
                  <c:v>Jan 31, 2025</c:v>
                </c:pt>
                <c:pt idx="434">
                  <c:v>Jan 30, 2025</c:v>
                </c:pt>
                <c:pt idx="435">
                  <c:v>Jan 29, 2025</c:v>
                </c:pt>
                <c:pt idx="436">
                  <c:v>Jan 28, 2025</c:v>
                </c:pt>
                <c:pt idx="437">
                  <c:v>Jan 27, 2025</c:v>
                </c:pt>
                <c:pt idx="438">
                  <c:v>Jan 24, 2025</c:v>
                </c:pt>
                <c:pt idx="439">
                  <c:v>Jan 23, 2025</c:v>
                </c:pt>
                <c:pt idx="440">
                  <c:v>Jan 22, 2025</c:v>
                </c:pt>
                <c:pt idx="441">
                  <c:v>Jan 21, 2025</c:v>
                </c:pt>
                <c:pt idx="442">
                  <c:v>Jan 17, 2025</c:v>
                </c:pt>
                <c:pt idx="443">
                  <c:v>Jan 16, 2025</c:v>
                </c:pt>
                <c:pt idx="444">
                  <c:v>Jan 15, 2025</c:v>
                </c:pt>
                <c:pt idx="445">
                  <c:v>Jan 14, 2025</c:v>
                </c:pt>
                <c:pt idx="446">
                  <c:v>Jan 13, 2025</c:v>
                </c:pt>
                <c:pt idx="447">
                  <c:v>Jan 10, 2025</c:v>
                </c:pt>
                <c:pt idx="448">
                  <c:v>Jan 08, 2025</c:v>
                </c:pt>
                <c:pt idx="449">
                  <c:v>Jan 07, 2025</c:v>
                </c:pt>
                <c:pt idx="450">
                  <c:v>Jan 06, 2025</c:v>
                </c:pt>
                <c:pt idx="451">
                  <c:v>Jan 03, 2025</c:v>
                </c:pt>
                <c:pt idx="452">
                  <c:v>Jan 02, 2025</c:v>
                </c:pt>
                <c:pt idx="453">
                  <c:v>Dec 31, 2024</c:v>
                </c:pt>
                <c:pt idx="454">
                  <c:v>Dec 30, 2024</c:v>
                </c:pt>
                <c:pt idx="455">
                  <c:v>Dec 27, 2024</c:v>
                </c:pt>
                <c:pt idx="456">
                  <c:v>Dec 26, 2024</c:v>
                </c:pt>
                <c:pt idx="457">
                  <c:v>Dec 24, 2024</c:v>
                </c:pt>
                <c:pt idx="458">
                  <c:v>Dec 23, 2024</c:v>
                </c:pt>
                <c:pt idx="459">
                  <c:v>Dec 20, 2024</c:v>
                </c:pt>
                <c:pt idx="460">
                  <c:v>Dec 19, 2024</c:v>
                </c:pt>
                <c:pt idx="461">
                  <c:v>Dec 18, 2024</c:v>
                </c:pt>
                <c:pt idx="462">
                  <c:v>Dec 17, 2024</c:v>
                </c:pt>
                <c:pt idx="463">
                  <c:v>Dec 16, 2024</c:v>
                </c:pt>
                <c:pt idx="464">
                  <c:v>Dec 13, 2024</c:v>
                </c:pt>
                <c:pt idx="465">
                  <c:v>Dec 12, 2024</c:v>
                </c:pt>
                <c:pt idx="466">
                  <c:v>Dec 11, 2024</c:v>
                </c:pt>
                <c:pt idx="467">
                  <c:v>Dec 10, 2024</c:v>
                </c:pt>
                <c:pt idx="468">
                  <c:v>Dec 09, 2024</c:v>
                </c:pt>
                <c:pt idx="469">
                  <c:v>Dec 06, 2024</c:v>
                </c:pt>
                <c:pt idx="470">
                  <c:v>Dec 05, 2024</c:v>
                </c:pt>
                <c:pt idx="471">
                  <c:v>Dec 04, 2024</c:v>
                </c:pt>
                <c:pt idx="472">
                  <c:v>Dec 03, 2024</c:v>
                </c:pt>
                <c:pt idx="473">
                  <c:v>Dec 02, 2024</c:v>
                </c:pt>
                <c:pt idx="474">
                  <c:v>Nov 29, 2024</c:v>
                </c:pt>
                <c:pt idx="475">
                  <c:v>Nov 27, 2024</c:v>
                </c:pt>
                <c:pt idx="476">
                  <c:v>Nov 26, 2024</c:v>
                </c:pt>
                <c:pt idx="477">
                  <c:v>Nov 25, 2024</c:v>
                </c:pt>
                <c:pt idx="478">
                  <c:v>Nov 22, 2024</c:v>
                </c:pt>
                <c:pt idx="479">
                  <c:v>Nov 21, 2024</c:v>
                </c:pt>
                <c:pt idx="480">
                  <c:v>Nov 20, 2024</c:v>
                </c:pt>
                <c:pt idx="481">
                  <c:v>Nov 19, 2024</c:v>
                </c:pt>
                <c:pt idx="482">
                  <c:v>Nov 18, 2024</c:v>
                </c:pt>
                <c:pt idx="483">
                  <c:v>Nov 15, 2024</c:v>
                </c:pt>
                <c:pt idx="484">
                  <c:v>Nov 14, 2024</c:v>
                </c:pt>
                <c:pt idx="485">
                  <c:v>Nov 13, 2024</c:v>
                </c:pt>
                <c:pt idx="486">
                  <c:v>Nov 12, 2024</c:v>
                </c:pt>
                <c:pt idx="487">
                  <c:v>Nov 11, 2024</c:v>
                </c:pt>
                <c:pt idx="488">
                  <c:v>Nov 08, 2024</c:v>
                </c:pt>
                <c:pt idx="489">
                  <c:v>Nov 07, 2024</c:v>
                </c:pt>
                <c:pt idx="490">
                  <c:v>Nov 06, 2024</c:v>
                </c:pt>
                <c:pt idx="491">
                  <c:v>Nov 05, 2024</c:v>
                </c:pt>
                <c:pt idx="492">
                  <c:v>Nov 04, 2024</c:v>
                </c:pt>
                <c:pt idx="493">
                  <c:v>Nov 01, 2024</c:v>
                </c:pt>
                <c:pt idx="494">
                  <c:v>Oct 31, 2024</c:v>
                </c:pt>
                <c:pt idx="495">
                  <c:v>Oct 30, 2024</c:v>
                </c:pt>
                <c:pt idx="496">
                  <c:v>Oct 29, 2024</c:v>
                </c:pt>
                <c:pt idx="497">
                  <c:v>Oct 28, 2024</c:v>
                </c:pt>
                <c:pt idx="498">
                  <c:v>Oct 25, 2024</c:v>
                </c:pt>
                <c:pt idx="499">
                  <c:v>Oct 24, 2024</c:v>
                </c:pt>
                <c:pt idx="500">
                  <c:v>Oct 23, 2024</c:v>
                </c:pt>
                <c:pt idx="501">
                  <c:v>Oct 22, 2024</c:v>
                </c:pt>
                <c:pt idx="502">
                  <c:v>Oct 21, 2024</c:v>
                </c:pt>
                <c:pt idx="503">
                  <c:v>Oct 18, 2024</c:v>
                </c:pt>
                <c:pt idx="504">
                  <c:v>Oct 17, 2024</c:v>
                </c:pt>
                <c:pt idx="505">
                  <c:v>Oct 16, 2024</c:v>
                </c:pt>
                <c:pt idx="506">
                  <c:v>Oct 15, 2024</c:v>
                </c:pt>
                <c:pt idx="507">
                  <c:v>Oct 14, 2024</c:v>
                </c:pt>
                <c:pt idx="508">
                  <c:v>Oct 11, 2024</c:v>
                </c:pt>
                <c:pt idx="509">
                  <c:v>Oct 10, 2024</c:v>
                </c:pt>
                <c:pt idx="510">
                  <c:v>Oct 09, 2024</c:v>
                </c:pt>
                <c:pt idx="511">
                  <c:v>Oct 08, 2024</c:v>
                </c:pt>
                <c:pt idx="512">
                  <c:v>Oct 07, 2024</c:v>
                </c:pt>
                <c:pt idx="513">
                  <c:v>Oct 04, 2024</c:v>
                </c:pt>
                <c:pt idx="514">
                  <c:v>Oct 03, 2024</c:v>
                </c:pt>
                <c:pt idx="515">
                  <c:v>Oct 02, 2024</c:v>
                </c:pt>
                <c:pt idx="516">
                  <c:v>Oct 01, 2024</c:v>
                </c:pt>
                <c:pt idx="517">
                  <c:v>Sep 30, 2024</c:v>
                </c:pt>
                <c:pt idx="518">
                  <c:v>Sep 27, 2024</c:v>
                </c:pt>
                <c:pt idx="519">
                  <c:v>Sep 26, 2024</c:v>
                </c:pt>
                <c:pt idx="520">
                  <c:v>Sep 25, 2024</c:v>
                </c:pt>
                <c:pt idx="521">
                  <c:v>Sep 24, 2024</c:v>
                </c:pt>
                <c:pt idx="522">
                  <c:v>Sep 23, 2024</c:v>
                </c:pt>
                <c:pt idx="523">
                  <c:v>Sep 20, 2024</c:v>
                </c:pt>
                <c:pt idx="524">
                  <c:v>Sep 19, 2024</c:v>
                </c:pt>
                <c:pt idx="525">
                  <c:v>Sep 18, 2024</c:v>
                </c:pt>
                <c:pt idx="526">
                  <c:v>Sep 17, 2024</c:v>
                </c:pt>
                <c:pt idx="527">
                  <c:v>Sep 16, 2024</c:v>
                </c:pt>
                <c:pt idx="528">
                  <c:v>Sep 13, 2024</c:v>
                </c:pt>
                <c:pt idx="529">
                  <c:v>Sep 12, 2024</c:v>
                </c:pt>
                <c:pt idx="530">
                  <c:v>Sep 11, 2024</c:v>
                </c:pt>
                <c:pt idx="531">
                  <c:v>Sep 10, 2024</c:v>
                </c:pt>
                <c:pt idx="532">
                  <c:v>Sep 09, 2024</c:v>
                </c:pt>
                <c:pt idx="533">
                  <c:v>Sep 06, 2024</c:v>
                </c:pt>
                <c:pt idx="534">
                  <c:v>Sep 05, 2024</c:v>
                </c:pt>
                <c:pt idx="535">
                  <c:v>Sep 04, 2024</c:v>
                </c:pt>
                <c:pt idx="536">
                  <c:v>Sep 03, 2024</c:v>
                </c:pt>
                <c:pt idx="537">
                  <c:v>Aug 30, 2024</c:v>
                </c:pt>
                <c:pt idx="538">
                  <c:v>Aug 29, 2024</c:v>
                </c:pt>
                <c:pt idx="539">
                  <c:v>Aug 28, 2024</c:v>
                </c:pt>
                <c:pt idx="540">
                  <c:v>Aug 27, 2024</c:v>
                </c:pt>
                <c:pt idx="541">
                  <c:v>Aug 26, 2024</c:v>
                </c:pt>
                <c:pt idx="542">
                  <c:v>Aug 23, 2024</c:v>
                </c:pt>
                <c:pt idx="543">
                  <c:v>Aug 22, 2024</c:v>
                </c:pt>
                <c:pt idx="544">
                  <c:v>Aug 21, 2024</c:v>
                </c:pt>
                <c:pt idx="545">
                  <c:v>Aug 20, 2024</c:v>
                </c:pt>
                <c:pt idx="546">
                  <c:v>Aug 19, 2024</c:v>
                </c:pt>
                <c:pt idx="547">
                  <c:v>Aug 16, 2024</c:v>
                </c:pt>
                <c:pt idx="548">
                  <c:v>Aug 15, 2024</c:v>
                </c:pt>
                <c:pt idx="549">
                  <c:v>Aug 14, 2024</c:v>
                </c:pt>
                <c:pt idx="550">
                  <c:v>Aug 13, 2024</c:v>
                </c:pt>
                <c:pt idx="551">
                  <c:v>Aug 12, 2024</c:v>
                </c:pt>
                <c:pt idx="552">
                  <c:v>Aug 09, 2024</c:v>
                </c:pt>
                <c:pt idx="553">
                  <c:v>Aug 08, 2024</c:v>
                </c:pt>
                <c:pt idx="554">
                  <c:v>Aug 07, 2024</c:v>
                </c:pt>
                <c:pt idx="555">
                  <c:v>Aug 06, 2024</c:v>
                </c:pt>
                <c:pt idx="556">
                  <c:v>Aug 05, 2024</c:v>
                </c:pt>
                <c:pt idx="557">
                  <c:v>Aug 02, 2024</c:v>
                </c:pt>
                <c:pt idx="558">
                  <c:v>Aug 01, 2024</c:v>
                </c:pt>
                <c:pt idx="559">
                  <c:v>Jul 31, 2024</c:v>
                </c:pt>
                <c:pt idx="560">
                  <c:v>Jul 30, 2024</c:v>
                </c:pt>
                <c:pt idx="561">
                  <c:v>Jul 29, 2024</c:v>
                </c:pt>
                <c:pt idx="562">
                  <c:v>Jul 26, 2024</c:v>
                </c:pt>
                <c:pt idx="563">
                  <c:v>Jul 25, 2024</c:v>
                </c:pt>
                <c:pt idx="564">
                  <c:v>Jul 24, 2024</c:v>
                </c:pt>
                <c:pt idx="565">
                  <c:v>Jul 23, 2024</c:v>
                </c:pt>
                <c:pt idx="566">
                  <c:v>Jul 22, 2024</c:v>
                </c:pt>
                <c:pt idx="567">
                  <c:v>Jul 19, 2024</c:v>
                </c:pt>
                <c:pt idx="568">
                  <c:v>Jul 18, 2024</c:v>
                </c:pt>
                <c:pt idx="569">
                  <c:v>Jul 17, 2024</c:v>
                </c:pt>
                <c:pt idx="570">
                  <c:v>Jul 16, 2024</c:v>
                </c:pt>
                <c:pt idx="571">
                  <c:v>Jul 15, 2024</c:v>
                </c:pt>
                <c:pt idx="572">
                  <c:v>Jul 12, 2024</c:v>
                </c:pt>
                <c:pt idx="573">
                  <c:v>Jul 11, 2024</c:v>
                </c:pt>
                <c:pt idx="574">
                  <c:v>Jul 10, 2024</c:v>
                </c:pt>
                <c:pt idx="575">
                  <c:v>Jul 09, 2024</c:v>
                </c:pt>
                <c:pt idx="576">
                  <c:v>Jul 08, 2024</c:v>
                </c:pt>
                <c:pt idx="577">
                  <c:v>Jul 05, 2024</c:v>
                </c:pt>
                <c:pt idx="578">
                  <c:v>Jul 03, 2024</c:v>
                </c:pt>
                <c:pt idx="579">
                  <c:v>Jul 02, 2024</c:v>
                </c:pt>
                <c:pt idx="580">
                  <c:v>Jul 01, 2024</c:v>
                </c:pt>
                <c:pt idx="581">
                  <c:v>Jun 28, 2024</c:v>
                </c:pt>
                <c:pt idx="582">
                  <c:v>Jun 27, 2024</c:v>
                </c:pt>
                <c:pt idx="583">
                  <c:v>Jun 26, 2024</c:v>
                </c:pt>
                <c:pt idx="584">
                  <c:v>Jun 25, 2024</c:v>
                </c:pt>
                <c:pt idx="585">
                  <c:v>Jun 24, 2024</c:v>
                </c:pt>
                <c:pt idx="586">
                  <c:v>Jun 21, 2024</c:v>
                </c:pt>
                <c:pt idx="587">
                  <c:v>Jun 20, 2024</c:v>
                </c:pt>
                <c:pt idx="588">
                  <c:v>Jun 18, 2024</c:v>
                </c:pt>
                <c:pt idx="589">
                  <c:v>Jun 17, 2024</c:v>
                </c:pt>
                <c:pt idx="590">
                  <c:v>Jun 14, 2024</c:v>
                </c:pt>
                <c:pt idx="591">
                  <c:v>Jun 13, 2024</c:v>
                </c:pt>
                <c:pt idx="592">
                  <c:v>Jun 12, 2024</c:v>
                </c:pt>
                <c:pt idx="593">
                  <c:v>Jun 11, 2024</c:v>
                </c:pt>
                <c:pt idx="594">
                  <c:v>Jun 10, 2024</c:v>
                </c:pt>
                <c:pt idx="595">
                  <c:v>Jun 07, 2024</c:v>
                </c:pt>
                <c:pt idx="596">
                  <c:v>Jun 06, 2024</c:v>
                </c:pt>
                <c:pt idx="597">
                  <c:v>Jun 05, 2024</c:v>
                </c:pt>
                <c:pt idx="598">
                  <c:v>Jun 04, 2024</c:v>
                </c:pt>
                <c:pt idx="599">
                  <c:v>Jun 03, 2024</c:v>
                </c:pt>
                <c:pt idx="600">
                  <c:v>May 31, 2024</c:v>
                </c:pt>
                <c:pt idx="601">
                  <c:v>May 30, 2024</c:v>
                </c:pt>
                <c:pt idx="602">
                  <c:v>May 29, 2024</c:v>
                </c:pt>
                <c:pt idx="603">
                  <c:v>May 28, 2024</c:v>
                </c:pt>
                <c:pt idx="604">
                  <c:v>May 24, 2024</c:v>
                </c:pt>
                <c:pt idx="605">
                  <c:v>May 23, 2024</c:v>
                </c:pt>
                <c:pt idx="606">
                  <c:v>May 22, 2024</c:v>
                </c:pt>
                <c:pt idx="607">
                  <c:v>May 21, 2024</c:v>
                </c:pt>
                <c:pt idx="608">
                  <c:v>May 20, 2024</c:v>
                </c:pt>
                <c:pt idx="609">
                  <c:v>May 17, 2024</c:v>
                </c:pt>
                <c:pt idx="610">
                  <c:v>May 16, 2024</c:v>
                </c:pt>
                <c:pt idx="611">
                  <c:v>May 15, 2024</c:v>
                </c:pt>
                <c:pt idx="612">
                  <c:v>May 14, 2024</c:v>
                </c:pt>
                <c:pt idx="613">
                  <c:v>May 13, 2024</c:v>
                </c:pt>
                <c:pt idx="614">
                  <c:v>May 10, 2024</c:v>
                </c:pt>
                <c:pt idx="615">
                  <c:v>May 09, 2024</c:v>
                </c:pt>
                <c:pt idx="616">
                  <c:v>May 08, 2024</c:v>
                </c:pt>
                <c:pt idx="617">
                  <c:v>May 07, 2024</c:v>
                </c:pt>
                <c:pt idx="618">
                  <c:v>May 06, 2024</c:v>
                </c:pt>
                <c:pt idx="619">
                  <c:v>May 03, 2024</c:v>
                </c:pt>
                <c:pt idx="620">
                  <c:v>May 02, 2024</c:v>
                </c:pt>
                <c:pt idx="621">
                  <c:v>May 01, 2024</c:v>
                </c:pt>
                <c:pt idx="622">
                  <c:v>Apr 30, 2024</c:v>
                </c:pt>
                <c:pt idx="623">
                  <c:v>Apr 29, 2024</c:v>
                </c:pt>
                <c:pt idx="624">
                  <c:v>Apr 26, 2024</c:v>
                </c:pt>
                <c:pt idx="625">
                  <c:v>Apr 25, 2024</c:v>
                </c:pt>
                <c:pt idx="626">
                  <c:v>Apr 24, 2024</c:v>
                </c:pt>
                <c:pt idx="627">
                  <c:v>Apr 23, 2024</c:v>
                </c:pt>
                <c:pt idx="628">
                  <c:v>Apr 22, 2024</c:v>
                </c:pt>
                <c:pt idx="629">
                  <c:v>Apr 19, 2024</c:v>
                </c:pt>
                <c:pt idx="630">
                  <c:v>Apr 18, 2024</c:v>
                </c:pt>
                <c:pt idx="631">
                  <c:v>Apr 17, 2024</c:v>
                </c:pt>
                <c:pt idx="632">
                  <c:v>Apr 16, 2024</c:v>
                </c:pt>
                <c:pt idx="633">
                  <c:v>Apr 15, 2024</c:v>
                </c:pt>
                <c:pt idx="634">
                  <c:v>Apr 12, 2024</c:v>
                </c:pt>
                <c:pt idx="635">
                  <c:v>Apr 11, 2024</c:v>
                </c:pt>
                <c:pt idx="636">
                  <c:v>Apr 10, 2024</c:v>
                </c:pt>
                <c:pt idx="637">
                  <c:v>Apr 09, 2024</c:v>
                </c:pt>
                <c:pt idx="638">
                  <c:v>Apr 08, 2024</c:v>
                </c:pt>
                <c:pt idx="639">
                  <c:v>Apr 05, 2024</c:v>
                </c:pt>
                <c:pt idx="640">
                  <c:v>Apr 04, 2024</c:v>
                </c:pt>
                <c:pt idx="641">
                  <c:v>Apr 03, 2024</c:v>
                </c:pt>
                <c:pt idx="642">
                  <c:v>Apr 02, 2024</c:v>
                </c:pt>
                <c:pt idx="643">
                  <c:v>Apr 01, 2024</c:v>
                </c:pt>
                <c:pt idx="644">
                  <c:v>Mar 28, 2024</c:v>
                </c:pt>
                <c:pt idx="645">
                  <c:v>Mar 27, 2024</c:v>
                </c:pt>
                <c:pt idx="646">
                  <c:v>Mar 26, 2024</c:v>
                </c:pt>
                <c:pt idx="647">
                  <c:v>Mar 25, 2024</c:v>
                </c:pt>
                <c:pt idx="648">
                  <c:v>Mar 22, 2024</c:v>
                </c:pt>
                <c:pt idx="649">
                  <c:v>Mar 21, 2024</c:v>
                </c:pt>
                <c:pt idx="650">
                  <c:v>Mar 20, 2024</c:v>
                </c:pt>
                <c:pt idx="651">
                  <c:v>Mar 19, 2024</c:v>
                </c:pt>
                <c:pt idx="652">
                  <c:v>Mar 18, 2024</c:v>
                </c:pt>
                <c:pt idx="653">
                  <c:v>Mar 15, 2024</c:v>
                </c:pt>
                <c:pt idx="654">
                  <c:v>Mar 14, 2024</c:v>
                </c:pt>
                <c:pt idx="655">
                  <c:v>Mar 13, 2024</c:v>
                </c:pt>
                <c:pt idx="656">
                  <c:v>Mar 12, 2024</c:v>
                </c:pt>
                <c:pt idx="657">
                  <c:v>Mar 11, 2024</c:v>
                </c:pt>
                <c:pt idx="658">
                  <c:v>Mar 08, 2024</c:v>
                </c:pt>
                <c:pt idx="659">
                  <c:v>Mar 07, 2024</c:v>
                </c:pt>
                <c:pt idx="660">
                  <c:v>Mar 06, 2024</c:v>
                </c:pt>
                <c:pt idx="661">
                  <c:v>Mar 05, 2024</c:v>
                </c:pt>
                <c:pt idx="662">
                  <c:v>Mar 04, 2024</c:v>
                </c:pt>
                <c:pt idx="663">
                  <c:v>Mar 01, 2024</c:v>
                </c:pt>
                <c:pt idx="664">
                  <c:v>Feb 29, 2024</c:v>
                </c:pt>
                <c:pt idx="665">
                  <c:v>Feb 28, 2024</c:v>
                </c:pt>
                <c:pt idx="666">
                  <c:v>Feb 27, 2024</c:v>
                </c:pt>
                <c:pt idx="667">
                  <c:v>Feb 26, 2024</c:v>
                </c:pt>
                <c:pt idx="668">
                  <c:v>Feb 23, 2024</c:v>
                </c:pt>
                <c:pt idx="669">
                  <c:v>Feb 22, 2024</c:v>
                </c:pt>
                <c:pt idx="670">
                  <c:v>Feb 21, 2024</c:v>
                </c:pt>
                <c:pt idx="671">
                  <c:v>Feb 20, 2024</c:v>
                </c:pt>
                <c:pt idx="672">
                  <c:v>Feb 16, 2024</c:v>
                </c:pt>
                <c:pt idx="673">
                  <c:v>Feb 15, 2024</c:v>
                </c:pt>
                <c:pt idx="674">
                  <c:v>Feb 14, 2024</c:v>
                </c:pt>
                <c:pt idx="675">
                  <c:v>Feb 13, 2024</c:v>
                </c:pt>
                <c:pt idx="676">
                  <c:v>Feb 12, 2024</c:v>
                </c:pt>
                <c:pt idx="677">
                  <c:v>Feb 09, 2024</c:v>
                </c:pt>
                <c:pt idx="678">
                  <c:v>Feb 08, 2024</c:v>
                </c:pt>
                <c:pt idx="679">
                  <c:v>Feb 07, 2024</c:v>
                </c:pt>
                <c:pt idx="680">
                  <c:v>Feb 06, 2024</c:v>
                </c:pt>
                <c:pt idx="681">
                  <c:v>Feb 05, 2024</c:v>
                </c:pt>
                <c:pt idx="682">
                  <c:v>Feb 02, 2024</c:v>
                </c:pt>
                <c:pt idx="683">
                  <c:v>Feb 01, 2024</c:v>
                </c:pt>
                <c:pt idx="684">
                  <c:v>Jan 31, 2024</c:v>
                </c:pt>
                <c:pt idx="685">
                  <c:v>Jan 30, 2024</c:v>
                </c:pt>
                <c:pt idx="686">
                  <c:v>Jan 29, 2024</c:v>
                </c:pt>
                <c:pt idx="687">
                  <c:v>Jan 26, 2024</c:v>
                </c:pt>
                <c:pt idx="688">
                  <c:v>Jan 25, 2024</c:v>
                </c:pt>
                <c:pt idx="689">
                  <c:v>Jan 24, 2024</c:v>
                </c:pt>
                <c:pt idx="690">
                  <c:v>Jan 23, 2024</c:v>
                </c:pt>
                <c:pt idx="691">
                  <c:v>Jan 22, 2024</c:v>
                </c:pt>
                <c:pt idx="692">
                  <c:v>Jan 19, 2024</c:v>
                </c:pt>
                <c:pt idx="693">
                  <c:v>Jan 18, 2024</c:v>
                </c:pt>
                <c:pt idx="694">
                  <c:v>Jan 17, 2024</c:v>
                </c:pt>
                <c:pt idx="695">
                  <c:v>Jan 16, 2024</c:v>
                </c:pt>
                <c:pt idx="696">
                  <c:v>Jan 12, 2024</c:v>
                </c:pt>
                <c:pt idx="697">
                  <c:v>Jan 11, 2024</c:v>
                </c:pt>
                <c:pt idx="698">
                  <c:v>Jan 10, 2024</c:v>
                </c:pt>
                <c:pt idx="699">
                  <c:v>Jan 09, 2024</c:v>
                </c:pt>
                <c:pt idx="700">
                  <c:v>Jan 08, 2024</c:v>
                </c:pt>
                <c:pt idx="701">
                  <c:v>Jan 05, 2024</c:v>
                </c:pt>
                <c:pt idx="702">
                  <c:v>Jan 04, 2024</c:v>
                </c:pt>
                <c:pt idx="703">
                  <c:v>Jan 03, 2024</c:v>
                </c:pt>
                <c:pt idx="704">
                  <c:v>Jan 02, 2024</c:v>
                </c:pt>
                <c:pt idx="705">
                  <c:v>Dec 29, 2023</c:v>
                </c:pt>
                <c:pt idx="706">
                  <c:v>Dec 28, 2023</c:v>
                </c:pt>
                <c:pt idx="707">
                  <c:v>Dec 27, 2023</c:v>
                </c:pt>
                <c:pt idx="708">
                  <c:v>Dec 26, 2023</c:v>
                </c:pt>
                <c:pt idx="709">
                  <c:v>Dec 22, 2023</c:v>
                </c:pt>
                <c:pt idx="710">
                  <c:v>Dec 21, 2023</c:v>
                </c:pt>
                <c:pt idx="711">
                  <c:v>Dec 20, 2023</c:v>
                </c:pt>
                <c:pt idx="712">
                  <c:v>Dec 19, 2023</c:v>
                </c:pt>
                <c:pt idx="713">
                  <c:v>Dec 18, 2023</c:v>
                </c:pt>
                <c:pt idx="714">
                  <c:v>Dec 15, 2023</c:v>
                </c:pt>
                <c:pt idx="715">
                  <c:v>Dec 14, 2023</c:v>
                </c:pt>
                <c:pt idx="716">
                  <c:v>Dec 13, 2023</c:v>
                </c:pt>
                <c:pt idx="717">
                  <c:v>Dec 12, 2023</c:v>
                </c:pt>
                <c:pt idx="718">
                  <c:v>Dec 11, 2023</c:v>
                </c:pt>
                <c:pt idx="719">
                  <c:v>Dec 08, 2023</c:v>
                </c:pt>
                <c:pt idx="720">
                  <c:v>Dec 07, 2023</c:v>
                </c:pt>
                <c:pt idx="721">
                  <c:v>Dec 06, 2023</c:v>
                </c:pt>
                <c:pt idx="722">
                  <c:v>Dec 05, 2023</c:v>
                </c:pt>
                <c:pt idx="723">
                  <c:v>Dec 04, 2023</c:v>
                </c:pt>
                <c:pt idx="724">
                  <c:v>Dec 01, 2023</c:v>
                </c:pt>
                <c:pt idx="725">
                  <c:v>Nov 30, 2023</c:v>
                </c:pt>
                <c:pt idx="726">
                  <c:v>Nov 29, 2023</c:v>
                </c:pt>
                <c:pt idx="727">
                  <c:v>Nov 28, 2023</c:v>
                </c:pt>
                <c:pt idx="728">
                  <c:v>Nov 27, 2023</c:v>
                </c:pt>
                <c:pt idx="729">
                  <c:v>Nov 24, 2023</c:v>
                </c:pt>
                <c:pt idx="730">
                  <c:v>Nov 22, 2023</c:v>
                </c:pt>
                <c:pt idx="731">
                  <c:v>Nov 21, 2023</c:v>
                </c:pt>
                <c:pt idx="732">
                  <c:v>Nov 20, 2023</c:v>
                </c:pt>
                <c:pt idx="733">
                  <c:v>Nov 17, 2023</c:v>
                </c:pt>
                <c:pt idx="734">
                  <c:v>Nov 16, 2023</c:v>
                </c:pt>
                <c:pt idx="735">
                  <c:v>Nov 15, 2023</c:v>
                </c:pt>
                <c:pt idx="736">
                  <c:v>Nov 14, 2023</c:v>
                </c:pt>
                <c:pt idx="737">
                  <c:v>Nov 13, 2023</c:v>
                </c:pt>
                <c:pt idx="738">
                  <c:v>Nov 10, 2023</c:v>
                </c:pt>
                <c:pt idx="739">
                  <c:v>Nov 09, 2023</c:v>
                </c:pt>
                <c:pt idx="740">
                  <c:v>Nov 08, 2023</c:v>
                </c:pt>
                <c:pt idx="741">
                  <c:v>Nov 07, 2023</c:v>
                </c:pt>
                <c:pt idx="742">
                  <c:v>Nov 06, 2023</c:v>
                </c:pt>
                <c:pt idx="743">
                  <c:v>Nov 03, 2023</c:v>
                </c:pt>
                <c:pt idx="744">
                  <c:v>Nov 02, 2023</c:v>
                </c:pt>
                <c:pt idx="745">
                  <c:v>Nov 01, 2023</c:v>
                </c:pt>
                <c:pt idx="746">
                  <c:v>Oct 31, 2023</c:v>
                </c:pt>
                <c:pt idx="747">
                  <c:v>Oct 30, 2023</c:v>
                </c:pt>
                <c:pt idx="748">
                  <c:v>Oct 27, 2023</c:v>
                </c:pt>
                <c:pt idx="749">
                  <c:v>Oct 26, 2023</c:v>
                </c:pt>
                <c:pt idx="750">
                  <c:v>Oct 25, 2023</c:v>
                </c:pt>
                <c:pt idx="751">
                  <c:v>Oct 24, 2023</c:v>
                </c:pt>
                <c:pt idx="752">
                  <c:v>Oct 23, 2023</c:v>
                </c:pt>
                <c:pt idx="753">
                  <c:v>Oct 20, 2023</c:v>
                </c:pt>
                <c:pt idx="754">
                  <c:v>Oct 19, 2023</c:v>
                </c:pt>
                <c:pt idx="755">
                  <c:v>Oct 18, 2023</c:v>
                </c:pt>
                <c:pt idx="756">
                  <c:v>Oct 17, 2023</c:v>
                </c:pt>
                <c:pt idx="757">
                  <c:v>Oct 16, 2023</c:v>
                </c:pt>
                <c:pt idx="758">
                  <c:v>Oct 13, 2023</c:v>
                </c:pt>
                <c:pt idx="759">
                  <c:v>Oct 12, 2023</c:v>
                </c:pt>
                <c:pt idx="760">
                  <c:v>Oct 11, 2023</c:v>
                </c:pt>
                <c:pt idx="761">
                  <c:v>Oct 10, 2023</c:v>
                </c:pt>
                <c:pt idx="762">
                  <c:v>Oct 09, 2023</c:v>
                </c:pt>
                <c:pt idx="763">
                  <c:v>Oct 06, 2023</c:v>
                </c:pt>
                <c:pt idx="764">
                  <c:v>Oct 05, 2023</c:v>
                </c:pt>
                <c:pt idx="765">
                  <c:v>Oct 04, 2023</c:v>
                </c:pt>
                <c:pt idx="766">
                  <c:v>Oct 03, 2023</c:v>
                </c:pt>
                <c:pt idx="767">
                  <c:v>Oct 02, 2023</c:v>
                </c:pt>
                <c:pt idx="768">
                  <c:v>Sep 29, 2023</c:v>
                </c:pt>
                <c:pt idx="769">
                  <c:v>Sep 28, 2023</c:v>
                </c:pt>
                <c:pt idx="770">
                  <c:v>Sep 27, 2023</c:v>
                </c:pt>
                <c:pt idx="771">
                  <c:v>Sep 26, 2023</c:v>
                </c:pt>
                <c:pt idx="772">
                  <c:v>Sep 25, 2023</c:v>
                </c:pt>
                <c:pt idx="773">
                  <c:v>Sep 22, 2023</c:v>
                </c:pt>
                <c:pt idx="774">
                  <c:v>Sep 21, 2023</c:v>
                </c:pt>
                <c:pt idx="775">
                  <c:v>Sep 20, 2023</c:v>
                </c:pt>
                <c:pt idx="776">
                  <c:v>Sep 19, 2023</c:v>
                </c:pt>
                <c:pt idx="777">
                  <c:v>Sep 18, 2023</c:v>
                </c:pt>
                <c:pt idx="778">
                  <c:v>Sep 15, 2023</c:v>
                </c:pt>
                <c:pt idx="779">
                  <c:v>Sep 14, 2023</c:v>
                </c:pt>
                <c:pt idx="780">
                  <c:v>Sep 13, 2023</c:v>
                </c:pt>
                <c:pt idx="781">
                  <c:v>Sep 12, 2023</c:v>
                </c:pt>
                <c:pt idx="782">
                  <c:v>Sep 11, 2023</c:v>
                </c:pt>
                <c:pt idx="783">
                  <c:v>Sep 08, 2023</c:v>
                </c:pt>
                <c:pt idx="784">
                  <c:v>Sep 07, 2023</c:v>
                </c:pt>
                <c:pt idx="785">
                  <c:v>Sep 06, 2023</c:v>
                </c:pt>
                <c:pt idx="786">
                  <c:v>Sep 05, 2023</c:v>
                </c:pt>
                <c:pt idx="787">
                  <c:v>Sep 01, 2023</c:v>
                </c:pt>
                <c:pt idx="788">
                  <c:v>Aug 31, 2023</c:v>
                </c:pt>
                <c:pt idx="789">
                  <c:v>Aug 30, 2023</c:v>
                </c:pt>
                <c:pt idx="790">
                  <c:v>Aug 29, 2023</c:v>
                </c:pt>
                <c:pt idx="791">
                  <c:v>Aug 28, 2023</c:v>
                </c:pt>
                <c:pt idx="792">
                  <c:v>Aug 25, 2023</c:v>
                </c:pt>
                <c:pt idx="793">
                  <c:v>Aug 24, 2023</c:v>
                </c:pt>
                <c:pt idx="794">
                  <c:v>Aug 23, 2023</c:v>
                </c:pt>
                <c:pt idx="795">
                  <c:v>Aug 22, 2023</c:v>
                </c:pt>
                <c:pt idx="796">
                  <c:v>Aug 21, 2023</c:v>
                </c:pt>
                <c:pt idx="797">
                  <c:v>Aug 18, 2023</c:v>
                </c:pt>
                <c:pt idx="798">
                  <c:v>Aug 17, 2023</c:v>
                </c:pt>
                <c:pt idx="799">
                  <c:v>Aug 16, 2023</c:v>
                </c:pt>
                <c:pt idx="800">
                  <c:v>Aug 15, 2023</c:v>
                </c:pt>
                <c:pt idx="801">
                  <c:v>Aug 14, 2023</c:v>
                </c:pt>
                <c:pt idx="802">
                  <c:v>Aug 11, 2023</c:v>
                </c:pt>
                <c:pt idx="803">
                  <c:v>Aug 10, 2023</c:v>
                </c:pt>
                <c:pt idx="804">
                  <c:v>Aug 09, 2023</c:v>
                </c:pt>
                <c:pt idx="805">
                  <c:v>Aug 08, 2023</c:v>
                </c:pt>
                <c:pt idx="806">
                  <c:v>Aug 07, 2023</c:v>
                </c:pt>
                <c:pt idx="807">
                  <c:v>Aug 04, 2023</c:v>
                </c:pt>
                <c:pt idx="808">
                  <c:v>Aug 03, 2023</c:v>
                </c:pt>
                <c:pt idx="809">
                  <c:v>Aug 02, 2023</c:v>
                </c:pt>
                <c:pt idx="810">
                  <c:v>Aug 01, 2023</c:v>
                </c:pt>
                <c:pt idx="811">
                  <c:v>Jul 31, 2023</c:v>
                </c:pt>
                <c:pt idx="812">
                  <c:v>Jul 28, 2023</c:v>
                </c:pt>
                <c:pt idx="813">
                  <c:v>Jul 27, 2023</c:v>
                </c:pt>
                <c:pt idx="814">
                  <c:v>Jul 26, 2023</c:v>
                </c:pt>
                <c:pt idx="815">
                  <c:v>Jul 25, 2023</c:v>
                </c:pt>
                <c:pt idx="816">
                  <c:v>Jul 24, 2023</c:v>
                </c:pt>
                <c:pt idx="817">
                  <c:v>Jul 21, 2023</c:v>
                </c:pt>
                <c:pt idx="818">
                  <c:v>Jul 20, 2023</c:v>
                </c:pt>
                <c:pt idx="819">
                  <c:v>Jul 19, 2023</c:v>
                </c:pt>
                <c:pt idx="820">
                  <c:v>Jul 18, 2023</c:v>
                </c:pt>
                <c:pt idx="821">
                  <c:v>Jul 17, 2023</c:v>
                </c:pt>
                <c:pt idx="822">
                  <c:v>Jul 14, 2023</c:v>
                </c:pt>
                <c:pt idx="823">
                  <c:v>Jul 13, 2023</c:v>
                </c:pt>
                <c:pt idx="824">
                  <c:v>Jul 12, 2023</c:v>
                </c:pt>
                <c:pt idx="825">
                  <c:v>Jul 11, 2023</c:v>
                </c:pt>
                <c:pt idx="826">
                  <c:v>Jul 10, 2023</c:v>
                </c:pt>
                <c:pt idx="827">
                  <c:v>Jul 07, 2023</c:v>
                </c:pt>
                <c:pt idx="828">
                  <c:v>Jul 06, 2023</c:v>
                </c:pt>
                <c:pt idx="829">
                  <c:v>Jul 05, 2023</c:v>
                </c:pt>
                <c:pt idx="830">
                  <c:v>Jul 03, 2023</c:v>
                </c:pt>
                <c:pt idx="831">
                  <c:v>Jun 30, 2023</c:v>
                </c:pt>
                <c:pt idx="832">
                  <c:v>Jun 29, 2023</c:v>
                </c:pt>
                <c:pt idx="833">
                  <c:v>Jun 28, 2023</c:v>
                </c:pt>
                <c:pt idx="834">
                  <c:v>Jun 27, 2023</c:v>
                </c:pt>
                <c:pt idx="835">
                  <c:v>Jun 26, 2023</c:v>
                </c:pt>
                <c:pt idx="836">
                  <c:v>Jun 23, 2023</c:v>
                </c:pt>
                <c:pt idx="837">
                  <c:v>Jun 22, 2023</c:v>
                </c:pt>
                <c:pt idx="838">
                  <c:v>Jun 21, 2023</c:v>
                </c:pt>
                <c:pt idx="839">
                  <c:v>Jun 20, 2023</c:v>
                </c:pt>
                <c:pt idx="840">
                  <c:v>Jun 16, 2023</c:v>
                </c:pt>
                <c:pt idx="841">
                  <c:v>Jun 15, 2023</c:v>
                </c:pt>
                <c:pt idx="842">
                  <c:v>Jun 14, 2023</c:v>
                </c:pt>
                <c:pt idx="843">
                  <c:v>Jun 13, 2023</c:v>
                </c:pt>
                <c:pt idx="844">
                  <c:v>Jun 12, 2023</c:v>
                </c:pt>
                <c:pt idx="845">
                  <c:v>Jun 09, 2023</c:v>
                </c:pt>
                <c:pt idx="846">
                  <c:v>Jun 08, 2023</c:v>
                </c:pt>
                <c:pt idx="847">
                  <c:v>Jun 07, 2023</c:v>
                </c:pt>
                <c:pt idx="848">
                  <c:v>Jun 06, 2023</c:v>
                </c:pt>
                <c:pt idx="849">
                  <c:v>Jun 05, 2023</c:v>
                </c:pt>
                <c:pt idx="850">
                  <c:v>Jun 02, 2023</c:v>
                </c:pt>
                <c:pt idx="851">
                  <c:v>Jun 01, 2023</c:v>
                </c:pt>
                <c:pt idx="852">
                  <c:v>May 31, 2023</c:v>
                </c:pt>
                <c:pt idx="853">
                  <c:v>May 30, 2023</c:v>
                </c:pt>
                <c:pt idx="854">
                  <c:v>May 26, 2023</c:v>
                </c:pt>
                <c:pt idx="855">
                  <c:v>May 25, 2023</c:v>
                </c:pt>
                <c:pt idx="856">
                  <c:v>May 24, 2023</c:v>
                </c:pt>
                <c:pt idx="857">
                  <c:v>May 23, 2023</c:v>
                </c:pt>
                <c:pt idx="858">
                  <c:v>May 22, 2023</c:v>
                </c:pt>
                <c:pt idx="859">
                  <c:v>May 19, 2023</c:v>
                </c:pt>
                <c:pt idx="860">
                  <c:v>May 18, 2023</c:v>
                </c:pt>
                <c:pt idx="861">
                  <c:v>May 17, 2023</c:v>
                </c:pt>
                <c:pt idx="862">
                  <c:v>May 16, 2023</c:v>
                </c:pt>
                <c:pt idx="863">
                  <c:v>May 15, 2023</c:v>
                </c:pt>
                <c:pt idx="864">
                  <c:v>May 12, 2023</c:v>
                </c:pt>
                <c:pt idx="865">
                  <c:v>May 11, 2023</c:v>
                </c:pt>
                <c:pt idx="866">
                  <c:v>May 10, 2023</c:v>
                </c:pt>
                <c:pt idx="867">
                  <c:v>May 09, 2023</c:v>
                </c:pt>
                <c:pt idx="868">
                  <c:v>May 08, 2023</c:v>
                </c:pt>
                <c:pt idx="869">
                  <c:v>May 05, 2023</c:v>
                </c:pt>
                <c:pt idx="870">
                  <c:v>May 04, 2023</c:v>
                </c:pt>
                <c:pt idx="871">
                  <c:v>May 03, 2023</c:v>
                </c:pt>
                <c:pt idx="872">
                  <c:v>May 02, 2023</c:v>
                </c:pt>
                <c:pt idx="873">
                  <c:v>May 01, 2023</c:v>
                </c:pt>
                <c:pt idx="874">
                  <c:v>Apr 28, 2023</c:v>
                </c:pt>
                <c:pt idx="875">
                  <c:v>Apr 27, 2023</c:v>
                </c:pt>
                <c:pt idx="876">
                  <c:v>Apr 26, 2023</c:v>
                </c:pt>
                <c:pt idx="877">
                  <c:v>Apr 25, 2023</c:v>
                </c:pt>
                <c:pt idx="878">
                  <c:v>Apr 24, 2023</c:v>
                </c:pt>
                <c:pt idx="879">
                  <c:v>Apr 21, 2023</c:v>
                </c:pt>
                <c:pt idx="880">
                  <c:v>Apr 20, 2023</c:v>
                </c:pt>
                <c:pt idx="881">
                  <c:v>Apr 19, 2023</c:v>
                </c:pt>
                <c:pt idx="882">
                  <c:v>Apr 18, 2023</c:v>
                </c:pt>
                <c:pt idx="883">
                  <c:v>Apr 17, 2023</c:v>
                </c:pt>
                <c:pt idx="884">
                  <c:v>Apr 14, 2023</c:v>
                </c:pt>
                <c:pt idx="885">
                  <c:v>Apr 13, 2023</c:v>
                </c:pt>
                <c:pt idx="886">
                  <c:v>Apr 12, 2023</c:v>
                </c:pt>
                <c:pt idx="887">
                  <c:v>Apr 11, 2023</c:v>
                </c:pt>
                <c:pt idx="888">
                  <c:v>Apr 10, 2023</c:v>
                </c:pt>
                <c:pt idx="889">
                  <c:v>Apr 06, 2023</c:v>
                </c:pt>
                <c:pt idx="890">
                  <c:v>Apr 05, 2023</c:v>
                </c:pt>
                <c:pt idx="891">
                  <c:v>Apr 04, 2023</c:v>
                </c:pt>
                <c:pt idx="892">
                  <c:v>Apr 03, 2023</c:v>
                </c:pt>
                <c:pt idx="893">
                  <c:v>Mar 31, 2023</c:v>
                </c:pt>
                <c:pt idx="894">
                  <c:v>Mar 30, 2023</c:v>
                </c:pt>
                <c:pt idx="895">
                  <c:v>Mar 29, 2023</c:v>
                </c:pt>
                <c:pt idx="896">
                  <c:v>Mar 28, 2023</c:v>
                </c:pt>
                <c:pt idx="897">
                  <c:v>Mar 27, 2023</c:v>
                </c:pt>
                <c:pt idx="898">
                  <c:v>Mar 24, 2023</c:v>
                </c:pt>
                <c:pt idx="899">
                  <c:v>Mar 23, 2023</c:v>
                </c:pt>
                <c:pt idx="900">
                  <c:v>Mar 22, 2023</c:v>
                </c:pt>
                <c:pt idx="901">
                  <c:v>Mar 21, 2023</c:v>
                </c:pt>
                <c:pt idx="902">
                  <c:v>Mar 20, 2023</c:v>
                </c:pt>
                <c:pt idx="903">
                  <c:v>Mar 17, 2023</c:v>
                </c:pt>
                <c:pt idx="904">
                  <c:v>Mar 16, 2023</c:v>
                </c:pt>
                <c:pt idx="905">
                  <c:v>Mar 15, 2023</c:v>
                </c:pt>
                <c:pt idx="906">
                  <c:v>Mar 14, 2023</c:v>
                </c:pt>
                <c:pt idx="907">
                  <c:v>Mar 13, 2023</c:v>
                </c:pt>
                <c:pt idx="908">
                  <c:v>Mar 10, 2023</c:v>
                </c:pt>
                <c:pt idx="909">
                  <c:v>Mar 09, 2023</c:v>
                </c:pt>
                <c:pt idx="910">
                  <c:v>Mar 08, 2023</c:v>
                </c:pt>
                <c:pt idx="911">
                  <c:v>Mar 07, 2023</c:v>
                </c:pt>
                <c:pt idx="912">
                  <c:v>Mar 06, 2023</c:v>
                </c:pt>
                <c:pt idx="913">
                  <c:v>Mar 03, 2023</c:v>
                </c:pt>
                <c:pt idx="914">
                  <c:v>Mar 02, 2023</c:v>
                </c:pt>
                <c:pt idx="915">
                  <c:v>Mar 01, 2023</c:v>
                </c:pt>
                <c:pt idx="916">
                  <c:v>Feb 28, 2023</c:v>
                </c:pt>
                <c:pt idx="917">
                  <c:v>Feb 27, 2023</c:v>
                </c:pt>
                <c:pt idx="918">
                  <c:v>Feb 24, 2023</c:v>
                </c:pt>
                <c:pt idx="919">
                  <c:v>Feb 23, 2023</c:v>
                </c:pt>
                <c:pt idx="920">
                  <c:v>Feb 22, 2023</c:v>
                </c:pt>
                <c:pt idx="921">
                  <c:v>Feb 21, 2023</c:v>
                </c:pt>
                <c:pt idx="922">
                  <c:v>Feb 17, 2023</c:v>
                </c:pt>
                <c:pt idx="923">
                  <c:v>Feb 16, 2023</c:v>
                </c:pt>
                <c:pt idx="924">
                  <c:v>Feb 15, 2023</c:v>
                </c:pt>
                <c:pt idx="925">
                  <c:v>Feb 14, 2023</c:v>
                </c:pt>
                <c:pt idx="926">
                  <c:v>Feb 13, 2023</c:v>
                </c:pt>
                <c:pt idx="927">
                  <c:v>Feb 10, 2023</c:v>
                </c:pt>
                <c:pt idx="928">
                  <c:v>Feb 09, 2023</c:v>
                </c:pt>
                <c:pt idx="929">
                  <c:v>Feb 08, 2023</c:v>
                </c:pt>
                <c:pt idx="930">
                  <c:v>Feb 07, 2023</c:v>
                </c:pt>
                <c:pt idx="931">
                  <c:v>Feb 06, 2023</c:v>
                </c:pt>
                <c:pt idx="932">
                  <c:v>Feb 03, 2023</c:v>
                </c:pt>
                <c:pt idx="933">
                  <c:v>Feb 02, 2023</c:v>
                </c:pt>
                <c:pt idx="934">
                  <c:v>Feb 01, 2023</c:v>
                </c:pt>
                <c:pt idx="935">
                  <c:v>Jan 31, 2023</c:v>
                </c:pt>
                <c:pt idx="936">
                  <c:v>Jan 30, 2023</c:v>
                </c:pt>
                <c:pt idx="937">
                  <c:v>Jan 27, 2023</c:v>
                </c:pt>
                <c:pt idx="938">
                  <c:v>Jan 26, 2023</c:v>
                </c:pt>
                <c:pt idx="939">
                  <c:v>Jan 25, 2023</c:v>
                </c:pt>
                <c:pt idx="940">
                  <c:v>Jan 24, 2023</c:v>
                </c:pt>
                <c:pt idx="941">
                  <c:v>Jan 23, 2023</c:v>
                </c:pt>
                <c:pt idx="942">
                  <c:v>Jan 20, 2023</c:v>
                </c:pt>
                <c:pt idx="943">
                  <c:v>Jan 19, 2023</c:v>
                </c:pt>
                <c:pt idx="944">
                  <c:v>Jan 18, 2023</c:v>
                </c:pt>
                <c:pt idx="945">
                  <c:v>Jan 17, 2023</c:v>
                </c:pt>
                <c:pt idx="946">
                  <c:v>Jan 13, 2023</c:v>
                </c:pt>
                <c:pt idx="947">
                  <c:v>Jan 12, 2023</c:v>
                </c:pt>
                <c:pt idx="948">
                  <c:v>Jan 11, 2023</c:v>
                </c:pt>
                <c:pt idx="949">
                  <c:v>Jan 10, 2023</c:v>
                </c:pt>
                <c:pt idx="950">
                  <c:v>Jan 09, 2023</c:v>
                </c:pt>
                <c:pt idx="951">
                  <c:v>Jan 06, 2023</c:v>
                </c:pt>
                <c:pt idx="952">
                  <c:v>Jan 05, 2023</c:v>
                </c:pt>
                <c:pt idx="953">
                  <c:v>Jan 04, 2023</c:v>
                </c:pt>
                <c:pt idx="954">
                  <c:v>Jan 03, 2023</c:v>
                </c:pt>
                <c:pt idx="955">
                  <c:v>Dec 30, 2022</c:v>
                </c:pt>
                <c:pt idx="956">
                  <c:v>Dec 29, 2022</c:v>
                </c:pt>
                <c:pt idx="957">
                  <c:v>Dec 28, 2022</c:v>
                </c:pt>
                <c:pt idx="958">
                  <c:v>Dec 27, 2022</c:v>
                </c:pt>
                <c:pt idx="959">
                  <c:v>Dec 23, 2022</c:v>
                </c:pt>
                <c:pt idx="960">
                  <c:v>Dec 22, 2022</c:v>
                </c:pt>
                <c:pt idx="961">
                  <c:v>Dec 21, 2022</c:v>
                </c:pt>
                <c:pt idx="962">
                  <c:v>Dec 20, 2022</c:v>
                </c:pt>
                <c:pt idx="963">
                  <c:v>Dec 19, 2022</c:v>
                </c:pt>
                <c:pt idx="964">
                  <c:v>Dec 16, 2022</c:v>
                </c:pt>
                <c:pt idx="965">
                  <c:v>Dec 15, 2022</c:v>
                </c:pt>
                <c:pt idx="966">
                  <c:v>Dec 14, 2022</c:v>
                </c:pt>
                <c:pt idx="967">
                  <c:v>Dec 13, 2022</c:v>
                </c:pt>
                <c:pt idx="968">
                  <c:v>Dec 12, 2022</c:v>
                </c:pt>
                <c:pt idx="969">
                  <c:v>Dec 09, 2022</c:v>
                </c:pt>
                <c:pt idx="970">
                  <c:v>Dec 08, 2022</c:v>
                </c:pt>
                <c:pt idx="971">
                  <c:v>Dec 07, 2022</c:v>
                </c:pt>
                <c:pt idx="972">
                  <c:v>Dec 06, 2022</c:v>
                </c:pt>
                <c:pt idx="973">
                  <c:v>Dec 05, 2022</c:v>
                </c:pt>
                <c:pt idx="974">
                  <c:v>Dec 02, 2022</c:v>
                </c:pt>
                <c:pt idx="975">
                  <c:v>Dec 01, 2022</c:v>
                </c:pt>
                <c:pt idx="976">
                  <c:v>Nov 30, 2022</c:v>
                </c:pt>
                <c:pt idx="977">
                  <c:v>Nov 29, 2022</c:v>
                </c:pt>
                <c:pt idx="978">
                  <c:v>Nov 28, 2022</c:v>
                </c:pt>
                <c:pt idx="979">
                  <c:v>Nov 25, 2022</c:v>
                </c:pt>
                <c:pt idx="980">
                  <c:v>Nov 23, 2022</c:v>
                </c:pt>
                <c:pt idx="981">
                  <c:v>Nov 22, 2022</c:v>
                </c:pt>
                <c:pt idx="982">
                  <c:v>Nov 21, 2022</c:v>
                </c:pt>
                <c:pt idx="983">
                  <c:v>Nov 18, 2022</c:v>
                </c:pt>
                <c:pt idx="984">
                  <c:v>Nov 17, 2022</c:v>
                </c:pt>
                <c:pt idx="985">
                  <c:v>Nov 16, 2022</c:v>
                </c:pt>
                <c:pt idx="986">
                  <c:v>Nov 15, 2022</c:v>
                </c:pt>
                <c:pt idx="987">
                  <c:v>Nov 14, 2022</c:v>
                </c:pt>
                <c:pt idx="988">
                  <c:v>Nov 11, 2022</c:v>
                </c:pt>
                <c:pt idx="989">
                  <c:v>Nov 10, 2022</c:v>
                </c:pt>
                <c:pt idx="990">
                  <c:v>Nov 09, 2022</c:v>
                </c:pt>
                <c:pt idx="991">
                  <c:v>Nov 08, 2022</c:v>
                </c:pt>
                <c:pt idx="992">
                  <c:v>Nov 07, 2022</c:v>
                </c:pt>
                <c:pt idx="993">
                  <c:v>Nov 04, 2022</c:v>
                </c:pt>
                <c:pt idx="994">
                  <c:v>Nov 03, 2022</c:v>
                </c:pt>
                <c:pt idx="995">
                  <c:v>Nov 02, 2022</c:v>
                </c:pt>
                <c:pt idx="996">
                  <c:v>Nov 01, 2022</c:v>
                </c:pt>
                <c:pt idx="997">
                  <c:v>Oct 31, 2022</c:v>
                </c:pt>
                <c:pt idx="998">
                  <c:v>Oct 28, 2022</c:v>
                </c:pt>
                <c:pt idx="999">
                  <c:v>Oct 27, 2022</c:v>
                </c:pt>
                <c:pt idx="1000">
                  <c:v>Oct 26, 2022</c:v>
                </c:pt>
                <c:pt idx="1001">
                  <c:v>Oct 25, 2022</c:v>
                </c:pt>
                <c:pt idx="1002">
                  <c:v>Oct 24, 2022</c:v>
                </c:pt>
                <c:pt idx="1003">
                  <c:v>Oct 21, 2022</c:v>
                </c:pt>
                <c:pt idx="1004">
                  <c:v>Oct 20, 2022</c:v>
                </c:pt>
                <c:pt idx="1005">
                  <c:v>Oct 19, 2022</c:v>
                </c:pt>
                <c:pt idx="1006">
                  <c:v>Oct 18, 2022</c:v>
                </c:pt>
                <c:pt idx="1007">
                  <c:v>Oct 17, 2022</c:v>
                </c:pt>
                <c:pt idx="1008">
                  <c:v>Oct 14, 2022</c:v>
                </c:pt>
                <c:pt idx="1009">
                  <c:v>Oct 13, 2022</c:v>
                </c:pt>
                <c:pt idx="1010">
                  <c:v>Oct 12, 2022</c:v>
                </c:pt>
                <c:pt idx="1011">
                  <c:v>Oct 11, 2022</c:v>
                </c:pt>
                <c:pt idx="1012">
                  <c:v>Oct 10, 2022</c:v>
                </c:pt>
                <c:pt idx="1013">
                  <c:v>Oct 07, 2022</c:v>
                </c:pt>
                <c:pt idx="1014">
                  <c:v>Oct 06, 2022</c:v>
                </c:pt>
                <c:pt idx="1015">
                  <c:v>Oct 05, 2022</c:v>
                </c:pt>
                <c:pt idx="1016">
                  <c:v>Oct 04, 2022</c:v>
                </c:pt>
                <c:pt idx="1017">
                  <c:v>Oct 03, 2022</c:v>
                </c:pt>
                <c:pt idx="1018">
                  <c:v>Sep 30, 2022</c:v>
                </c:pt>
                <c:pt idx="1019">
                  <c:v>Sep 29, 2022</c:v>
                </c:pt>
                <c:pt idx="1020">
                  <c:v>Sep 28, 2022</c:v>
                </c:pt>
                <c:pt idx="1021">
                  <c:v>Sep 27, 2022</c:v>
                </c:pt>
                <c:pt idx="1022">
                  <c:v>Sep 26, 2022</c:v>
                </c:pt>
                <c:pt idx="1023">
                  <c:v>Sep 23, 2022</c:v>
                </c:pt>
                <c:pt idx="1024">
                  <c:v>Sep 22, 2022</c:v>
                </c:pt>
                <c:pt idx="1025">
                  <c:v>Sep 21, 2022</c:v>
                </c:pt>
                <c:pt idx="1026">
                  <c:v>Sep 20, 2022</c:v>
                </c:pt>
                <c:pt idx="1027">
                  <c:v>Sep 19, 2022</c:v>
                </c:pt>
                <c:pt idx="1028">
                  <c:v>Sep 16, 2022</c:v>
                </c:pt>
                <c:pt idx="1029">
                  <c:v>Sep 15, 2022</c:v>
                </c:pt>
                <c:pt idx="1030">
                  <c:v>Sep 14, 2022</c:v>
                </c:pt>
                <c:pt idx="1031">
                  <c:v>Sep 13, 2022</c:v>
                </c:pt>
                <c:pt idx="1032">
                  <c:v>Sep 12, 2022</c:v>
                </c:pt>
                <c:pt idx="1033">
                  <c:v>Sep 09, 2022</c:v>
                </c:pt>
                <c:pt idx="1034">
                  <c:v>Sep 08, 2022</c:v>
                </c:pt>
                <c:pt idx="1035">
                  <c:v>Sep 07, 2022</c:v>
                </c:pt>
                <c:pt idx="1036">
                  <c:v>Sep 06, 2022</c:v>
                </c:pt>
                <c:pt idx="1037">
                  <c:v>Sep 02, 2022</c:v>
                </c:pt>
                <c:pt idx="1038">
                  <c:v>Sep 01, 2022</c:v>
                </c:pt>
                <c:pt idx="1039">
                  <c:v>Aug 31, 2022</c:v>
                </c:pt>
                <c:pt idx="1040">
                  <c:v>Aug 30, 2022</c:v>
                </c:pt>
                <c:pt idx="1041">
                  <c:v>Aug 29, 2022</c:v>
                </c:pt>
                <c:pt idx="1042">
                  <c:v>Aug 26, 2022</c:v>
                </c:pt>
                <c:pt idx="1043">
                  <c:v>Aug 25, 2022</c:v>
                </c:pt>
                <c:pt idx="1044">
                  <c:v>Aug 24, 2022</c:v>
                </c:pt>
                <c:pt idx="1045">
                  <c:v>Aug 23, 2022</c:v>
                </c:pt>
                <c:pt idx="1046">
                  <c:v>Aug 22, 2022</c:v>
                </c:pt>
                <c:pt idx="1047">
                  <c:v>Aug 19, 2022</c:v>
                </c:pt>
                <c:pt idx="1048">
                  <c:v>Aug 18, 2022</c:v>
                </c:pt>
                <c:pt idx="1049">
                  <c:v>Aug 17, 2022</c:v>
                </c:pt>
                <c:pt idx="1050">
                  <c:v>Aug 16, 2022</c:v>
                </c:pt>
                <c:pt idx="1051">
                  <c:v>Aug 15, 2022</c:v>
                </c:pt>
                <c:pt idx="1052">
                  <c:v>Aug 12, 2022</c:v>
                </c:pt>
                <c:pt idx="1053">
                  <c:v>Aug 11, 2022</c:v>
                </c:pt>
                <c:pt idx="1054">
                  <c:v>Aug 10, 2022</c:v>
                </c:pt>
                <c:pt idx="1055">
                  <c:v>Aug 09, 2022</c:v>
                </c:pt>
                <c:pt idx="1056">
                  <c:v>Aug 08, 2022</c:v>
                </c:pt>
                <c:pt idx="1057">
                  <c:v>Aug 05, 2022</c:v>
                </c:pt>
                <c:pt idx="1058">
                  <c:v>Aug 04, 2022</c:v>
                </c:pt>
                <c:pt idx="1059">
                  <c:v>Aug 03, 2022</c:v>
                </c:pt>
                <c:pt idx="1060">
                  <c:v>Aug 02, 2022</c:v>
                </c:pt>
                <c:pt idx="1061">
                  <c:v>Aug 01, 2022</c:v>
                </c:pt>
                <c:pt idx="1062">
                  <c:v>Jul 29, 2022</c:v>
                </c:pt>
                <c:pt idx="1063">
                  <c:v>Jul 28, 2022</c:v>
                </c:pt>
                <c:pt idx="1064">
                  <c:v>Jul 27, 2022</c:v>
                </c:pt>
                <c:pt idx="1065">
                  <c:v>Jul 26, 2022</c:v>
                </c:pt>
                <c:pt idx="1066">
                  <c:v>Jul 25, 2022</c:v>
                </c:pt>
                <c:pt idx="1067">
                  <c:v>Jul 22, 2022</c:v>
                </c:pt>
                <c:pt idx="1068">
                  <c:v>Jul 21, 2022</c:v>
                </c:pt>
                <c:pt idx="1069">
                  <c:v>Jul 20, 2022</c:v>
                </c:pt>
                <c:pt idx="1070">
                  <c:v>Jul 19, 2022</c:v>
                </c:pt>
                <c:pt idx="1071">
                  <c:v>Jul 18, 2022</c:v>
                </c:pt>
                <c:pt idx="1072">
                  <c:v>Jul 15, 2022</c:v>
                </c:pt>
                <c:pt idx="1073">
                  <c:v>Jul 14, 2022</c:v>
                </c:pt>
                <c:pt idx="1074">
                  <c:v>Jul 13, 2022</c:v>
                </c:pt>
                <c:pt idx="1075">
                  <c:v>Jul 12, 2022</c:v>
                </c:pt>
                <c:pt idx="1076">
                  <c:v>Jul 11, 2022</c:v>
                </c:pt>
                <c:pt idx="1077">
                  <c:v>Jul 08, 2022</c:v>
                </c:pt>
                <c:pt idx="1078">
                  <c:v>Jul 07, 2022</c:v>
                </c:pt>
                <c:pt idx="1079">
                  <c:v>Jul 06, 2022</c:v>
                </c:pt>
                <c:pt idx="1080">
                  <c:v>Jul 05, 2022</c:v>
                </c:pt>
                <c:pt idx="1081">
                  <c:v>Jul 01, 2022</c:v>
                </c:pt>
                <c:pt idx="1082">
                  <c:v>Jun 30, 2022</c:v>
                </c:pt>
                <c:pt idx="1083">
                  <c:v>Jun 29, 2022</c:v>
                </c:pt>
                <c:pt idx="1084">
                  <c:v>Jun 28, 2022</c:v>
                </c:pt>
                <c:pt idx="1085">
                  <c:v>Jun 27, 2022</c:v>
                </c:pt>
                <c:pt idx="1086">
                  <c:v>Jun 24, 2022</c:v>
                </c:pt>
                <c:pt idx="1087">
                  <c:v>Jun 23, 2022</c:v>
                </c:pt>
                <c:pt idx="1088">
                  <c:v>Jun 22, 2022</c:v>
                </c:pt>
                <c:pt idx="1089">
                  <c:v>Jun 21, 2022</c:v>
                </c:pt>
                <c:pt idx="1090">
                  <c:v>Jun 17, 2022</c:v>
                </c:pt>
                <c:pt idx="1091">
                  <c:v>Jun 16, 2022</c:v>
                </c:pt>
                <c:pt idx="1092">
                  <c:v>Jun 15, 2022</c:v>
                </c:pt>
                <c:pt idx="1093">
                  <c:v>Jun 14, 2022</c:v>
                </c:pt>
                <c:pt idx="1094">
                  <c:v>Jun 13, 2022</c:v>
                </c:pt>
                <c:pt idx="1095">
                  <c:v>Jun 10, 2022</c:v>
                </c:pt>
                <c:pt idx="1096">
                  <c:v>Jun 09, 2022</c:v>
                </c:pt>
                <c:pt idx="1097">
                  <c:v>Jun 08, 2022</c:v>
                </c:pt>
                <c:pt idx="1098">
                  <c:v>Jun 07, 2022</c:v>
                </c:pt>
                <c:pt idx="1099">
                  <c:v>Jun 06, 2022</c:v>
                </c:pt>
                <c:pt idx="1100">
                  <c:v>Jun 03, 2022</c:v>
                </c:pt>
                <c:pt idx="1101">
                  <c:v>Jun 02, 2022</c:v>
                </c:pt>
                <c:pt idx="1102">
                  <c:v>Jun 01, 2022</c:v>
                </c:pt>
                <c:pt idx="1103">
                  <c:v>May 31, 2022</c:v>
                </c:pt>
                <c:pt idx="1104">
                  <c:v>May 27, 2022</c:v>
                </c:pt>
                <c:pt idx="1105">
                  <c:v>May 26, 2022</c:v>
                </c:pt>
                <c:pt idx="1106">
                  <c:v>May 25, 2022</c:v>
                </c:pt>
                <c:pt idx="1107">
                  <c:v>May 24, 2022</c:v>
                </c:pt>
                <c:pt idx="1108">
                  <c:v>May 23, 2022</c:v>
                </c:pt>
                <c:pt idx="1109">
                  <c:v>May 20, 2022</c:v>
                </c:pt>
                <c:pt idx="1110">
                  <c:v>May 19, 2022</c:v>
                </c:pt>
                <c:pt idx="1111">
                  <c:v>May 18, 2022</c:v>
                </c:pt>
                <c:pt idx="1112">
                  <c:v>May 17, 2022</c:v>
                </c:pt>
                <c:pt idx="1113">
                  <c:v>May 16, 2022</c:v>
                </c:pt>
                <c:pt idx="1114">
                  <c:v>May 13, 2022</c:v>
                </c:pt>
                <c:pt idx="1115">
                  <c:v>May 12, 2022</c:v>
                </c:pt>
                <c:pt idx="1116">
                  <c:v>May 11, 2022</c:v>
                </c:pt>
                <c:pt idx="1117">
                  <c:v>May 10, 2022</c:v>
                </c:pt>
                <c:pt idx="1118">
                  <c:v>May 09, 2022</c:v>
                </c:pt>
                <c:pt idx="1119">
                  <c:v>May 06, 2022</c:v>
                </c:pt>
                <c:pt idx="1120">
                  <c:v>May 05, 2022</c:v>
                </c:pt>
                <c:pt idx="1121">
                  <c:v>May 04, 2022</c:v>
                </c:pt>
                <c:pt idx="1122">
                  <c:v>May 03, 2022</c:v>
                </c:pt>
                <c:pt idx="1123">
                  <c:v>May 02, 2022</c:v>
                </c:pt>
                <c:pt idx="1124">
                  <c:v>Apr 29, 2022</c:v>
                </c:pt>
                <c:pt idx="1125">
                  <c:v>Apr 28, 2022</c:v>
                </c:pt>
                <c:pt idx="1126">
                  <c:v>Apr 27, 2022</c:v>
                </c:pt>
                <c:pt idx="1127">
                  <c:v>Apr 26, 2022</c:v>
                </c:pt>
                <c:pt idx="1128">
                  <c:v>Apr 25, 2022</c:v>
                </c:pt>
                <c:pt idx="1129">
                  <c:v>Apr 22, 2022</c:v>
                </c:pt>
                <c:pt idx="1130">
                  <c:v>Apr 21, 2022</c:v>
                </c:pt>
                <c:pt idx="1131">
                  <c:v>Apr 20, 2022</c:v>
                </c:pt>
                <c:pt idx="1132">
                  <c:v>Apr 19, 2022</c:v>
                </c:pt>
                <c:pt idx="1133">
                  <c:v>Apr 18, 2022</c:v>
                </c:pt>
                <c:pt idx="1134">
                  <c:v>Apr 14, 2022</c:v>
                </c:pt>
                <c:pt idx="1135">
                  <c:v>Apr 13, 2022</c:v>
                </c:pt>
                <c:pt idx="1136">
                  <c:v>Apr 12, 2022</c:v>
                </c:pt>
                <c:pt idx="1137">
                  <c:v>Apr 11, 2022</c:v>
                </c:pt>
                <c:pt idx="1138">
                  <c:v>Apr 08, 2022</c:v>
                </c:pt>
                <c:pt idx="1139">
                  <c:v>Apr 07, 2022</c:v>
                </c:pt>
                <c:pt idx="1140">
                  <c:v>Apr 06, 2022</c:v>
                </c:pt>
                <c:pt idx="1141">
                  <c:v>Apr 05, 2022</c:v>
                </c:pt>
                <c:pt idx="1142">
                  <c:v>Apr 04, 2022</c:v>
                </c:pt>
                <c:pt idx="1143">
                  <c:v>Apr 01, 2022</c:v>
                </c:pt>
                <c:pt idx="1144">
                  <c:v>Mar 31, 2022</c:v>
                </c:pt>
                <c:pt idx="1145">
                  <c:v>Mar 30, 2022</c:v>
                </c:pt>
                <c:pt idx="1146">
                  <c:v>Mar 29, 2022</c:v>
                </c:pt>
                <c:pt idx="1147">
                  <c:v>Mar 28, 2022</c:v>
                </c:pt>
                <c:pt idx="1148">
                  <c:v>Mar 25, 2022</c:v>
                </c:pt>
                <c:pt idx="1149">
                  <c:v>Mar 24, 2022</c:v>
                </c:pt>
                <c:pt idx="1150">
                  <c:v>Mar 23, 2022</c:v>
                </c:pt>
                <c:pt idx="1151">
                  <c:v>Mar 22, 2022</c:v>
                </c:pt>
                <c:pt idx="1152">
                  <c:v>Mar 21, 2022</c:v>
                </c:pt>
                <c:pt idx="1153">
                  <c:v>Mar 18, 2022</c:v>
                </c:pt>
                <c:pt idx="1154">
                  <c:v>Mar 17, 2022</c:v>
                </c:pt>
                <c:pt idx="1155">
                  <c:v>Mar 16, 2022</c:v>
                </c:pt>
                <c:pt idx="1156">
                  <c:v>Mar 15, 2022</c:v>
                </c:pt>
                <c:pt idx="1157">
                  <c:v>Mar 14, 2022</c:v>
                </c:pt>
                <c:pt idx="1158">
                  <c:v>Mar 11, 2022</c:v>
                </c:pt>
                <c:pt idx="1159">
                  <c:v>Mar 10, 2022</c:v>
                </c:pt>
                <c:pt idx="1160">
                  <c:v>Mar 09, 2022</c:v>
                </c:pt>
                <c:pt idx="1161">
                  <c:v>Mar 08, 2022</c:v>
                </c:pt>
                <c:pt idx="1162">
                  <c:v>Mar 07, 2022</c:v>
                </c:pt>
                <c:pt idx="1163">
                  <c:v>Mar 04, 2022</c:v>
                </c:pt>
                <c:pt idx="1164">
                  <c:v>Mar 03, 2022</c:v>
                </c:pt>
                <c:pt idx="1165">
                  <c:v>Mar 02, 2022</c:v>
                </c:pt>
                <c:pt idx="1166">
                  <c:v>Mar 01, 2022</c:v>
                </c:pt>
                <c:pt idx="1167">
                  <c:v>Feb 28, 2022</c:v>
                </c:pt>
                <c:pt idx="1168">
                  <c:v>Feb 25, 2022</c:v>
                </c:pt>
                <c:pt idx="1169">
                  <c:v>Feb 24, 2022</c:v>
                </c:pt>
                <c:pt idx="1170">
                  <c:v>Feb 23, 2022</c:v>
                </c:pt>
                <c:pt idx="1171">
                  <c:v>Feb 22, 2022</c:v>
                </c:pt>
                <c:pt idx="1172">
                  <c:v>Feb 18, 2022</c:v>
                </c:pt>
                <c:pt idx="1173">
                  <c:v>Feb 17, 2022</c:v>
                </c:pt>
                <c:pt idx="1174">
                  <c:v>Feb 16, 2022</c:v>
                </c:pt>
                <c:pt idx="1175">
                  <c:v>Feb 15, 2022</c:v>
                </c:pt>
                <c:pt idx="1176">
                  <c:v>Feb 14, 2022</c:v>
                </c:pt>
                <c:pt idx="1177">
                  <c:v>Feb 11, 2022</c:v>
                </c:pt>
                <c:pt idx="1178">
                  <c:v>Feb 10, 2022</c:v>
                </c:pt>
                <c:pt idx="1179">
                  <c:v>Feb 09, 2022</c:v>
                </c:pt>
                <c:pt idx="1180">
                  <c:v>Feb 08, 2022</c:v>
                </c:pt>
                <c:pt idx="1181">
                  <c:v>Feb 07, 2022</c:v>
                </c:pt>
                <c:pt idx="1182">
                  <c:v>Feb 04, 2022</c:v>
                </c:pt>
                <c:pt idx="1183">
                  <c:v>Feb 03, 2022</c:v>
                </c:pt>
                <c:pt idx="1184">
                  <c:v>Feb 02, 2022</c:v>
                </c:pt>
                <c:pt idx="1185">
                  <c:v>Feb 01, 2022</c:v>
                </c:pt>
                <c:pt idx="1186">
                  <c:v>Jan 31, 2022</c:v>
                </c:pt>
                <c:pt idx="1187">
                  <c:v>Jan 28, 2022</c:v>
                </c:pt>
                <c:pt idx="1188">
                  <c:v>Jan 27, 2022</c:v>
                </c:pt>
                <c:pt idx="1189">
                  <c:v>Jan 26, 2022</c:v>
                </c:pt>
                <c:pt idx="1190">
                  <c:v>Jan 25, 2022</c:v>
                </c:pt>
                <c:pt idx="1191">
                  <c:v>Jan 24, 2022</c:v>
                </c:pt>
                <c:pt idx="1192">
                  <c:v>Jan 21, 2022</c:v>
                </c:pt>
                <c:pt idx="1193">
                  <c:v>Jan 20, 2022</c:v>
                </c:pt>
                <c:pt idx="1194">
                  <c:v>Jan 19, 2022</c:v>
                </c:pt>
                <c:pt idx="1195">
                  <c:v>Jan 18, 2022</c:v>
                </c:pt>
                <c:pt idx="1196">
                  <c:v>Jan 14, 2022</c:v>
                </c:pt>
                <c:pt idx="1197">
                  <c:v>Jan 13, 2022</c:v>
                </c:pt>
                <c:pt idx="1198">
                  <c:v>Jan 12, 2022</c:v>
                </c:pt>
                <c:pt idx="1199">
                  <c:v>Jan 11, 2022</c:v>
                </c:pt>
                <c:pt idx="1200">
                  <c:v>Jan 10, 2022</c:v>
                </c:pt>
                <c:pt idx="1201">
                  <c:v>Jan 07, 2022</c:v>
                </c:pt>
                <c:pt idx="1202">
                  <c:v>Jan 06, 2022</c:v>
                </c:pt>
                <c:pt idx="1203">
                  <c:v>Jan 05, 2022</c:v>
                </c:pt>
                <c:pt idx="1204">
                  <c:v>Jan 04, 2022</c:v>
                </c:pt>
                <c:pt idx="1205">
                  <c:v>Jan 03, 2022</c:v>
                </c:pt>
                <c:pt idx="1206">
                  <c:v>Dec 31, 2021</c:v>
                </c:pt>
                <c:pt idx="1207">
                  <c:v>Dec 30, 2021</c:v>
                </c:pt>
                <c:pt idx="1208">
                  <c:v>Dec 29, 2021</c:v>
                </c:pt>
                <c:pt idx="1209">
                  <c:v>Dec 28, 2021</c:v>
                </c:pt>
                <c:pt idx="1210">
                  <c:v>Dec 27, 2021</c:v>
                </c:pt>
                <c:pt idx="1211">
                  <c:v>Dec 23, 2021</c:v>
                </c:pt>
                <c:pt idx="1212">
                  <c:v>Dec 22, 2021</c:v>
                </c:pt>
                <c:pt idx="1213">
                  <c:v>Dec 21, 2021</c:v>
                </c:pt>
                <c:pt idx="1214">
                  <c:v>Dec 20, 2021</c:v>
                </c:pt>
                <c:pt idx="1215">
                  <c:v>Dec 17, 2021</c:v>
                </c:pt>
                <c:pt idx="1216">
                  <c:v>Dec 16, 2021</c:v>
                </c:pt>
                <c:pt idx="1217">
                  <c:v>Dec 15, 2021</c:v>
                </c:pt>
                <c:pt idx="1218">
                  <c:v>Dec 14, 2021</c:v>
                </c:pt>
                <c:pt idx="1219">
                  <c:v>Dec 13, 2021</c:v>
                </c:pt>
                <c:pt idx="1220">
                  <c:v>Dec 10, 2021</c:v>
                </c:pt>
                <c:pt idx="1221">
                  <c:v>Dec 09, 2021</c:v>
                </c:pt>
                <c:pt idx="1222">
                  <c:v>Dec 08, 2021</c:v>
                </c:pt>
                <c:pt idx="1223">
                  <c:v>Dec 07, 2021</c:v>
                </c:pt>
                <c:pt idx="1224">
                  <c:v>Dec 06, 2021</c:v>
                </c:pt>
                <c:pt idx="1225">
                  <c:v>Dec 03, 2021</c:v>
                </c:pt>
                <c:pt idx="1226">
                  <c:v>Dec 02, 2021</c:v>
                </c:pt>
                <c:pt idx="1227">
                  <c:v>Dec 01, 2021</c:v>
                </c:pt>
                <c:pt idx="1228">
                  <c:v>Nov 30, 2021</c:v>
                </c:pt>
                <c:pt idx="1229">
                  <c:v>Nov 29, 2021</c:v>
                </c:pt>
                <c:pt idx="1230">
                  <c:v>Nov 26, 2021</c:v>
                </c:pt>
                <c:pt idx="1231">
                  <c:v>Nov 24, 2021</c:v>
                </c:pt>
                <c:pt idx="1232">
                  <c:v>Nov 23, 2021</c:v>
                </c:pt>
                <c:pt idx="1233">
                  <c:v>Nov 22, 2021</c:v>
                </c:pt>
                <c:pt idx="1234">
                  <c:v>Nov 19, 2021</c:v>
                </c:pt>
                <c:pt idx="1235">
                  <c:v>Nov 18, 2021</c:v>
                </c:pt>
                <c:pt idx="1236">
                  <c:v>Nov 17, 2021</c:v>
                </c:pt>
                <c:pt idx="1237">
                  <c:v>Nov 16, 2021</c:v>
                </c:pt>
                <c:pt idx="1238">
                  <c:v>Nov 15, 2021</c:v>
                </c:pt>
                <c:pt idx="1239">
                  <c:v>Nov 12, 2021</c:v>
                </c:pt>
                <c:pt idx="1240">
                  <c:v>Nov 11, 2021</c:v>
                </c:pt>
                <c:pt idx="1241">
                  <c:v>Nov 10, 2021</c:v>
                </c:pt>
                <c:pt idx="1242">
                  <c:v>Nov 09, 2021</c:v>
                </c:pt>
                <c:pt idx="1243">
                  <c:v>Nov 08, 2021</c:v>
                </c:pt>
                <c:pt idx="1244">
                  <c:v>Nov 05, 2021</c:v>
                </c:pt>
                <c:pt idx="1245">
                  <c:v>Nov 04, 2021</c:v>
                </c:pt>
                <c:pt idx="1246">
                  <c:v>Nov 03, 2021</c:v>
                </c:pt>
                <c:pt idx="1247">
                  <c:v>Nov 02, 2021</c:v>
                </c:pt>
                <c:pt idx="1248">
                  <c:v>Nov 01, 2021</c:v>
                </c:pt>
                <c:pt idx="1249">
                  <c:v>Oct 29, 2021</c:v>
                </c:pt>
                <c:pt idx="1250">
                  <c:v>Oct 28, 2021</c:v>
                </c:pt>
                <c:pt idx="1251">
                  <c:v>Oct 27, 2021</c:v>
                </c:pt>
                <c:pt idx="1252">
                  <c:v>Oct 26, 2021</c:v>
                </c:pt>
                <c:pt idx="1253">
                  <c:v>Oct 25, 2021</c:v>
                </c:pt>
              </c:strCache>
            </c:strRef>
          </c:cat>
          <c:val>
            <c:numRef>
              <c:f>'Input Sheet'!$N$4:$N$1257</c:f>
              <c:numCache>
                <c:formatCode>General</c:formatCode>
                <c:ptCount val="1254"/>
                <c:pt idx="0">
                  <c:v>13.12</c:v>
                </c:pt>
                <c:pt idx="1">
                  <c:v>12.75</c:v>
                </c:pt>
                <c:pt idx="2">
                  <c:v>12.66</c:v>
                </c:pt>
                <c:pt idx="3">
                  <c:v>12.2</c:v>
                </c:pt>
                <c:pt idx="4">
                  <c:v>12.24</c:v>
                </c:pt>
                <c:pt idx="5">
                  <c:v>12.13</c:v>
                </c:pt>
                <c:pt idx="6">
                  <c:v>11.48</c:v>
                </c:pt>
                <c:pt idx="7">
                  <c:v>11.4</c:v>
                </c:pt>
                <c:pt idx="8">
                  <c:v>10.83</c:v>
                </c:pt>
                <c:pt idx="9">
                  <c:v>10.73</c:v>
                </c:pt>
                <c:pt idx="10">
                  <c:v>10.7</c:v>
                </c:pt>
                <c:pt idx="11">
                  <c:v>10.55</c:v>
                </c:pt>
                <c:pt idx="12">
                  <c:v>10.55</c:v>
                </c:pt>
                <c:pt idx="13">
                  <c:v>10.76</c:v>
                </c:pt>
                <c:pt idx="14">
                  <c:v>11.04</c:v>
                </c:pt>
                <c:pt idx="15">
                  <c:v>11.35</c:v>
                </c:pt>
                <c:pt idx="16">
                  <c:v>10.76</c:v>
                </c:pt>
                <c:pt idx="17">
                  <c:v>10.64</c:v>
                </c:pt>
                <c:pt idx="18">
                  <c:v>10.52</c:v>
                </c:pt>
                <c:pt idx="19">
                  <c:v>10.5</c:v>
                </c:pt>
                <c:pt idx="20">
                  <c:v>10.5</c:v>
                </c:pt>
                <c:pt idx="21">
                  <c:v>10.75</c:v>
                </c:pt>
                <c:pt idx="22">
                  <c:v>10.76</c:v>
                </c:pt>
                <c:pt idx="23">
                  <c:v>10.89</c:v>
                </c:pt>
                <c:pt idx="24">
                  <c:v>10.82</c:v>
                </c:pt>
                <c:pt idx="25">
                  <c:v>11.07</c:v>
                </c:pt>
                <c:pt idx="26">
                  <c:v>11.08</c:v>
                </c:pt>
                <c:pt idx="27">
                  <c:v>11.32</c:v>
                </c:pt>
                <c:pt idx="28">
                  <c:v>11.6</c:v>
                </c:pt>
                <c:pt idx="29">
                  <c:v>11.07</c:v>
                </c:pt>
                <c:pt idx="30">
                  <c:v>10.91</c:v>
                </c:pt>
                <c:pt idx="31">
                  <c:v>10.93</c:v>
                </c:pt>
                <c:pt idx="32">
                  <c:v>11.13</c:v>
                </c:pt>
                <c:pt idx="33">
                  <c:v>11.7</c:v>
                </c:pt>
                <c:pt idx="34">
                  <c:v>12.09</c:v>
                </c:pt>
                <c:pt idx="35">
                  <c:v>11.97</c:v>
                </c:pt>
                <c:pt idx="36">
                  <c:v>12</c:v>
                </c:pt>
                <c:pt idx="37">
                  <c:v>12.06</c:v>
                </c:pt>
                <c:pt idx="38">
                  <c:v>12.05</c:v>
                </c:pt>
                <c:pt idx="39">
                  <c:v>11.9</c:v>
                </c:pt>
                <c:pt idx="40">
                  <c:v>11.69</c:v>
                </c:pt>
                <c:pt idx="41">
                  <c:v>12.03</c:v>
                </c:pt>
                <c:pt idx="42">
                  <c:v>11.82</c:v>
                </c:pt>
                <c:pt idx="43">
                  <c:v>11.94</c:v>
                </c:pt>
                <c:pt idx="44">
                  <c:v>11.83</c:v>
                </c:pt>
                <c:pt idx="45">
                  <c:v>12.03</c:v>
                </c:pt>
                <c:pt idx="46">
                  <c:v>11.83</c:v>
                </c:pt>
                <c:pt idx="47">
                  <c:v>11.62</c:v>
                </c:pt>
                <c:pt idx="48">
                  <c:v>12.09</c:v>
                </c:pt>
                <c:pt idx="49">
                  <c:v>12.41</c:v>
                </c:pt>
                <c:pt idx="50">
                  <c:v>12.28</c:v>
                </c:pt>
                <c:pt idx="51">
                  <c:v>12.6</c:v>
                </c:pt>
                <c:pt idx="52">
                  <c:v>12.56</c:v>
                </c:pt>
                <c:pt idx="53">
                  <c:v>12.53</c:v>
                </c:pt>
                <c:pt idx="54">
                  <c:v>12.36</c:v>
                </c:pt>
                <c:pt idx="55">
                  <c:v>12.48</c:v>
                </c:pt>
                <c:pt idx="56">
                  <c:v>12.6</c:v>
                </c:pt>
                <c:pt idx="57">
                  <c:v>12.25</c:v>
                </c:pt>
                <c:pt idx="58">
                  <c:v>12.03</c:v>
                </c:pt>
                <c:pt idx="59">
                  <c:v>11.95</c:v>
                </c:pt>
                <c:pt idx="60">
                  <c:v>12.6</c:v>
                </c:pt>
                <c:pt idx="61">
                  <c:v>12.35</c:v>
                </c:pt>
                <c:pt idx="62">
                  <c:v>11.7</c:v>
                </c:pt>
                <c:pt idx="63">
                  <c:v>11.11</c:v>
                </c:pt>
                <c:pt idx="64">
                  <c:v>10.67</c:v>
                </c:pt>
                <c:pt idx="65">
                  <c:v>10.93</c:v>
                </c:pt>
                <c:pt idx="66">
                  <c:v>11.16</c:v>
                </c:pt>
                <c:pt idx="67">
                  <c:v>11.31</c:v>
                </c:pt>
                <c:pt idx="68">
                  <c:v>11.49</c:v>
                </c:pt>
                <c:pt idx="69">
                  <c:v>11.53</c:v>
                </c:pt>
                <c:pt idx="70">
                  <c:v>11.04</c:v>
                </c:pt>
                <c:pt idx="71">
                  <c:v>11.05</c:v>
                </c:pt>
                <c:pt idx="72">
                  <c:v>11.5</c:v>
                </c:pt>
                <c:pt idx="73">
                  <c:v>10.94</c:v>
                </c:pt>
                <c:pt idx="74">
                  <c:v>11.13</c:v>
                </c:pt>
                <c:pt idx="75">
                  <c:v>10.93</c:v>
                </c:pt>
                <c:pt idx="76">
                  <c:v>11.27</c:v>
                </c:pt>
                <c:pt idx="77">
                  <c:v>10.88</c:v>
                </c:pt>
                <c:pt idx="78">
                  <c:v>11.16</c:v>
                </c:pt>
                <c:pt idx="79">
                  <c:v>10.65</c:v>
                </c:pt>
                <c:pt idx="80">
                  <c:v>10.49</c:v>
                </c:pt>
                <c:pt idx="81">
                  <c:v>10.7</c:v>
                </c:pt>
                <c:pt idx="82">
                  <c:v>10.78</c:v>
                </c:pt>
                <c:pt idx="83">
                  <c:v>10.57</c:v>
                </c:pt>
                <c:pt idx="84">
                  <c:v>10.93</c:v>
                </c:pt>
                <c:pt idx="85">
                  <c:v>10.79</c:v>
                </c:pt>
                <c:pt idx="86">
                  <c:v>10.77</c:v>
                </c:pt>
                <c:pt idx="87">
                  <c:v>10.57</c:v>
                </c:pt>
                <c:pt idx="88">
                  <c:v>11.7</c:v>
                </c:pt>
                <c:pt idx="89">
                  <c:v>11.97</c:v>
                </c:pt>
                <c:pt idx="90">
                  <c:v>11.6</c:v>
                </c:pt>
                <c:pt idx="91">
                  <c:v>11.74</c:v>
                </c:pt>
                <c:pt idx="92">
                  <c:v>11.6</c:v>
                </c:pt>
                <c:pt idx="93">
                  <c:v>11.76</c:v>
                </c:pt>
                <c:pt idx="94">
                  <c:v>11.98</c:v>
                </c:pt>
                <c:pt idx="95">
                  <c:v>12.02</c:v>
                </c:pt>
                <c:pt idx="96">
                  <c:v>12.14</c:v>
                </c:pt>
                <c:pt idx="97">
                  <c:v>12.3</c:v>
                </c:pt>
                <c:pt idx="98">
                  <c:v>12.2</c:v>
                </c:pt>
                <c:pt idx="99">
                  <c:v>12.8</c:v>
                </c:pt>
                <c:pt idx="100">
                  <c:v>13.13</c:v>
                </c:pt>
                <c:pt idx="101">
                  <c:v>12.38</c:v>
                </c:pt>
                <c:pt idx="102">
                  <c:v>12.43</c:v>
                </c:pt>
                <c:pt idx="103">
                  <c:v>12.13</c:v>
                </c:pt>
                <c:pt idx="104">
                  <c:v>11.82</c:v>
                </c:pt>
                <c:pt idx="105">
                  <c:v>12.4</c:v>
                </c:pt>
                <c:pt idx="106">
                  <c:v>12.37</c:v>
                </c:pt>
                <c:pt idx="107">
                  <c:v>12.5</c:v>
                </c:pt>
                <c:pt idx="108">
                  <c:v>12.45</c:v>
                </c:pt>
                <c:pt idx="109">
                  <c:v>12.32</c:v>
                </c:pt>
                <c:pt idx="110">
                  <c:v>11.81</c:v>
                </c:pt>
                <c:pt idx="111">
                  <c:v>11.41</c:v>
                </c:pt>
                <c:pt idx="112">
                  <c:v>11.61</c:v>
                </c:pt>
                <c:pt idx="113">
                  <c:v>11.8</c:v>
                </c:pt>
                <c:pt idx="114">
                  <c:v>12.04</c:v>
                </c:pt>
                <c:pt idx="115">
                  <c:v>12.56</c:v>
                </c:pt>
                <c:pt idx="116">
                  <c:v>12.3</c:v>
                </c:pt>
                <c:pt idx="117">
                  <c:v>12.37</c:v>
                </c:pt>
                <c:pt idx="118">
                  <c:v>12.2</c:v>
                </c:pt>
                <c:pt idx="119">
                  <c:v>11.98</c:v>
                </c:pt>
                <c:pt idx="120">
                  <c:v>12.22</c:v>
                </c:pt>
                <c:pt idx="121">
                  <c:v>12.2</c:v>
                </c:pt>
                <c:pt idx="122">
                  <c:v>12.08</c:v>
                </c:pt>
                <c:pt idx="123">
                  <c:v>11.99</c:v>
                </c:pt>
                <c:pt idx="124">
                  <c:v>12.02</c:v>
                </c:pt>
                <c:pt idx="125">
                  <c:v>12.59</c:v>
                </c:pt>
                <c:pt idx="126">
                  <c:v>12.67</c:v>
                </c:pt>
                <c:pt idx="127">
                  <c:v>13.19</c:v>
                </c:pt>
                <c:pt idx="128">
                  <c:v>13.77</c:v>
                </c:pt>
                <c:pt idx="129">
                  <c:v>13.91</c:v>
                </c:pt>
                <c:pt idx="130">
                  <c:v>14.15</c:v>
                </c:pt>
                <c:pt idx="131">
                  <c:v>14.08</c:v>
                </c:pt>
                <c:pt idx="132">
                  <c:v>14.01</c:v>
                </c:pt>
                <c:pt idx="133">
                  <c:v>13.65</c:v>
                </c:pt>
                <c:pt idx="134">
                  <c:v>13.67</c:v>
                </c:pt>
                <c:pt idx="135">
                  <c:v>13.01</c:v>
                </c:pt>
                <c:pt idx="136">
                  <c:v>13.47</c:v>
                </c:pt>
                <c:pt idx="137">
                  <c:v>13.7</c:v>
                </c:pt>
                <c:pt idx="138">
                  <c:v>13.66</c:v>
                </c:pt>
                <c:pt idx="139">
                  <c:v>13.41</c:v>
                </c:pt>
                <c:pt idx="140">
                  <c:v>13.45</c:v>
                </c:pt>
                <c:pt idx="141">
                  <c:v>13.02</c:v>
                </c:pt>
                <c:pt idx="142">
                  <c:v>13.22</c:v>
                </c:pt>
                <c:pt idx="143">
                  <c:v>12.97</c:v>
                </c:pt>
                <c:pt idx="144">
                  <c:v>12.56</c:v>
                </c:pt>
                <c:pt idx="145">
                  <c:v>12.88</c:v>
                </c:pt>
                <c:pt idx="146">
                  <c:v>12.89</c:v>
                </c:pt>
                <c:pt idx="147">
                  <c:v>12.8</c:v>
                </c:pt>
                <c:pt idx="148">
                  <c:v>13.02</c:v>
                </c:pt>
                <c:pt idx="149">
                  <c:v>12.84</c:v>
                </c:pt>
                <c:pt idx="150">
                  <c:v>12.77</c:v>
                </c:pt>
                <c:pt idx="151">
                  <c:v>12.65</c:v>
                </c:pt>
                <c:pt idx="152">
                  <c:v>12.92</c:v>
                </c:pt>
                <c:pt idx="153">
                  <c:v>12.98</c:v>
                </c:pt>
                <c:pt idx="154">
                  <c:v>12.99</c:v>
                </c:pt>
                <c:pt idx="155">
                  <c:v>13.16</c:v>
                </c:pt>
                <c:pt idx="156">
                  <c:v>13.58</c:v>
                </c:pt>
                <c:pt idx="157">
                  <c:v>13.74</c:v>
                </c:pt>
                <c:pt idx="158">
                  <c:v>14.11</c:v>
                </c:pt>
                <c:pt idx="159">
                  <c:v>14.13</c:v>
                </c:pt>
                <c:pt idx="160">
                  <c:v>14.1</c:v>
                </c:pt>
                <c:pt idx="161">
                  <c:v>14.03</c:v>
                </c:pt>
                <c:pt idx="162">
                  <c:v>13.92</c:v>
                </c:pt>
                <c:pt idx="163">
                  <c:v>13.89</c:v>
                </c:pt>
                <c:pt idx="164">
                  <c:v>14.13</c:v>
                </c:pt>
                <c:pt idx="165">
                  <c:v>14.39</c:v>
                </c:pt>
                <c:pt idx="166">
                  <c:v>13.94</c:v>
                </c:pt>
                <c:pt idx="167">
                  <c:v>13.55</c:v>
                </c:pt>
                <c:pt idx="168">
                  <c:v>13.62</c:v>
                </c:pt>
                <c:pt idx="169">
                  <c:v>14.34</c:v>
                </c:pt>
                <c:pt idx="170">
                  <c:v>14.24</c:v>
                </c:pt>
                <c:pt idx="171">
                  <c:v>14.73</c:v>
                </c:pt>
                <c:pt idx="172">
                  <c:v>14.44</c:v>
                </c:pt>
                <c:pt idx="173">
                  <c:v>14.41</c:v>
                </c:pt>
                <c:pt idx="174">
                  <c:v>13.91</c:v>
                </c:pt>
                <c:pt idx="175">
                  <c:v>15.43</c:v>
                </c:pt>
                <c:pt idx="176">
                  <c:v>16.260000000000002</c:v>
                </c:pt>
                <c:pt idx="177">
                  <c:v>15.96</c:v>
                </c:pt>
                <c:pt idx="178">
                  <c:v>16.48</c:v>
                </c:pt>
                <c:pt idx="179">
                  <c:v>16.440000000000001</c:v>
                </c:pt>
                <c:pt idx="180">
                  <c:v>16.39</c:v>
                </c:pt>
                <c:pt idx="181">
                  <c:v>16.95</c:v>
                </c:pt>
                <c:pt idx="182">
                  <c:v>17.95</c:v>
                </c:pt>
                <c:pt idx="183">
                  <c:v>17.21</c:v>
                </c:pt>
                <c:pt idx="184">
                  <c:v>17.37</c:v>
                </c:pt>
                <c:pt idx="185">
                  <c:v>17.55</c:v>
                </c:pt>
                <c:pt idx="186">
                  <c:v>17.86</c:v>
                </c:pt>
                <c:pt idx="187">
                  <c:v>18.16</c:v>
                </c:pt>
                <c:pt idx="188">
                  <c:v>17.850000000000001</c:v>
                </c:pt>
                <c:pt idx="189">
                  <c:v>17.899999999999999</c:v>
                </c:pt>
                <c:pt idx="190">
                  <c:v>17.920000000000002</c:v>
                </c:pt>
                <c:pt idx="191">
                  <c:v>17.82</c:v>
                </c:pt>
                <c:pt idx="192">
                  <c:v>18.239999999999998</c:v>
                </c:pt>
                <c:pt idx="193">
                  <c:v>18.420000000000002</c:v>
                </c:pt>
                <c:pt idx="194">
                  <c:v>18.940000000000001</c:v>
                </c:pt>
                <c:pt idx="195">
                  <c:v>17.149999999999999</c:v>
                </c:pt>
                <c:pt idx="196">
                  <c:v>17.420000000000002</c:v>
                </c:pt>
                <c:pt idx="197">
                  <c:v>17.45</c:v>
                </c:pt>
                <c:pt idx="198">
                  <c:v>17.66</c:v>
                </c:pt>
                <c:pt idx="199">
                  <c:v>17.84</c:v>
                </c:pt>
                <c:pt idx="200">
                  <c:v>17.72</c:v>
                </c:pt>
                <c:pt idx="201">
                  <c:v>17.309999999999999</c:v>
                </c:pt>
                <c:pt idx="202">
                  <c:v>17.77</c:v>
                </c:pt>
                <c:pt idx="203">
                  <c:v>17.440000000000001</c:v>
                </c:pt>
                <c:pt idx="204">
                  <c:v>17.66</c:v>
                </c:pt>
                <c:pt idx="205">
                  <c:v>18.04</c:v>
                </c:pt>
                <c:pt idx="206">
                  <c:v>18.39</c:v>
                </c:pt>
                <c:pt idx="207">
                  <c:v>18.27</c:v>
                </c:pt>
                <c:pt idx="208">
                  <c:v>18.18</c:v>
                </c:pt>
                <c:pt idx="209">
                  <c:v>18.75</c:v>
                </c:pt>
                <c:pt idx="210">
                  <c:v>19.79</c:v>
                </c:pt>
                <c:pt idx="211">
                  <c:v>18.77</c:v>
                </c:pt>
                <c:pt idx="212">
                  <c:v>17.829999999999998</c:v>
                </c:pt>
                <c:pt idx="213">
                  <c:v>17.39</c:v>
                </c:pt>
                <c:pt idx="214">
                  <c:v>17.399999999999999</c:v>
                </c:pt>
                <c:pt idx="215">
                  <c:v>17.399999999999999</c:v>
                </c:pt>
                <c:pt idx="216">
                  <c:v>17.420000000000002</c:v>
                </c:pt>
                <c:pt idx="217">
                  <c:v>17.690000000000001</c:v>
                </c:pt>
                <c:pt idx="218">
                  <c:v>17.37</c:v>
                </c:pt>
                <c:pt idx="219">
                  <c:v>17.350000000000001</c:v>
                </c:pt>
                <c:pt idx="220">
                  <c:v>17.690000000000001</c:v>
                </c:pt>
                <c:pt idx="221">
                  <c:v>17.899999999999999</c:v>
                </c:pt>
                <c:pt idx="222">
                  <c:v>17.29</c:v>
                </c:pt>
                <c:pt idx="223">
                  <c:v>17.04</c:v>
                </c:pt>
                <c:pt idx="224">
                  <c:v>17.079999999999998</c:v>
                </c:pt>
                <c:pt idx="225">
                  <c:v>17.11</c:v>
                </c:pt>
                <c:pt idx="226">
                  <c:v>17.05</c:v>
                </c:pt>
                <c:pt idx="227">
                  <c:v>16.91</c:v>
                </c:pt>
                <c:pt idx="228">
                  <c:v>16.899999999999999</c:v>
                </c:pt>
                <c:pt idx="229">
                  <c:v>17.329999999999998</c:v>
                </c:pt>
                <c:pt idx="230">
                  <c:v>16.77</c:v>
                </c:pt>
                <c:pt idx="231">
                  <c:v>16.940000000000001</c:v>
                </c:pt>
                <c:pt idx="232">
                  <c:v>16.59</c:v>
                </c:pt>
                <c:pt idx="233">
                  <c:v>16.420000000000002</c:v>
                </c:pt>
                <c:pt idx="234">
                  <c:v>16.3</c:v>
                </c:pt>
                <c:pt idx="235">
                  <c:v>16.600000000000001</c:v>
                </c:pt>
                <c:pt idx="236">
                  <c:v>16.73</c:v>
                </c:pt>
                <c:pt idx="237">
                  <c:v>16.649999999999999</c:v>
                </c:pt>
                <c:pt idx="238">
                  <c:v>16.41</c:v>
                </c:pt>
                <c:pt idx="239">
                  <c:v>16.149999999999999</c:v>
                </c:pt>
                <c:pt idx="240">
                  <c:v>15.84</c:v>
                </c:pt>
                <c:pt idx="241">
                  <c:v>16.07</c:v>
                </c:pt>
                <c:pt idx="242">
                  <c:v>15.96</c:v>
                </c:pt>
                <c:pt idx="243">
                  <c:v>16.059999999999999</c:v>
                </c:pt>
                <c:pt idx="244">
                  <c:v>16.22</c:v>
                </c:pt>
                <c:pt idx="245">
                  <c:v>16.29</c:v>
                </c:pt>
                <c:pt idx="246">
                  <c:v>16.52</c:v>
                </c:pt>
                <c:pt idx="247">
                  <c:v>16.53</c:v>
                </c:pt>
                <c:pt idx="248">
                  <c:v>16.68</c:v>
                </c:pt>
                <c:pt idx="249">
                  <c:v>16.86</c:v>
                </c:pt>
                <c:pt idx="250">
                  <c:v>16.899999999999999</c:v>
                </c:pt>
                <c:pt idx="251">
                  <c:v>16.850000000000001</c:v>
                </c:pt>
                <c:pt idx="252">
                  <c:v>16.79</c:v>
                </c:pt>
                <c:pt idx="253">
                  <c:v>16.309999999999999</c:v>
                </c:pt>
                <c:pt idx="254">
                  <c:v>15.75</c:v>
                </c:pt>
                <c:pt idx="255">
                  <c:v>15.5</c:v>
                </c:pt>
                <c:pt idx="256">
                  <c:v>15.85</c:v>
                </c:pt>
                <c:pt idx="257">
                  <c:v>15.89</c:v>
                </c:pt>
                <c:pt idx="258">
                  <c:v>16.18</c:v>
                </c:pt>
                <c:pt idx="259">
                  <c:v>15.99</c:v>
                </c:pt>
                <c:pt idx="260">
                  <c:v>16.45</c:v>
                </c:pt>
                <c:pt idx="261">
                  <c:v>16.14</c:v>
                </c:pt>
                <c:pt idx="262">
                  <c:v>15.81</c:v>
                </c:pt>
                <c:pt idx="263">
                  <c:v>16.09</c:v>
                </c:pt>
                <c:pt idx="264">
                  <c:v>15.65</c:v>
                </c:pt>
                <c:pt idx="265">
                  <c:v>15.57</c:v>
                </c:pt>
                <c:pt idx="266">
                  <c:v>15.79</c:v>
                </c:pt>
                <c:pt idx="267">
                  <c:v>15.69</c:v>
                </c:pt>
                <c:pt idx="268">
                  <c:v>15.74</c:v>
                </c:pt>
                <c:pt idx="269">
                  <c:v>15.93</c:v>
                </c:pt>
                <c:pt idx="270">
                  <c:v>15.95</c:v>
                </c:pt>
                <c:pt idx="271">
                  <c:v>16.420000000000002</c:v>
                </c:pt>
                <c:pt idx="272">
                  <c:v>16.28</c:v>
                </c:pt>
                <c:pt idx="273">
                  <c:v>16.54</c:v>
                </c:pt>
                <c:pt idx="274">
                  <c:v>16.36</c:v>
                </c:pt>
                <c:pt idx="275">
                  <c:v>16.940000000000001</c:v>
                </c:pt>
                <c:pt idx="276">
                  <c:v>17.05</c:v>
                </c:pt>
                <c:pt idx="277">
                  <c:v>16.45</c:v>
                </c:pt>
                <c:pt idx="278">
                  <c:v>16.32</c:v>
                </c:pt>
                <c:pt idx="279">
                  <c:v>16.36</c:v>
                </c:pt>
                <c:pt idx="280">
                  <c:v>16.46</c:v>
                </c:pt>
                <c:pt idx="281">
                  <c:v>16.37</c:v>
                </c:pt>
                <c:pt idx="282">
                  <c:v>16.399999999999999</c:v>
                </c:pt>
                <c:pt idx="283">
                  <c:v>16.190000000000001</c:v>
                </c:pt>
                <c:pt idx="284">
                  <c:v>15.8</c:v>
                </c:pt>
                <c:pt idx="285">
                  <c:v>16</c:v>
                </c:pt>
                <c:pt idx="286">
                  <c:v>16.05</c:v>
                </c:pt>
                <c:pt idx="287">
                  <c:v>16.29</c:v>
                </c:pt>
                <c:pt idx="288">
                  <c:v>16.22</c:v>
                </c:pt>
                <c:pt idx="289">
                  <c:v>16.39</c:v>
                </c:pt>
                <c:pt idx="290">
                  <c:v>16.739999999999998</c:v>
                </c:pt>
                <c:pt idx="291">
                  <c:v>16.61</c:v>
                </c:pt>
                <c:pt idx="292">
                  <c:v>16.71</c:v>
                </c:pt>
                <c:pt idx="293">
                  <c:v>16.72</c:v>
                </c:pt>
                <c:pt idx="294">
                  <c:v>16.440000000000001</c:v>
                </c:pt>
                <c:pt idx="295">
                  <c:v>16.399999999999999</c:v>
                </c:pt>
                <c:pt idx="296">
                  <c:v>16.010000000000002</c:v>
                </c:pt>
                <c:pt idx="297">
                  <c:v>15.82</c:v>
                </c:pt>
                <c:pt idx="298">
                  <c:v>15.97</c:v>
                </c:pt>
                <c:pt idx="299">
                  <c:v>15.78</c:v>
                </c:pt>
                <c:pt idx="300">
                  <c:v>15.8</c:v>
                </c:pt>
                <c:pt idx="301">
                  <c:v>15.5</c:v>
                </c:pt>
                <c:pt idx="302">
                  <c:v>15.41</c:v>
                </c:pt>
                <c:pt idx="303">
                  <c:v>15.42</c:v>
                </c:pt>
                <c:pt idx="304">
                  <c:v>15.45</c:v>
                </c:pt>
                <c:pt idx="305">
                  <c:v>15.5</c:v>
                </c:pt>
                <c:pt idx="306">
                  <c:v>15.62</c:v>
                </c:pt>
                <c:pt idx="307">
                  <c:v>15.89</c:v>
                </c:pt>
                <c:pt idx="308">
                  <c:v>15.82</c:v>
                </c:pt>
                <c:pt idx="309">
                  <c:v>16.12</c:v>
                </c:pt>
                <c:pt idx="310">
                  <c:v>16.350000000000001</c:v>
                </c:pt>
                <c:pt idx="311">
                  <c:v>16.600000000000001</c:v>
                </c:pt>
                <c:pt idx="312">
                  <c:v>16.55</c:v>
                </c:pt>
                <c:pt idx="313">
                  <c:v>16.75</c:v>
                </c:pt>
                <c:pt idx="314">
                  <c:v>17.05</c:v>
                </c:pt>
                <c:pt idx="315">
                  <c:v>17.79</c:v>
                </c:pt>
                <c:pt idx="316">
                  <c:v>17.61</c:v>
                </c:pt>
                <c:pt idx="317">
                  <c:v>17.54</c:v>
                </c:pt>
                <c:pt idx="318">
                  <c:v>17.559999999999999</c:v>
                </c:pt>
                <c:pt idx="319">
                  <c:v>17.809999999999999</c:v>
                </c:pt>
                <c:pt idx="320">
                  <c:v>17.84</c:v>
                </c:pt>
                <c:pt idx="321">
                  <c:v>17.57</c:v>
                </c:pt>
                <c:pt idx="322">
                  <c:v>17.37</c:v>
                </c:pt>
                <c:pt idx="323">
                  <c:v>17.54</c:v>
                </c:pt>
                <c:pt idx="324">
                  <c:v>17.45</c:v>
                </c:pt>
                <c:pt idx="325">
                  <c:v>18.149999999999999</c:v>
                </c:pt>
                <c:pt idx="326">
                  <c:v>18.22</c:v>
                </c:pt>
                <c:pt idx="327">
                  <c:v>18.149999999999999</c:v>
                </c:pt>
                <c:pt idx="328">
                  <c:v>18.28</c:v>
                </c:pt>
                <c:pt idx="329">
                  <c:v>18.21</c:v>
                </c:pt>
                <c:pt idx="330">
                  <c:v>18.23</c:v>
                </c:pt>
                <c:pt idx="331">
                  <c:v>17.87</c:v>
                </c:pt>
                <c:pt idx="332">
                  <c:v>17.86</c:v>
                </c:pt>
                <c:pt idx="333">
                  <c:v>17.940000000000001</c:v>
                </c:pt>
                <c:pt idx="334">
                  <c:v>17.850000000000001</c:v>
                </c:pt>
                <c:pt idx="335">
                  <c:v>17.649999999999999</c:v>
                </c:pt>
                <c:pt idx="336">
                  <c:v>17.45</c:v>
                </c:pt>
                <c:pt idx="337">
                  <c:v>17.05</c:v>
                </c:pt>
                <c:pt idx="338">
                  <c:v>17.77</c:v>
                </c:pt>
                <c:pt idx="339">
                  <c:v>18</c:v>
                </c:pt>
                <c:pt idx="340">
                  <c:v>18.079999999999998</c:v>
                </c:pt>
                <c:pt idx="341">
                  <c:v>17.760000000000002</c:v>
                </c:pt>
                <c:pt idx="342">
                  <c:v>17.899999999999999</c:v>
                </c:pt>
                <c:pt idx="343">
                  <c:v>17.95</c:v>
                </c:pt>
                <c:pt idx="344">
                  <c:v>17.850000000000001</c:v>
                </c:pt>
                <c:pt idx="345">
                  <c:v>17.64</c:v>
                </c:pt>
                <c:pt idx="346">
                  <c:v>17.55</c:v>
                </c:pt>
                <c:pt idx="347">
                  <c:v>17.29</c:v>
                </c:pt>
                <c:pt idx="348">
                  <c:v>17.21</c:v>
                </c:pt>
                <c:pt idx="349">
                  <c:v>17.399999999999999</c:v>
                </c:pt>
                <c:pt idx="350">
                  <c:v>17.54</c:v>
                </c:pt>
                <c:pt idx="351">
                  <c:v>17.54</c:v>
                </c:pt>
                <c:pt idx="352">
                  <c:v>17.55</c:v>
                </c:pt>
                <c:pt idx="353">
                  <c:v>17.46</c:v>
                </c:pt>
                <c:pt idx="354">
                  <c:v>17.579999999999998</c:v>
                </c:pt>
                <c:pt idx="355">
                  <c:v>17.22</c:v>
                </c:pt>
                <c:pt idx="356">
                  <c:v>17.149999999999999</c:v>
                </c:pt>
                <c:pt idx="357">
                  <c:v>17.27</c:v>
                </c:pt>
                <c:pt idx="358">
                  <c:v>17.34</c:v>
                </c:pt>
                <c:pt idx="359">
                  <c:v>17.43</c:v>
                </c:pt>
                <c:pt idx="360">
                  <c:v>17.41</c:v>
                </c:pt>
                <c:pt idx="361">
                  <c:v>17.8</c:v>
                </c:pt>
                <c:pt idx="362">
                  <c:v>17.55</c:v>
                </c:pt>
                <c:pt idx="363">
                  <c:v>17.48</c:v>
                </c:pt>
                <c:pt idx="364">
                  <c:v>17.73</c:v>
                </c:pt>
                <c:pt idx="365">
                  <c:v>16.63</c:v>
                </c:pt>
                <c:pt idx="366">
                  <c:v>16.63</c:v>
                </c:pt>
                <c:pt idx="367">
                  <c:v>16.84</c:v>
                </c:pt>
                <c:pt idx="368">
                  <c:v>16.899999999999999</c:v>
                </c:pt>
                <c:pt idx="369">
                  <c:v>16.97</c:v>
                </c:pt>
                <c:pt idx="370">
                  <c:v>17</c:v>
                </c:pt>
                <c:pt idx="371">
                  <c:v>16.739999999999998</c:v>
                </c:pt>
                <c:pt idx="372">
                  <c:v>16.739999999999998</c:v>
                </c:pt>
                <c:pt idx="373">
                  <c:v>16.71</c:v>
                </c:pt>
                <c:pt idx="374">
                  <c:v>16.48</c:v>
                </c:pt>
                <c:pt idx="375">
                  <c:v>16.55</c:v>
                </c:pt>
                <c:pt idx="376">
                  <c:v>16.510000000000002</c:v>
                </c:pt>
                <c:pt idx="377">
                  <c:v>16.38</c:v>
                </c:pt>
                <c:pt idx="378">
                  <c:v>16.03</c:v>
                </c:pt>
                <c:pt idx="379">
                  <c:v>15.77</c:v>
                </c:pt>
                <c:pt idx="380">
                  <c:v>15.35</c:v>
                </c:pt>
                <c:pt idx="381">
                  <c:v>15.77</c:v>
                </c:pt>
                <c:pt idx="382">
                  <c:v>16.190000000000001</c:v>
                </c:pt>
                <c:pt idx="383">
                  <c:v>16.170000000000002</c:v>
                </c:pt>
                <c:pt idx="384">
                  <c:v>16.05</c:v>
                </c:pt>
                <c:pt idx="385">
                  <c:v>16.149999999999999</c:v>
                </c:pt>
                <c:pt idx="386">
                  <c:v>16.79</c:v>
                </c:pt>
                <c:pt idx="387">
                  <c:v>15.61</c:v>
                </c:pt>
                <c:pt idx="388">
                  <c:v>15.96</c:v>
                </c:pt>
                <c:pt idx="389">
                  <c:v>15.77</c:v>
                </c:pt>
                <c:pt idx="390">
                  <c:v>16.5</c:v>
                </c:pt>
                <c:pt idx="391">
                  <c:v>17.489999999999998</c:v>
                </c:pt>
                <c:pt idx="392">
                  <c:v>17.309999999999999</c:v>
                </c:pt>
                <c:pt idx="393">
                  <c:v>17.350000000000001</c:v>
                </c:pt>
                <c:pt idx="394">
                  <c:v>17.28</c:v>
                </c:pt>
                <c:pt idx="395">
                  <c:v>17.75</c:v>
                </c:pt>
                <c:pt idx="396">
                  <c:v>17.739999999999998</c:v>
                </c:pt>
                <c:pt idx="397">
                  <c:v>17.91</c:v>
                </c:pt>
                <c:pt idx="398">
                  <c:v>17.68</c:v>
                </c:pt>
                <c:pt idx="399">
                  <c:v>17.420000000000002</c:v>
                </c:pt>
                <c:pt idx="400">
                  <c:v>17.170000000000002</c:v>
                </c:pt>
                <c:pt idx="401">
                  <c:v>17.66</c:v>
                </c:pt>
                <c:pt idx="402">
                  <c:v>17.54</c:v>
                </c:pt>
                <c:pt idx="403">
                  <c:v>17.66</c:v>
                </c:pt>
                <c:pt idx="404">
                  <c:v>17.5</c:v>
                </c:pt>
                <c:pt idx="405">
                  <c:v>17.39</c:v>
                </c:pt>
                <c:pt idx="406">
                  <c:v>17.59</c:v>
                </c:pt>
                <c:pt idx="407">
                  <c:v>18.04</c:v>
                </c:pt>
                <c:pt idx="408">
                  <c:v>18.489999999999998</c:v>
                </c:pt>
                <c:pt idx="409">
                  <c:v>18.89</c:v>
                </c:pt>
                <c:pt idx="410">
                  <c:v>18.78</c:v>
                </c:pt>
                <c:pt idx="411">
                  <c:v>19.079999999999998</c:v>
                </c:pt>
                <c:pt idx="412">
                  <c:v>18.739999999999998</c:v>
                </c:pt>
                <c:pt idx="413">
                  <c:v>18.86</c:v>
                </c:pt>
                <c:pt idx="414">
                  <c:v>19.11</c:v>
                </c:pt>
                <c:pt idx="415">
                  <c:v>19.489999999999998</c:v>
                </c:pt>
                <c:pt idx="416">
                  <c:v>19.75</c:v>
                </c:pt>
                <c:pt idx="417">
                  <c:v>19.75</c:v>
                </c:pt>
                <c:pt idx="418">
                  <c:v>19.809999999999999</c:v>
                </c:pt>
                <c:pt idx="419">
                  <c:v>20.13</c:v>
                </c:pt>
                <c:pt idx="420">
                  <c:v>20.3</c:v>
                </c:pt>
                <c:pt idx="421">
                  <c:v>20.170000000000002</c:v>
                </c:pt>
                <c:pt idx="422">
                  <c:v>20.36</c:v>
                </c:pt>
                <c:pt idx="423">
                  <c:v>20.51</c:v>
                </c:pt>
                <c:pt idx="424">
                  <c:v>20.67</c:v>
                </c:pt>
                <c:pt idx="425">
                  <c:v>20.68</c:v>
                </c:pt>
                <c:pt idx="426">
                  <c:v>20.89</c:v>
                </c:pt>
                <c:pt idx="427">
                  <c:v>20.8</c:v>
                </c:pt>
                <c:pt idx="428">
                  <c:v>20.76</c:v>
                </c:pt>
                <c:pt idx="429">
                  <c:v>21.15</c:v>
                </c:pt>
                <c:pt idx="430">
                  <c:v>21.21</c:v>
                </c:pt>
                <c:pt idx="431">
                  <c:v>21.28</c:v>
                </c:pt>
                <c:pt idx="432">
                  <c:v>20.91</c:v>
                </c:pt>
                <c:pt idx="433">
                  <c:v>20.87</c:v>
                </c:pt>
                <c:pt idx="434">
                  <c:v>20.75</c:v>
                </c:pt>
                <c:pt idx="435">
                  <c:v>20.63</c:v>
                </c:pt>
                <c:pt idx="436">
                  <c:v>20.47</c:v>
                </c:pt>
                <c:pt idx="437">
                  <c:v>20.48</c:v>
                </c:pt>
                <c:pt idx="438">
                  <c:v>20.62</c:v>
                </c:pt>
                <c:pt idx="439">
                  <c:v>20.71</c:v>
                </c:pt>
                <c:pt idx="440">
                  <c:v>20.55</c:v>
                </c:pt>
                <c:pt idx="441">
                  <c:v>20.11</c:v>
                </c:pt>
                <c:pt idx="442">
                  <c:v>20.149999999999999</c:v>
                </c:pt>
                <c:pt idx="443">
                  <c:v>20.51</c:v>
                </c:pt>
                <c:pt idx="444">
                  <c:v>21.77</c:v>
                </c:pt>
                <c:pt idx="445">
                  <c:v>21.41</c:v>
                </c:pt>
                <c:pt idx="446">
                  <c:v>21.58</c:v>
                </c:pt>
                <c:pt idx="447">
                  <c:v>21.59</c:v>
                </c:pt>
                <c:pt idx="448">
                  <c:v>21.66</c:v>
                </c:pt>
                <c:pt idx="449">
                  <c:v>21.5</c:v>
                </c:pt>
                <c:pt idx="450">
                  <c:v>21.63</c:v>
                </c:pt>
                <c:pt idx="451">
                  <c:v>21.52</c:v>
                </c:pt>
                <c:pt idx="452">
                  <c:v>21.51</c:v>
                </c:pt>
                <c:pt idx="453">
                  <c:v>20.84</c:v>
                </c:pt>
                <c:pt idx="454">
                  <c:v>21.02</c:v>
                </c:pt>
                <c:pt idx="455">
                  <c:v>21.38</c:v>
                </c:pt>
                <c:pt idx="456">
                  <c:v>21.53</c:v>
                </c:pt>
                <c:pt idx="457">
                  <c:v>21.65</c:v>
                </c:pt>
                <c:pt idx="458">
                  <c:v>21.66</c:v>
                </c:pt>
                <c:pt idx="459">
                  <c:v>21.61</c:v>
                </c:pt>
                <c:pt idx="460">
                  <c:v>22.27</c:v>
                </c:pt>
                <c:pt idx="461">
                  <c:v>21.54</c:v>
                </c:pt>
                <c:pt idx="462">
                  <c:v>21.99</c:v>
                </c:pt>
                <c:pt idx="463">
                  <c:v>22.2</c:v>
                </c:pt>
                <c:pt idx="464">
                  <c:v>22.25</c:v>
                </c:pt>
                <c:pt idx="465">
                  <c:v>22.11</c:v>
                </c:pt>
                <c:pt idx="466">
                  <c:v>22.21</c:v>
                </c:pt>
                <c:pt idx="467">
                  <c:v>22.1</c:v>
                </c:pt>
                <c:pt idx="468">
                  <c:v>22.02</c:v>
                </c:pt>
                <c:pt idx="469">
                  <c:v>21.74</c:v>
                </c:pt>
                <c:pt idx="470">
                  <c:v>21.74</c:v>
                </c:pt>
                <c:pt idx="471">
                  <c:v>21.41</c:v>
                </c:pt>
                <c:pt idx="472">
                  <c:v>21.03</c:v>
                </c:pt>
                <c:pt idx="473">
                  <c:v>21.11</c:v>
                </c:pt>
                <c:pt idx="474">
                  <c:v>20.99</c:v>
                </c:pt>
                <c:pt idx="475">
                  <c:v>21.62</c:v>
                </c:pt>
                <c:pt idx="476">
                  <c:v>22.04</c:v>
                </c:pt>
                <c:pt idx="477">
                  <c:v>21.72</c:v>
                </c:pt>
                <c:pt idx="478">
                  <c:v>21.67</c:v>
                </c:pt>
                <c:pt idx="479">
                  <c:v>20.88</c:v>
                </c:pt>
                <c:pt idx="480">
                  <c:v>20.91</c:v>
                </c:pt>
                <c:pt idx="481">
                  <c:v>20.66</c:v>
                </c:pt>
                <c:pt idx="482">
                  <c:v>20.54</c:v>
                </c:pt>
                <c:pt idx="483">
                  <c:v>20.47</c:v>
                </c:pt>
                <c:pt idx="484">
                  <c:v>20.75</c:v>
                </c:pt>
                <c:pt idx="485">
                  <c:v>20.96</c:v>
                </c:pt>
                <c:pt idx="486">
                  <c:v>20.94</c:v>
                </c:pt>
                <c:pt idx="487">
                  <c:v>20.96</c:v>
                </c:pt>
                <c:pt idx="488">
                  <c:v>20.68</c:v>
                </c:pt>
                <c:pt idx="489">
                  <c:v>20.59</c:v>
                </c:pt>
                <c:pt idx="490">
                  <c:v>20.350000000000001</c:v>
                </c:pt>
                <c:pt idx="491">
                  <c:v>19.690000000000001</c:v>
                </c:pt>
                <c:pt idx="492">
                  <c:v>19.7</c:v>
                </c:pt>
                <c:pt idx="493">
                  <c:v>19.739999999999998</c:v>
                </c:pt>
                <c:pt idx="494">
                  <c:v>19.88</c:v>
                </c:pt>
                <c:pt idx="495">
                  <c:v>20.079999999999998</c:v>
                </c:pt>
                <c:pt idx="496">
                  <c:v>20.7</c:v>
                </c:pt>
                <c:pt idx="497">
                  <c:v>20.75</c:v>
                </c:pt>
                <c:pt idx="498">
                  <c:v>20.58</c:v>
                </c:pt>
                <c:pt idx="499">
                  <c:v>20.73</c:v>
                </c:pt>
                <c:pt idx="500">
                  <c:v>20.88</c:v>
                </c:pt>
                <c:pt idx="501">
                  <c:v>20.83</c:v>
                </c:pt>
                <c:pt idx="502">
                  <c:v>20.87</c:v>
                </c:pt>
                <c:pt idx="503">
                  <c:v>21.16</c:v>
                </c:pt>
                <c:pt idx="504">
                  <c:v>21.3</c:v>
                </c:pt>
                <c:pt idx="505">
                  <c:v>21.53</c:v>
                </c:pt>
                <c:pt idx="506">
                  <c:v>21.64</c:v>
                </c:pt>
                <c:pt idx="507">
                  <c:v>21.96</c:v>
                </c:pt>
                <c:pt idx="508">
                  <c:v>21.56</c:v>
                </c:pt>
                <c:pt idx="509">
                  <c:v>21.29</c:v>
                </c:pt>
                <c:pt idx="510">
                  <c:v>21.88</c:v>
                </c:pt>
                <c:pt idx="511">
                  <c:v>21.92</c:v>
                </c:pt>
                <c:pt idx="512">
                  <c:v>21.54</c:v>
                </c:pt>
                <c:pt idx="513">
                  <c:v>21.43</c:v>
                </c:pt>
                <c:pt idx="514">
                  <c:v>21.07</c:v>
                </c:pt>
                <c:pt idx="515">
                  <c:v>20.98</c:v>
                </c:pt>
                <c:pt idx="516">
                  <c:v>21.05</c:v>
                </c:pt>
                <c:pt idx="517">
                  <c:v>20.94</c:v>
                </c:pt>
                <c:pt idx="518">
                  <c:v>21.05</c:v>
                </c:pt>
                <c:pt idx="519">
                  <c:v>21.59</c:v>
                </c:pt>
                <c:pt idx="520">
                  <c:v>21.21</c:v>
                </c:pt>
                <c:pt idx="521">
                  <c:v>21.23</c:v>
                </c:pt>
                <c:pt idx="522">
                  <c:v>21.33</c:v>
                </c:pt>
                <c:pt idx="523">
                  <c:v>21.48</c:v>
                </c:pt>
                <c:pt idx="524">
                  <c:v>21.33</c:v>
                </c:pt>
                <c:pt idx="525">
                  <c:v>21.13</c:v>
                </c:pt>
                <c:pt idx="526">
                  <c:v>21.6</c:v>
                </c:pt>
                <c:pt idx="527">
                  <c:v>21.8</c:v>
                </c:pt>
                <c:pt idx="528">
                  <c:v>21.81</c:v>
                </c:pt>
                <c:pt idx="529">
                  <c:v>21.86</c:v>
                </c:pt>
                <c:pt idx="530">
                  <c:v>21.55</c:v>
                </c:pt>
                <c:pt idx="531">
                  <c:v>21.56</c:v>
                </c:pt>
                <c:pt idx="532">
                  <c:v>21.27</c:v>
                </c:pt>
                <c:pt idx="533">
                  <c:v>21.19</c:v>
                </c:pt>
                <c:pt idx="534">
                  <c:v>21.53</c:v>
                </c:pt>
                <c:pt idx="535">
                  <c:v>21.68</c:v>
                </c:pt>
                <c:pt idx="536">
                  <c:v>21.6</c:v>
                </c:pt>
                <c:pt idx="537">
                  <c:v>21.89</c:v>
                </c:pt>
                <c:pt idx="538">
                  <c:v>21.81</c:v>
                </c:pt>
                <c:pt idx="539">
                  <c:v>21.62</c:v>
                </c:pt>
                <c:pt idx="540">
                  <c:v>21.44</c:v>
                </c:pt>
                <c:pt idx="541">
                  <c:v>21.1</c:v>
                </c:pt>
                <c:pt idx="542">
                  <c:v>21</c:v>
                </c:pt>
                <c:pt idx="543">
                  <c:v>21</c:v>
                </c:pt>
                <c:pt idx="544">
                  <c:v>21.22</c:v>
                </c:pt>
                <c:pt idx="545">
                  <c:v>20.97</c:v>
                </c:pt>
                <c:pt idx="546">
                  <c:v>20.93</c:v>
                </c:pt>
                <c:pt idx="547">
                  <c:v>20.69</c:v>
                </c:pt>
                <c:pt idx="548">
                  <c:v>20.52</c:v>
                </c:pt>
                <c:pt idx="549">
                  <c:v>20.45</c:v>
                </c:pt>
                <c:pt idx="550">
                  <c:v>20.3</c:v>
                </c:pt>
                <c:pt idx="551">
                  <c:v>20.03</c:v>
                </c:pt>
                <c:pt idx="552">
                  <c:v>20.02</c:v>
                </c:pt>
                <c:pt idx="553">
                  <c:v>19.87</c:v>
                </c:pt>
                <c:pt idx="554">
                  <c:v>19.71</c:v>
                </c:pt>
                <c:pt idx="555">
                  <c:v>19.73</c:v>
                </c:pt>
                <c:pt idx="556">
                  <c:v>19.55</c:v>
                </c:pt>
                <c:pt idx="557">
                  <c:v>20.47</c:v>
                </c:pt>
                <c:pt idx="558">
                  <c:v>20.97</c:v>
                </c:pt>
                <c:pt idx="559">
                  <c:v>20.81</c:v>
                </c:pt>
                <c:pt idx="560">
                  <c:v>21.26</c:v>
                </c:pt>
                <c:pt idx="561">
                  <c:v>21.25</c:v>
                </c:pt>
                <c:pt idx="562">
                  <c:v>21.43</c:v>
                </c:pt>
                <c:pt idx="563">
                  <c:v>20.69</c:v>
                </c:pt>
                <c:pt idx="564">
                  <c:v>20.55</c:v>
                </c:pt>
                <c:pt idx="565">
                  <c:v>20.76</c:v>
                </c:pt>
                <c:pt idx="566">
                  <c:v>20.49</c:v>
                </c:pt>
                <c:pt idx="567">
                  <c:v>20.38</c:v>
                </c:pt>
                <c:pt idx="568">
                  <c:v>20.92</c:v>
                </c:pt>
                <c:pt idx="569">
                  <c:v>19.3</c:v>
                </c:pt>
                <c:pt idx="570">
                  <c:v>19.420000000000002</c:v>
                </c:pt>
                <c:pt idx="571">
                  <c:v>19.09</c:v>
                </c:pt>
                <c:pt idx="572">
                  <c:v>19.18</c:v>
                </c:pt>
                <c:pt idx="573">
                  <c:v>18.7</c:v>
                </c:pt>
                <c:pt idx="574">
                  <c:v>18.21</c:v>
                </c:pt>
                <c:pt idx="575">
                  <c:v>18.14</c:v>
                </c:pt>
                <c:pt idx="576">
                  <c:v>18.329999999999998</c:v>
                </c:pt>
                <c:pt idx="577">
                  <c:v>18.27</c:v>
                </c:pt>
                <c:pt idx="578">
                  <c:v>18.21</c:v>
                </c:pt>
                <c:pt idx="579">
                  <c:v>18.079999999999998</c:v>
                </c:pt>
                <c:pt idx="580">
                  <c:v>17.64</c:v>
                </c:pt>
                <c:pt idx="581">
                  <c:v>17.510000000000002</c:v>
                </c:pt>
                <c:pt idx="582">
                  <c:v>17.510000000000002</c:v>
                </c:pt>
                <c:pt idx="583">
                  <c:v>17.13</c:v>
                </c:pt>
                <c:pt idx="584">
                  <c:v>17.239999999999998</c:v>
                </c:pt>
                <c:pt idx="585">
                  <c:v>17.05</c:v>
                </c:pt>
                <c:pt idx="586">
                  <c:v>16.98</c:v>
                </c:pt>
                <c:pt idx="587">
                  <c:v>17.18</c:v>
                </c:pt>
                <c:pt idx="588">
                  <c:v>16.84</c:v>
                </c:pt>
                <c:pt idx="589">
                  <c:v>16.87</c:v>
                </c:pt>
                <c:pt idx="590">
                  <c:v>16.73</c:v>
                </c:pt>
                <c:pt idx="591">
                  <c:v>16.739999999999998</c:v>
                </c:pt>
                <c:pt idx="592">
                  <c:v>16.79</c:v>
                </c:pt>
                <c:pt idx="593">
                  <c:v>16.73</c:v>
                </c:pt>
                <c:pt idx="594">
                  <c:v>16.77</c:v>
                </c:pt>
                <c:pt idx="595">
                  <c:v>16.93</c:v>
                </c:pt>
                <c:pt idx="596">
                  <c:v>16.489999999999998</c:v>
                </c:pt>
                <c:pt idx="597">
                  <c:v>16.12</c:v>
                </c:pt>
                <c:pt idx="598">
                  <c:v>15.79</c:v>
                </c:pt>
                <c:pt idx="599">
                  <c:v>15.84</c:v>
                </c:pt>
                <c:pt idx="600">
                  <c:v>15.75</c:v>
                </c:pt>
                <c:pt idx="601">
                  <c:v>15.55</c:v>
                </c:pt>
                <c:pt idx="602">
                  <c:v>15.69</c:v>
                </c:pt>
                <c:pt idx="603">
                  <c:v>15.96</c:v>
                </c:pt>
                <c:pt idx="604">
                  <c:v>16</c:v>
                </c:pt>
                <c:pt idx="605">
                  <c:v>16.03</c:v>
                </c:pt>
                <c:pt idx="606">
                  <c:v>15.91</c:v>
                </c:pt>
                <c:pt idx="607">
                  <c:v>15.67</c:v>
                </c:pt>
                <c:pt idx="608">
                  <c:v>15.78</c:v>
                </c:pt>
                <c:pt idx="609">
                  <c:v>15.78</c:v>
                </c:pt>
                <c:pt idx="610">
                  <c:v>15.89</c:v>
                </c:pt>
                <c:pt idx="611">
                  <c:v>15.71</c:v>
                </c:pt>
                <c:pt idx="612">
                  <c:v>15.62</c:v>
                </c:pt>
                <c:pt idx="613">
                  <c:v>15.59</c:v>
                </c:pt>
                <c:pt idx="614">
                  <c:v>15.55</c:v>
                </c:pt>
                <c:pt idx="615">
                  <c:v>15.64</c:v>
                </c:pt>
                <c:pt idx="616">
                  <c:v>15.75</c:v>
                </c:pt>
                <c:pt idx="617">
                  <c:v>15.78</c:v>
                </c:pt>
                <c:pt idx="618">
                  <c:v>15.64</c:v>
                </c:pt>
                <c:pt idx="619">
                  <c:v>15.6</c:v>
                </c:pt>
                <c:pt idx="620">
                  <c:v>15.55</c:v>
                </c:pt>
                <c:pt idx="621">
                  <c:v>15.45</c:v>
                </c:pt>
                <c:pt idx="622">
                  <c:v>15.4</c:v>
                </c:pt>
                <c:pt idx="623">
                  <c:v>15.64</c:v>
                </c:pt>
                <c:pt idx="624">
                  <c:v>15.61</c:v>
                </c:pt>
                <c:pt idx="625">
                  <c:v>15.67</c:v>
                </c:pt>
                <c:pt idx="626">
                  <c:v>15.7</c:v>
                </c:pt>
                <c:pt idx="627">
                  <c:v>15.81</c:v>
                </c:pt>
                <c:pt idx="628">
                  <c:v>15.94</c:v>
                </c:pt>
                <c:pt idx="629">
                  <c:v>15.49</c:v>
                </c:pt>
                <c:pt idx="630">
                  <c:v>15.21</c:v>
                </c:pt>
                <c:pt idx="631">
                  <c:v>15.62</c:v>
                </c:pt>
                <c:pt idx="632">
                  <c:v>15.71</c:v>
                </c:pt>
                <c:pt idx="633">
                  <c:v>15.91</c:v>
                </c:pt>
                <c:pt idx="634">
                  <c:v>16.329999999999998</c:v>
                </c:pt>
                <c:pt idx="635">
                  <c:v>16.53</c:v>
                </c:pt>
                <c:pt idx="636">
                  <c:v>16.59</c:v>
                </c:pt>
                <c:pt idx="637">
                  <c:v>16.760000000000002</c:v>
                </c:pt>
                <c:pt idx="638">
                  <c:v>16.46</c:v>
                </c:pt>
                <c:pt idx="639">
                  <c:v>16.43</c:v>
                </c:pt>
                <c:pt idx="640">
                  <c:v>16.36</c:v>
                </c:pt>
                <c:pt idx="641">
                  <c:v>16.329999999999998</c:v>
                </c:pt>
                <c:pt idx="642">
                  <c:v>16.2</c:v>
                </c:pt>
                <c:pt idx="643">
                  <c:v>16.2</c:v>
                </c:pt>
                <c:pt idx="644">
                  <c:v>16.52</c:v>
                </c:pt>
                <c:pt idx="645">
                  <c:v>16.39</c:v>
                </c:pt>
                <c:pt idx="646">
                  <c:v>16.36</c:v>
                </c:pt>
                <c:pt idx="647">
                  <c:v>16.25</c:v>
                </c:pt>
                <c:pt idx="648">
                  <c:v>16.329999999999998</c:v>
                </c:pt>
                <c:pt idx="649">
                  <c:v>16.78</c:v>
                </c:pt>
                <c:pt idx="650">
                  <c:v>17.440000000000001</c:v>
                </c:pt>
                <c:pt idx="651">
                  <c:v>17.37</c:v>
                </c:pt>
                <c:pt idx="652">
                  <c:v>17.66</c:v>
                </c:pt>
                <c:pt idx="653">
                  <c:v>17.72</c:v>
                </c:pt>
                <c:pt idx="654">
                  <c:v>18.12</c:v>
                </c:pt>
                <c:pt idx="655">
                  <c:v>17.87</c:v>
                </c:pt>
                <c:pt idx="656">
                  <c:v>17.89</c:v>
                </c:pt>
                <c:pt idx="657">
                  <c:v>17.71</c:v>
                </c:pt>
                <c:pt idx="658">
                  <c:v>17.75</c:v>
                </c:pt>
                <c:pt idx="659">
                  <c:v>17.87</c:v>
                </c:pt>
                <c:pt idx="660">
                  <c:v>17.809999999999999</c:v>
                </c:pt>
                <c:pt idx="661">
                  <c:v>17.78</c:v>
                </c:pt>
                <c:pt idx="662">
                  <c:v>18.25</c:v>
                </c:pt>
                <c:pt idx="663">
                  <c:v>18.27</c:v>
                </c:pt>
                <c:pt idx="664">
                  <c:v>18.39</c:v>
                </c:pt>
                <c:pt idx="665">
                  <c:v>18.38</c:v>
                </c:pt>
                <c:pt idx="666">
                  <c:v>18.43</c:v>
                </c:pt>
                <c:pt idx="667">
                  <c:v>18.420000000000002</c:v>
                </c:pt>
                <c:pt idx="668">
                  <c:v>18.53</c:v>
                </c:pt>
                <c:pt idx="669">
                  <c:v>18.72</c:v>
                </c:pt>
                <c:pt idx="670">
                  <c:v>18.23</c:v>
                </c:pt>
                <c:pt idx="671">
                  <c:v>18.45</c:v>
                </c:pt>
                <c:pt idx="672">
                  <c:v>18.86</c:v>
                </c:pt>
                <c:pt idx="673">
                  <c:v>18.72</c:v>
                </c:pt>
                <c:pt idx="674">
                  <c:v>18.600000000000001</c:v>
                </c:pt>
                <c:pt idx="675">
                  <c:v>18.3</c:v>
                </c:pt>
                <c:pt idx="676">
                  <c:v>18.559999999999999</c:v>
                </c:pt>
                <c:pt idx="677">
                  <c:v>18.52</c:v>
                </c:pt>
                <c:pt idx="678">
                  <c:v>18.600000000000001</c:v>
                </c:pt>
                <c:pt idx="679">
                  <c:v>18.829999999999998</c:v>
                </c:pt>
                <c:pt idx="680">
                  <c:v>18.989999999999998</c:v>
                </c:pt>
                <c:pt idx="681">
                  <c:v>18.71</c:v>
                </c:pt>
                <c:pt idx="682">
                  <c:v>18.75</c:v>
                </c:pt>
                <c:pt idx="683">
                  <c:v>18.600000000000001</c:v>
                </c:pt>
                <c:pt idx="684">
                  <c:v>18.3</c:v>
                </c:pt>
                <c:pt idx="685">
                  <c:v>18.38</c:v>
                </c:pt>
                <c:pt idx="686">
                  <c:v>18.59</c:v>
                </c:pt>
                <c:pt idx="687">
                  <c:v>18.63</c:v>
                </c:pt>
                <c:pt idx="688">
                  <c:v>18.510000000000002</c:v>
                </c:pt>
                <c:pt idx="689">
                  <c:v>18.420000000000002</c:v>
                </c:pt>
                <c:pt idx="690">
                  <c:v>18.239999999999998</c:v>
                </c:pt>
                <c:pt idx="691">
                  <c:v>18.309999999999999</c:v>
                </c:pt>
                <c:pt idx="692">
                  <c:v>18.420000000000002</c:v>
                </c:pt>
                <c:pt idx="693">
                  <c:v>18.27</c:v>
                </c:pt>
                <c:pt idx="694">
                  <c:v>18.010000000000002</c:v>
                </c:pt>
                <c:pt idx="695">
                  <c:v>17.940000000000001</c:v>
                </c:pt>
                <c:pt idx="696">
                  <c:v>18.059999999999999</c:v>
                </c:pt>
                <c:pt idx="697">
                  <c:v>17.34</c:v>
                </c:pt>
                <c:pt idx="698">
                  <c:v>16.68</c:v>
                </c:pt>
                <c:pt idx="699">
                  <c:v>16.82</c:v>
                </c:pt>
                <c:pt idx="700">
                  <c:v>16.96</c:v>
                </c:pt>
                <c:pt idx="701">
                  <c:v>16.68</c:v>
                </c:pt>
                <c:pt idx="702">
                  <c:v>16.649999999999999</c:v>
                </c:pt>
                <c:pt idx="703">
                  <c:v>16.62</c:v>
                </c:pt>
                <c:pt idx="704">
                  <c:v>16.66</c:v>
                </c:pt>
                <c:pt idx="705">
                  <c:v>16.940000000000001</c:v>
                </c:pt>
                <c:pt idx="706">
                  <c:v>17.100000000000001</c:v>
                </c:pt>
                <c:pt idx="707">
                  <c:v>17.14</c:v>
                </c:pt>
                <c:pt idx="708">
                  <c:v>17</c:v>
                </c:pt>
                <c:pt idx="709">
                  <c:v>17.29</c:v>
                </c:pt>
                <c:pt idx="710">
                  <c:v>16.96</c:v>
                </c:pt>
                <c:pt idx="711">
                  <c:v>16.97</c:v>
                </c:pt>
                <c:pt idx="712">
                  <c:v>17.309999999999999</c:v>
                </c:pt>
                <c:pt idx="713">
                  <c:v>17.32</c:v>
                </c:pt>
                <c:pt idx="714">
                  <c:v>17.2</c:v>
                </c:pt>
                <c:pt idx="715">
                  <c:v>16.93</c:v>
                </c:pt>
                <c:pt idx="716">
                  <c:v>16.100000000000001</c:v>
                </c:pt>
                <c:pt idx="717">
                  <c:v>16.170000000000002</c:v>
                </c:pt>
                <c:pt idx="718">
                  <c:v>16.04</c:v>
                </c:pt>
                <c:pt idx="719">
                  <c:v>16.489999999999998</c:v>
                </c:pt>
                <c:pt idx="720">
                  <c:v>16.25</c:v>
                </c:pt>
                <c:pt idx="721">
                  <c:v>16.3</c:v>
                </c:pt>
                <c:pt idx="722">
                  <c:v>16.09</c:v>
                </c:pt>
                <c:pt idx="723">
                  <c:v>16.3</c:v>
                </c:pt>
                <c:pt idx="724">
                  <c:v>16.34</c:v>
                </c:pt>
                <c:pt idx="725">
                  <c:v>16.170000000000002</c:v>
                </c:pt>
                <c:pt idx="726">
                  <c:v>16.239999999999998</c:v>
                </c:pt>
                <c:pt idx="727">
                  <c:v>16.25</c:v>
                </c:pt>
                <c:pt idx="728">
                  <c:v>16.010000000000002</c:v>
                </c:pt>
                <c:pt idx="729">
                  <c:v>16.100000000000001</c:v>
                </c:pt>
                <c:pt idx="730">
                  <c:v>16.2</c:v>
                </c:pt>
                <c:pt idx="731">
                  <c:v>16.07</c:v>
                </c:pt>
                <c:pt idx="732">
                  <c:v>16.16</c:v>
                </c:pt>
                <c:pt idx="733">
                  <c:v>16.13</c:v>
                </c:pt>
                <c:pt idx="734">
                  <c:v>15.91</c:v>
                </c:pt>
                <c:pt idx="735">
                  <c:v>16</c:v>
                </c:pt>
                <c:pt idx="736">
                  <c:v>15.59</c:v>
                </c:pt>
                <c:pt idx="737">
                  <c:v>15.25</c:v>
                </c:pt>
                <c:pt idx="738">
                  <c:v>15.32</c:v>
                </c:pt>
                <c:pt idx="739">
                  <c:v>15.08</c:v>
                </c:pt>
                <c:pt idx="740">
                  <c:v>15.36</c:v>
                </c:pt>
                <c:pt idx="741">
                  <c:v>15.47</c:v>
                </c:pt>
                <c:pt idx="742">
                  <c:v>15.54</c:v>
                </c:pt>
                <c:pt idx="743">
                  <c:v>15.37</c:v>
                </c:pt>
                <c:pt idx="744">
                  <c:v>15.38</c:v>
                </c:pt>
                <c:pt idx="745">
                  <c:v>15.11</c:v>
                </c:pt>
                <c:pt idx="746">
                  <c:v>15.13</c:v>
                </c:pt>
                <c:pt idx="747">
                  <c:v>15.2</c:v>
                </c:pt>
                <c:pt idx="748">
                  <c:v>15.15</c:v>
                </c:pt>
                <c:pt idx="749">
                  <c:v>15.04</c:v>
                </c:pt>
                <c:pt idx="750">
                  <c:v>15.09</c:v>
                </c:pt>
                <c:pt idx="751">
                  <c:v>15.46</c:v>
                </c:pt>
                <c:pt idx="752">
                  <c:v>15.26</c:v>
                </c:pt>
                <c:pt idx="753">
                  <c:v>15.44</c:v>
                </c:pt>
                <c:pt idx="754">
                  <c:v>15.55</c:v>
                </c:pt>
                <c:pt idx="755">
                  <c:v>15.59</c:v>
                </c:pt>
                <c:pt idx="756">
                  <c:v>15.78</c:v>
                </c:pt>
                <c:pt idx="757">
                  <c:v>15.65</c:v>
                </c:pt>
                <c:pt idx="758">
                  <c:v>15.37</c:v>
                </c:pt>
                <c:pt idx="759">
                  <c:v>14.97</c:v>
                </c:pt>
                <c:pt idx="760">
                  <c:v>16.02</c:v>
                </c:pt>
                <c:pt idx="761">
                  <c:v>16.239999999999998</c:v>
                </c:pt>
                <c:pt idx="762">
                  <c:v>16.149999999999999</c:v>
                </c:pt>
                <c:pt idx="763">
                  <c:v>16.18</c:v>
                </c:pt>
                <c:pt idx="764">
                  <c:v>16.02</c:v>
                </c:pt>
                <c:pt idx="765">
                  <c:v>15.86</c:v>
                </c:pt>
                <c:pt idx="766">
                  <c:v>15.46</c:v>
                </c:pt>
                <c:pt idx="767">
                  <c:v>15.63</c:v>
                </c:pt>
                <c:pt idx="768">
                  <c:v>15.56</c:v>
                </c:pt>
                <c:pt idx="769">
                  <c:v>15.43</c:v>
                </c:pt>
                <c:pt idx="770">
                  <c:v>15.86</c:v>
                </c:pt>
                <c:pt idx="771">
                  <c:v>15.71</c:v>
                </c:pt>
                <c:pt idx="772">
                  <c:v>16.02</c:v>
                </c:pt>
                <c:pt idx="773">
                  <c:v>16.170000000000002</c:v>
                </c:pt>
                <c:pt idx="774">
                  <c:v>16.14</c:v>
                </c:pt>
                <c:pt idx="775">
                  <c:v>16.27</c:v>
                </c:pt>
                <c:pt idx="776">
                  <c:v>16.18</c:v>
                </c:pt>
                <c:pt idx="777">
                  <c:v>16.149999999999999</c:v>
                </c:pt>
                <c:pt idx="778">
                  <c:v>16.149999999999999</c:v>
                </c:pt>
                <c:pt idx="779">
                  <c:v>16.47</c:v>
                </c:pt>
                <c:pt idx="780">
                  <c:v>16.37</c:v>
                </c:pt>
                <c:pt idx="781">
                  <c:v>16.43</c:v>
                </c:pt>
                <c:pt idx="782">
                  <c:v>16.329999999999998</c:v>
                </c:pt>
                <c:pt idx="783">
                  <c:v>16.149999999999999</c:v>
                </c:pt>
                <c:pt idx="784">
                  <c:v>15.94</c:v>
                </c:pt>
                <c:pt idx="785">
                  <c:v>15.99</c:v>
                </c:pt>
                <c:pt idx="786">
                  <c:v>16.16</c:v>
                </c:pt>
                <c:pt idx="787">
                  <c:v>15.94</c:v>
                </c:pt>
                <c:pt idx="788">
                  <c:v>15.8</c:v>
                </c:pt>
                <c:pt idx="789">
                  <c:v>15.96</c:v>
                </c:pt>
                <c:pt idx="790">
                  <c:v>15.85</c:v>
                </c:pt>
                <c:pt idx="791">
                  <c:v>15.76</c:v>
                </c:pt>
                <c:pt idx="792">
                  <c:v>15.69</c:v>
                </c:pt>
                <c:pt idx="793">
                  <c:v>15.58</c:v>
                </c:pt>
                <c:pt idx="794">
                  <c:v>15.71</c:v>
                </c:pt>
                <c:pt idx="795">
                  <c:v>15.45</c:v>
                </c:pt>
                <c:pt idx="796">
                  <c:v>15.35</c:v>
                </c:pt>
                <c:pt idx="797">
                  <c:v>15.21</c:v>
                </c:pt>
                <c:pt idx="798">
                  <c:v>15.44</c:v>
                </c:pt>
                <c:pt idx="799">
                  <c:v>15.58</c:v>
                </c:pt>
                <c:pt idx="800">
                  <c:v>15.58</c:v>
                </c:pt>
                <c:pt idx="801">
                  <c:v>15.34</c:v>
                </c:pt>
                <c:pt idx="802">
                  <c:v>15.17</c:v>
                </c:pt>
                <c:pt idx="803">
                  <c:v>15.35</c:v>
                </c:pt>
                <c:pt idx="804">
                  <c:v>15.2</c:v>
                </c:pt>
                <c:pt idx="805">
                  <c:v>15.25</c:v>
                </c:pt>
                <c:pt idx="806">
                  <c:v>15.26</c:v>
                </c:pt>
                <c:pt idx="807">
                  <c:v>15.2</c:v>
                </c:pt>
                <c:pt idx="808">
                  <c:v>15.02</c:v>
                </c:pt>
                <c:pt idx="809">
                  <c:v>15.03</c:v>
                </c:pt>
                <c:pt idx="810">
                  <c:v>15.28</c:v>
                </c:pt>
                <c:pt idx="811">
                  <c:v>15.15</c:v>
                </c:pt>
                <c:pt idx="812">
                  <c:v>14.97</c:v>
                </c:pt>
                <c:pt idx="813">
                  <c:v>15.13</c:v>
                </c:pt>
                <c:pt idx="814">
                  <c:v>15.12</c:v>
                </c:pt>
                <c:pt idx="815">
                  <c:v>14.9</c:v>
                </c:pt>
                <c:pt idx="816">
                  <c:v>14.75</c:v>
                </c:pt>
                <c:pt idx="817">
                  <c:v>14.83</c:v>
                </c:pt>
                <c:pt idx="818">
                  <c:v>14.75</c:v>
                </c:pt>
                <c:pt idx="819">
                  <c:v>16.11</c:v>
                </c:pt>
                <c:pt idx="820">
                  <c:v>16.260000000000002</c:v>
                </c:pt>
                <c:pt idx="821">
                  <c:v>15.73</c:v>
                </c:pt>
                <c:pt idx="822">
                  <c:v>15.5</c:v>
                </c:pt>
                <c:pt idx="823">
                  <c:v>15.27</c:v>
                </c:pt>
                <c:pt idx="824">
                  <c:v>14.62</c:v>
                </c:pt>
                <c:pt idx="825">
                  <c:v>14.77</c:v>
                </c:pt>
                <c:pt idx="826">
                  <c:v>14.56</c:v>
                </c:pt>
                <c:pt idx="827">
                  <c:v>14.6</c:v>
                </c:pt>
                <c:pt idx="828">
                  <c:v>14.62</c:v>
                </c:pt>
                <c:pt idx="829">
                  <c:v>14.79</c:v>
                </c:pt>
                <c:pt idx="830">
                  <c:v>14.68</c:v>
                </c:pt>
                <c:pt idx="831">
                  <c:v>14.62</c:v>
                </c:pt>
                <c:pt idx="832">
                  <c:v>14.46</c:v>
                </c:pt>
                <c:pt idx="833">
                  <c:v>14.33</c:v>
                </c:pt>
                <c:pt idx="834">
                  <c:v>14.21</c:v>
                </c:pt>
                <c:pt idx="835">
                  <c:v>14.1</c:v>
                </c:pt>
                <c:pt idx="836">
                  <c:v>13.83</c:v>
                </c:pt>
                <c:pt idx="837">
                  <c:v>14.07</c:v>
                </c:pt>
                <c:pt idx="838">
                  <c:v>14</c:v>
                </c:pt>
                <c:pt idx="839">
                  <c:v>14.23</c:v>
                </c:pt>
                <c:pt idx="840">
                  <c:v>14.4</c:v>
                </c:pt>
                <c:pt idx="841">
                  <c:v>14.21</c:v>
                </c:pt>
                <c:pt idx="842">
                  <c:v>14.15</c:v>
                </c:pt>
                <c:pt idx="843">
                  <c:v>14.42</c:v>
                </c:pt>
                <c:pt idx="844">
                  <c:v>14.38</c:v>
                </c:pt>
                <c:pt idx="845">
                  <c:v>14.05</c:v>
                </c:pt>
                <c:pt idx="846">
                  <c:v>14.04</c:v>
                </c:pt>
                <c:pt idx="847">
                  <c:v>14.23</c:v>
                </c:pt>
                <c:pt idx="848">
                  <c:v>14.23</c:v>
                </c:pt>
                <c:pt idx="849">
                  <c:v>14.01</c:v>
                </c:pt>
                <c:pt idx="850">
                  <c:v>14.37</c:v>
                </c:pt>
                <c:pt idx="851">
                  <c:v>14.4</c:v>
                </c:pt>
                <c:pt idx="852">
                  <c:v>14.32</c:v>
                </c:pt>
                <c:pt idx="853">
                  <c:v>14.27</c:v>
                </c:pt>
                <c:pt idx="854">
                  <c:v>14.24</c:v>
                </c:pt>
                <c:pt idx="855">
                  <c:v>14.05</c:v>
                </c:pt>
                <c:pt idx="856">
                  <c:v>13.96</c:v>
                </c:pt>
                <c:pt idx="857">
                  <c:v>13.94</c:v>
                </c:pt>
                <c:pt idx="858">
                  <c:v>14.05</c:v>
                </c:pt>
                <c:pt idx="859">
                  <c:v>13.69</c:v>
                </c:pt>
                <c:pt idx="860">
                  <c:v>13.6</c:v>
                </c:pt>
                <c:pt idx="861">
                  <c:v>13.63</c:v>
                </c:pt>
                <c:pt idx="862">
                  <c:v>13.56</c:v>
                </c:pt>
                <c:pt idx="863">
                  <c:v>13.77</c:v>
                </c:pt>
                <c:pt idx="864">
                  <c:v>13.53</c:v>
                </c:pt>
                <c:pt idx="865">
                  <c:v>13.49</c:v>
                </c:pt>
                <c:pt idx="866">
                  <c:v>13.73</c:v>
                </c:pt>
                <c:pt idx="867">
                  <c:v>13.7</c:v>
                </c:pt>
                <c:pt idx="868">
                  <c:v>13.7</c:v>
                </c:pt>
                <c:pt idx="869">
                  <c:v>13.69</c:v>
                </c:pt>
                <c:pt idx="870">
                  <c:v>13.73</c:v>
                </c:pt>
                <c:pt idx="871">
                  <c:v>13.8</c:v>
                </c:pt>
                <c:pt idx="872">
                  <c:v>13.95</c:v>
                </c:pt>
                <c:pt idx="873">
                  <c:v>13.9</c:v>
                </c:pt>
                <c:pt idx="874">
                  <c:v>13.95</c:v>
                </c:pt>
                <c:pt idx="875">
                  <c:v>13.74</c:v>
                </c:pt>
                <c:pt idx="876">
                  <c:v>13.33</c:v>
                </c:pt>
                <c:pt idx="877">
                  <c:v>13.27</c:v>
                </c:pt>
                <c:pt idx="878">
                  <c:v>13.3</c:v>
                </c:pt>
                <c:pt idx="879">
                  <c:v>13.35</c:v>
                </c:pt>
                <c:pt idx="880">
                  <c:v>13.33</c:v>
                </c:pt>
                <c:pt idx="881">
                  <c:v>13.3</c:v>
                </c:pt>
                <c:pt idx="882">
                  <c:v>13.43</c:v>
                </c:pt>
                <c:pt idx="883">
                  <c:v>13.63</c:v>
                </c:pt>
                <c:pt idx="884">
                  <c:v>13.62</c:v>
                </c:pt>
                <c:pt idx="885">
                  <c:v>13.82</c:v>
                </c:pt>
                <c:pt idx="886">
                  <c:v>15.32</c:v>
                </c:pt>
                <c:pt idx="887">
                  <c:v>15.66</c:v>
                </c:pt>
                <c:pt idx="888">
                  <c:v>15.61</c:v>
                </c:pt>
                <c:pt idx="889">
                  <c:v>15.48</c:v>
                </c:pt>
                <c:pt idx="890">
                  <c:v>15.55</c:v>
                </c:pt>
                <c:pt idx="891">
                  <c:v>15.59</c:v>
                </c:pt>
                <c:pt idx="892">
                  <c:v>15.63</c:v>
                </c:pt>
                <c:pt idx="893">
                  <c:v>15.65</c:v>
                </c:pt>
                <c:pt idx="894">
                  <c:v>15.38</c:v>
                </c:pt>
                <c:pt idx="895">
                  <c:v>15.22</c:v>
                </c:pt>
                <c:pt idx="896">
                  <c:v>15.05</c:v>
                </c:pt>
                <c:pt idx="897">
                  <c:v>15.27</c:v>
                </c:pt>
                <c:pt idx="898">
                  <c:v>15.08</c:v>
                </c:pt>
                <c:pt idx="899">
                  <c:v>15.2</c:v>
                </c:pt>
                <c:pt idx="900">
                  <c:v>14.9</c:v>
                </c:pt>
                <c:pt idx="901">
                  <c:v>15.16</c:v>
                </c:pt>
                <c:pt idx="902">
                  <c:v>15.19</c:v>
                </c:pt>
                <c:pt idx="903">
                  <c:v>15.16</c:v>
                </c:pt>
                <c:pt idx="904">
                  <c:v>15.43</c:v>
                </c:pt>
                <c:pt idx="905">
                  <c:v>15.19</c:v>
                </c:pt>
                <c:pt idx="906">
                  <c:v>15.55</c:v>
                </c:pt>
                <c:pt idx="907">
                  <c:v>15.5</c:v>
                </c:pt>
                <c:pt idx="908">
                  <c:v>15.87</c:v>
                </c:pt>
                <c:pt idx="909">
                  <c:v>15.9</c:v>
                </c:pt>
                <c:pt idx="910">
                  <c:v>16.3</c:v>
                </c:pt>
                <c:pt idx="911">
                  <c:v>16.350000000000001</c:v>
                </c:pt>
                <c:pt idx="912">
                  <c:v>16.39</c:v>
                </c:pt>
                <c:pt idx="913">
                  <c:v>16.32</c:v>
                </c:pt>
                <c:pt idx="914">
                  <c:v>16.239999999999998</c:v>
                </c:pt>
                <c:pt idx="915">
                  <c:v>16.170000000000002</c:v>
                </c:pt>
                <c:pt idx="916">
                  <c:v>16.100000000000001</c:v>
                </c:pt>
                <c:pt idx="917">
                  <c:v>16.3</c:v>
                </c:pt>
                <c:pt idx="918">
                  <c:v>16.45</c:v>
                </c:pt>
                <c:pt idx="919">
                  <c:v>16.78</c:v>
                </c:pt>
                <c:pt idx="920">
                  <c:v>16.71</c:v>
                </c:pt>
                <c:pt idx="921">
                  <c:v>16.86</c:v>
                </c:pt>
                <c:pt idx="922">
                  <c:v>17.12</c:v>
                </c:pt>
                <c:pt idx="923">
                  <c:v>17.16</c:v>
                </c:pt>
                <c:pt idx="924">
                  <c:v>17.260000000000002</c:v>
                </c:pt>
                <c:pt idx="925">
                  <c:v>17.16</c:v>
                </c:pt>
                <c:pt idx="926">
                  <c:v>17.07</c:v>
                </c:pt>
                <c:pt idx="927">
                  <c:v>17.2</c:v>
                </c:pt>
                <c:pt idx="928">
                  <c:v>17.36</c:v>
                </c:pt>
                <c:pt idx="929">
                  <c:v>17.2</c:v>
                </c:pt>
                <c:pt idx="930">
                  <c:v>17.079999999999998</c:v>
                </c:pt>
                <c:pt idx="931">
                  <c:v>16.89</c:v>
                </c:pt>
                <c:pt idx="932">
                  <c:v>17.3</c:v>
                </c:pt>
                <c:pt idx="933">
                  <c:v>17.510000000000002</c:v>
                </c:pt>
                <c:pt idx="934">
                  <c:v>17.07</c:v>
                </c:pt>
                <c:pt idx="935">
                  <c:v>16.87</c:v>
                </c:pt>
                <c:pt idx="936">
                  <c:v>16.77</c:v>
                </c:pt>
                <c:pt idx="937">
                  <c:v>16.75</c:v>
                </c:pt>
                <c:pt idx="938">
                  <c:v>17</c:v>
                </c:pt>
                <c:pt idx="939">
                  <c:v>16.71</c:v>
                </c:pt>
                <c:pt idx="940">
                  <c:v>16.96</c:v>
                </c:pt>
                <c:pt idx="941">
                  <c:v>17.100000000000001</c:v>
                </c:pt>
                <c:pt idx="942">
                  <c:v>16.850000000000001</c:v>
                </c:pt>
                <c:pt idx="943">
                  <c:v>16.88</c:v>
                </c:pt>
                <c:pt idx="944">
                  <c:v>16.829999999999998</c:v>
                </c:pt>
                <c:pt idx="945">
                  <c:v>16.760000000000002</c:v>
                </c:pt>
                <c:pt idx="946">
                  <c:v>16.62</c:v>
                </c:pt>
                <c:pt idx="947">
                  <c:v>16.510000000000002</c:v>
                </c:pt>
                <c:pt idx="948">
                  <c:v>16.260000000000002</c:v>
                </c:pt>
                <c:pt idx="949">
                  <c:v>16</c:v>
                </c:pt>
                <c:pt idx="950">
                  <c:v>16.149999999999999</c:v>
                </c:pt>
                <c:pt idx="951">
                  <c:v>15.98</c:v>
                </c:pt>
                <c:pt idx="952">
                  <c:v>15.87</c:v>
                </c:pt>
                <c:pt idx="953">
                  <c:v>16.239999999999998</c:v>
                </c:pt>
                <c:pt idx="954">
                  <c:v>16.36</c:v>
                </c:pt>
                <c:pt idx="955">
                  <c:v>16.16</c:v>
                </c:pt>
                <c:pt idx="956">
                  <c:v>16.37</c:v>
                </c:pt>
                <c:pt idx="957">
                  <c:v>16.12</c:v>
                </c:pt>
                <c:pt idx="958">
                  <c:v>16.18</c:v>
                </c:pt>
                <c:pt idx="959">
                  <c:v>16.079999999999998</c:v>
                </c:pt>
                <c:pt idx="960">
                  <c:v>16.09</c:v>
                </c:pt>
                <c:pt idx="961">
                  <c:v>16.350000000000001</c:v>
                </c:pt>
                <c:pt idx="962">
                  <c:v>16.21</c:v>
                </c:pt>
                <c:pt idx="963">
                  <c:v>16.05</c:v>
                </c:pt>
                <c:pt idx="964">
                  <c:v>15.91</c:v>
                </c:pt>
                <c:pt idx="965">
                  <c:v>16.309999999999999</c:v>
                </c:pt>
                <c:pt idx="966">
                  <c:v>16.8</c:v>
                </c:pt>
                <c:pt idx="967">
                  <c:v>16.809999999999999</c:v>
                </c:pt>
                <c:pt idx="968">
                  <c:v>16.52</c:v>
                </c:pt>
                <c:pt idx="969">
                  <c:v>16.59</c:v>
                </c:pt>
                <c:pt idx="970">
                  <c:v>17.57</c:v>
                </c:pt>
                <c:pt idx="971">
                  <c:v>17.399999999999999</c:v>
                </c:pt>
                <c:pt idx="972">
                  <c:v>17.420000000000002</c:v>
                </c:pt>
                <c:pt idx="973">
                  <c:v>17.73</c:v>
                </c:pt>
                <c:pt idx="974">
                  <c:v>18.12</c:v>
                </c:pt>
                <c:pt idx="975">
                  <c:v>18.41</c:v>
                </c:pt>
                <c:pt idx="976">
                  <c:v>18.260000000000002</c:v>
                </c:pt>
                <c:pt idx="977">
                  <c:v>17.690000000000001</c:v>
                </c:pt>
                <c:pt idx="978">
                  <c:v>17.62</c:v>
                </c:pt>
                <c:pt idx="979">
                  <c:v>17.88</c:v>
                </c:pt>
                <c:pt idx="980">
                  <c:v>17.53</c:v>
                </c:pt>
                <c:pt idx="981">
                  <c:v>17.38</c:v>
                </c:pt>
                <c:pt idx="982">
                  <c:v>17.32</c:v>
                </c:pt>
                <c:pt idx="983">
                  <c:v>17.47</c:v>
                </c:pt>
                <c:pt idx="984">
                  <c:v>17.48</c:v>
                </c:pt>
                <c:pt idx="985">
                  <c:v>17.670000000000002</c:v>
                </c:pt>
                <c:pt idx="986">
                  <c:v>17.73</c:v>
                </c:pt>
                <c:pt idx="987">
                  <c:v>17.55</c:v>
                </c:pt>
                <c:pt idx="988">
                  <c:v>17.73</c:v>
                </c:pt>
                <c:pt idx="989">
                  <c:v>17.23</c:v>
                </c:pt>
                <c:pt idx="990">
                  <c:v>16.59</c:v>
                </c:pt>
                <c:pt idx="991">
                  <c:v>16.82</c:v>
                </c:pt>
                <c:pt idx="992">
                  <c:v>16.670000000000002</c:v>
                </c:pt>
                <c:pt idx="993">
                  <c:v>16.45</c:v>
                </c:pt>
                <c:pt idx="994">
                  <c:v>16.32</c:v>
                </c:pt>
                <c:pt idx="995">
                  <c:v>16.52</c:v>
                </c:pt>
                <c:pt idx="996">
                  <c:v>16.97</c:v>
                </c:pt>
                <c:pt idx="997">
                  <c:v>16.809999999999999</c:v>
                </c:pt>
                <c:pt idx="998">
                  <c:v>16.86</c:v>
                </c:pt>
                <c:pt idx="999">
                  <c:v>16.61</c:v>
                </c:pt>
                <c:pt idx="1000">
                  <c:v>16.579999999999998</c:v>
                </c:pt>
                <c:pt idx="1001">
                  <c:v>16.53</c:v>
                </c:pt>
                <c:pt idx="1002">
                  <c:v>16.37</c:v>
                </c:pt>
                <c:pt idx="1003">
                  <c:v>16.25</c:v>
                </c:pt>
                <c:pt idx="1004">
                  <c:v>15.88</c:v>
                </c:pt>
                <c:pt idx="1005">
                  <c:v>15.83</c:v>
                </c:pt>
                <c:pt idx="1006">
                  <c:v>16.04</c:v>
                </c:pt>
                <c:pt idx="1007">
                  <c:v>16.12</c:v>
                </c:pt>
                <c:pt idx="1008">
                  <c:v>15.81</c:v>
                </c:pt>
                <c:pt idx="1009">
                  <c:v>16.03</c:v>
                </c:pt>
                <c:pt idx="1010">
                  <c:v>15.18</c:v>
                </c:pt>
                <c:pt idx="1011">
                  <c:v>15.21</c:v>
                </c:pt>
                <c:pt idx="1012">
                  <c:v>15.59</c:v>
                </c:pt>
                <c:pt idx="1013">
                  <c:v>15.15</c:v>
                </c:pt>
                <c:pt idx="1014">
                  <c:v>15.52</c:v>
                </c:pt>
                <c:pt idx="1015">
                  <c:v>15.66</c:v>
                </c:pt>
                <c:pt idx="1016">
                  <c:v>15.71</c:v>
                </c:pt>
                <c:pt idx="1017">
                  <c:v>15.14</c:v>
                </c:pt>
                <c:pt idx="1018">
                  <c:v>15.07</c:v>
                </c:pt>
                <c:pt idx="1019">
                  <c:v>15</c:v>
                </c:pt>
                <c:pt idx="1020">
                  <c:v>15.19</c:v>
                </c:pt>
                <c:pt idx="1021">
                  <c:v>14.91</c:v>
                </c:pt>
                <c:pt idx="1022">
                  <c:v>14.82</c:v>
                </c:pt>
                <c:pt idx="1023">
                  <c:v>14.75</c:v>
                </c:pt>
                <c:pt idx="1024">
                  <c:v>14.81</c:v>
                </c:pt>
                <c:pt idx="1025">
                  <c:v>15.11</c:v>
                </c:pt>
                <c:pt idx="1026">
                  <c:v>15.11</c:v>
                </c:pt>
                <c:pt idx="1027">
                  <c:v>15.46</c:v>
                </c:pt>
                <c:pt idx="1028">
                  <c:v>15.43</c:v>
                </c:pt>
                <c:pt idx="1029">
                  <c:v>15.79</c:v>
                </c:pt>
                <c:pt idx="1030">
                  <c:v>16.05</c:v>
                </c:pt>
                <c:pt idx="1031">
                  <c:v>16.48</c:v>
                </c:pt>
                <c:pt idx="1032">
                  <c:v>17.079999999999998</c:v>
                </c:pt>
                <c:pt idx="1033">
                  <c:v>16.920000000000002</c:v>
                </c:pt>
                <c:pt idx="1034">
                  <c:v>16.45</c:v>
                </c:pt>
                <c:pt idx="1035">
                  <c:v>16.36</c:v>
                </c:pt>
                <c:pt idx="1036">
                  <c:v>15.96</c:v>
                </c:pt>
                <c:pt idx="1037">
                  <c:v>16.059999999999999</c:v>
                </c:pt>
                <c:pt idx="1038">
                  <c:v>16.350000000000001</c:v>
                </c:pt>
                <c:pt idx="1039">
                  <c:v>16.25</c:v>
                </c:pt>
                <c:pt idx="1040">
                  <c:v>16.36</c:v>
                </c:pt>
                <c:pt idx="1041">
                  <c:v>16.329999999999998</c:v>
                </c:pt>
                <c:pt idx="1042">
                  <c:v>16.55</c:v>
                </c:pt>
                <c:pt idx="1043">
                  <c:v>17.03</c:v>
                </c:pt>
                <c:pt idx="1044">
                  <c:v>17.09</c:v>
                </c:pt>
                <c:pt idx="1045">
                  <c:v>17.09</c:v>
                </c:pt>
                <c:pt idx="1046">
                  <c:v>17.329999999999998</c:v>
                </c:pt>
                <c:pt idx="1047">
                  <c:v>17.559999999999999</c:v>
                </c:pt>
                <c:pt idx="1048">
                  <c:v>17.73</c:v>
                </c:pt>
                <c:pt idx="1049">
                  <c:v>17.84</c:v>
                </c:pt>
                <c:pt idx="1050">
                  <c:v>17.89</c:v>
                </c:pt>
                <c:pt idx="1051">
                  <c:v>17.850000000000001</c:v>
                </c:pt>
                <c:pt idx="1052">
                  <c:v>17.850000000000001</c:v>
                </c:pt>
                <c:pt idx="1053">
                  <c:v>17.89</c:v>
                </c:pt>
                <c:pt idx="1054">
                  <c:v>18.09</c:v>
                </c:pt>
                <c:pt idx="1055">
                  <c:v>17.920000000000002</c:v>
                </c:pt>
                <c:pt idx="1056">
                  <c:v>18</c:v>
                </c:pt>
                <c:pt idx="1057">
                  <c:v>18.03</c:v>
                </c:pt>
                <c:pt idx="1058">
                  <c:v>17.89</c:v>
                </c:pt>
                <c:pt idx="1059">
                  <c:v>17.850000000000001</c:v>
                </c:pt>
                <c:pt idx="1060">
                  <c:v>17.3</c:v>
                </c:pt>
                <c:pt idx="1061">
                  <c:v>17.420000000000002</c:v>
                </c:pt>
                <c:pt idx="1062">
                  <c:v>17.3</c:v>
                </c:pt>
                <c:pt idx="1063">
                  <c:v>17</c:v>
                </c:pt>
                <c:pt idx="1064">
                  <c:v>16.61</c:v>
                </c:pt>
                <c:pt idx="1065">
                  <c:v>15.9</c:v>
                </c:pt>
                <c:pt idx="1066">
                  <c:v>16.48</c:v>
                </c:pt>
                <c:pt idx="1067">
                  <c:v>16.760000000000002</c:v>
                </c:pt>
                <c:pt idx="1068">
                  <c:v>17.05</c:v>
                </c:pt>
                <c:pt idx="1069">
                  <c:v>16.62</c:v>
                </c:pt>
                <c:pt idx="1070">
                  <c:v>16.61</c:v>
                </c:pt>
                <c:pt idx="1071">
                  <c:v>16.37</c:v>
                </c:pt>
                <c:pt idx="1072">
                  <c:v>16.13</c:v>
                </c:pt>
                <c:pt idx="1073">
                  <c:v>15.89</c:v>
                </c:pt>
                <c:pt idx="1074">
                  <c:v>16.079999999999998</c:v>
                </c:pt>
                <c:pt idx="1075">
                  <c:v>16.170000000000002</c:v>
                </c:pt>
                <c:pt idx="1076">
                  <c:v>16.39</c:v>
                </c:pt>
                <c:pt idx="1077">
                  <c:v>16.920000000000002</c:v>
                </c:pt>
                <c:pt idx="1078">
                  <c:v>17.010000000000002</c:v>
                </c:pt>
                <c:pt idx="1079">
                  <c:v>16.809999999999999</c:v>
                </c:pt>
                <c:pt idx="1080">
                  <c:v>16.579999999999998</c:v>
                </c:pt>
                <c:pt idx="1081">
                  <c:v>16.739999999999998</c:v>
                </c:pt>
                <c:pt idx="1082">
                  <c:v>16.43</c:v>
                </c:pt>
                <c:pt idx="1083">
                  <c:v>16.52</c:v>
                </c:pt>
                <c:pt idx="1084">
                  <c:v>16.39</c:v>
                </c:pt>
                <c:pt idx="1085">
                  <c:v>16.66</c:v>
                </c:pt>
                <c:pt idx="1086">
                  <c:v>16.579999999999998</c:v>
                </c:pt>
                <c:pt idx="1087">
                  <c:v>16.37</c:v>
                </c:pt>
                <c:pt idx="1088">
                  <c:v>16.260000000000002</c:v>
                </c:pt>
                <c:pt idx="1089">
                  <c:v>16.66</c:v>
                </c:pt>
                <c:pt idx="1090">
                  <c:v>15.77</c:v>
                </c:pt>
                <c:pt idx="1091">
                  <c:v>15.69</c:v>
                </c:pt>
                <c:pt idx="1092">
                  <c:v>16.239999999999998</c:v>
                </c:pt>
                <c:pt idx="1093">
                  <c:v>16.190000000000001</c:v>
                </c:pt>
                <c:pt idx="1094">
                  <c:v>15.85</c:v>
                </c:pt>
                <c:pt idx="1095">
                  <c:v>16.27</c:v>
                </c:pt>
                <c:pt idx="1096">
                  <c:v>16.760000000000002</c:v>
                </c:pt>
                <c:pt idx="1097">
                  <c:v>17.010000000000002</c:v>
                </c:pt>
                <c:pt idx="1098">
                  <c:v>17.21</c:v>
                </c:pt>
                <c:pt idx="1099">
                  <c:v>17.25</c:v>
                </c:pt>
                <c:pt idx="1100">
                  <c:v>17.21</c:v>
                </c:pt>
                <c:pt idx="1101">
                  <c:v>17.32</c:v>
                </c:pt>
                <c:pt idx="1102">
                  <c:v>16.899999999999999</c:v>
                </c:pt>
                <c:pt idx="1103">
                  <c:v>16.739999999999998</c:v>
                </c:pt>
                <c:pt idx="1104">
                  <c:v>16.68</c:v>
                </c:pt>
                <c:pt idx="1105">
                  <c:v>16.2</c:v>
                </c:pt>
                <c:pt idx="1106">
                  <c:v>15.93</c:v>
                </c:pt>
                <c:pt idx="1107">
                  <c:v>16.16</c:v>
                </c:pt>
                <c:pt idx="1108">
                  <c:v>16.59</c:v>
                </c:pt>
                <c:pt idx="1109">
                  <c:v>16.420000000000002</c:v>
                </c:pt>
                <c:pt idx="1110">
                  <c:v>16.36</c:v>
                </c:pt>
                <c:pt idx="1111">
                  <c:v>16.489999999999998</c:v>
                </c:pt>
                <c:pt idx="1112">
                  <c:v>17.22</c:v>
                </c:pt>
                <c:pt idx="1113">
                  <c:v>16.63</c:v>
                </c:pt>
                <c:pt idx="1114">
                  <c:v>17.079999999999998</c:v>
                </c:pt>
                <c:pt idx="1115">
                  <c:v>17.149999999999999</c:v>
                </c:pt>
                <c:pt idx="1116">
                  <c:v>17.04</c:v>
                </c:pt>
                <c:pt idx="1117">
                  <c:v>17.350000000000001</c:v>
                </c:pt>
                <c:pt idx="1118">
                  <c:v>17.399999999999999</c:v>
                </c:pt>
                <c:pt idx="1119">
                  <c:v>17.43</c:v>
                </c:pt>
                <c:pt idx="1120">
                  <c:v>17.829999999999998</c:v>
                </c:pt>
                <c:pt idx="1121">
                  <c:v>18.100000000000001</c:v>
                </c:pt>
                <c:pt idx="1122">
                  <c:v>17.75</c:v>
                </c:pt>
                <c:pt idx="1123">
                  <c:v>17.690000000000001</c:v>
                </c:pt>
                <c:pt idx="1124">
                  <c:v>17.45</c:v>
                </c:pt>
                <c:pt idx="1125">
                  <c:v>18</c:v>
                </c:pt>
                <c:pt idx="1126">
                  <c:v>17.670000000000002</c:v>
                </c:pt>
                <c:pt idx="1127">
                  <c:v>17.670000000000002</c:v>
                </c:pt>
                <c:pt idx="1128">
                  <c:v>17.920000000000002</c:v>
                </c:pt>
                <c:pt idx="1129">
                  <c:v>17.79</c:v>
                </c:pt>
                <c:pt idx="1130">
                  <c:v>18.16</c:v>
                </c:pt>
                <c:pt idx="1131">
                  <c:v>18.059999999999999</c:v>
                </c:pt>
                <c:pt idx="1132">
                  <c:v>17.93</c:v>
                </c:pt>
                <c:pt idx="1133">
                  <c:v>18.05</c:v>
                </c:pt>
                <c:pt idx="1134">
                  <c:v>17.96</c:v>
                </c:pt>
                <c:pt idx="1135">
                  <c:v>18.600000000000001</c:v>
                </c:pt>
                <c:pt idx="1136">
                  <c:v>19.82</c:v>
                </c:pt>
                <c:pt idx="1137">
                  <c:v>20.239999999999998</c:v>
                </c:pt>
                <c:pt idx="1138">
                  <c:v>20.81</c:v>
                </c:pt>
                <c:pt idx="1139">
                  <c:v>20.91</c:v>
                </c:pt>
                <c:pt idx="1140">
                  <c:v>21.05</c:v>
                </c:pt>
                <c:pt idx="1141">
                  <c:v>21.41</c:v>
                </c:pt>
                <c:pt idx="1142">
                  <c:v>21.72</c:v>
                </c:pt>
                <c:pt idx="1143">
                  <c:v>21.61</c:v>
                </c:pt>
                <c:pt idx="1144">
                  <c:v>21.85</c:v>
                </c:pt>
                <c:pt idx="1145">
                  <c:v>21.92</c:v>
                </c:pt>
                <c:pt idx="1146">
                  <c:v>22.05</c:v>
                </c:pt>
                <c:pt idx="1147">
                  <c:v>21.7</c:v>
                </c:pt>
                <c:pt idx="1148">
                  <c:v>21.71</c:v>
                </c:pt>
                <c:pt idx="1149">
                  <c:v>21.66</c:v>
                </c:pt>
                <c:pt idx="1150">
                  <c:v>21.34</c:v>
                </c:pt>
                <c:pt idx="1151">
                  <c:v>21.77</c:v>
                </c:pt>
                <c:pt idx="1152">
                  <c:v>21.26</c:v>
                </c:pt>
                <c:pt idx="1153">
                  <c:v>21.99</c:v>
                </c:pt>
                <c:pt idx="1154">
                  <c:v>21.5</c:v>
                </c:pt>
                <c:pt idx="1155">
                  <c:v>22.05</c:v>
                </c:pt>
                <c:pt idx="1156">
                  <c:v>21.24</c:v>
                </c:pt>
                <c:pt idx="1157">
                  <c:v>21.68</c:v>
                </c:pt>
                <c:pt idx="1158">
                  <c:v>21.08</c:v>
                </c:pt>
                <c:pt idx="1159">
                  <c:v>20.93</c:v>
                </c:pt>
                <c:pt idx="1160">
                  <c:v>20.98</c:v>
                </c:pt>
                <c:pt idx="1161">
                  <c:v>20.48</c:v>
                </c:pt>
                <c:pt idx="1162">
                  <c:v>19.829999999999998</c:v>
                </c:pt>
                <c:pt idx="1163">
                  <c:v>19.72</c:v>
                </c:pt>
                <c:pt idx="1164">
                  <c:v>19.77</c:v>
                </c:pt>
                <c:pt idx="1165">
                  <c:v>19.829999999999998</c:v>
                </c:pt>
                <c:pt idx="1166">
                  <c:v>19.46</c:v>
                </c:pt>
                <c:pt idx="1167">
                  <c:v>19.72</c:v>
                </c:pt>
                <c:pt idx="1168">
                  <c:v>20.05</c:v>
                </c:pt>
                <c:pt idx="1169">
                  <c:v>19.53</c:v>
                </c:pt>
                <c:pt idx="1170">
                  <c:v>19.95</c:v>
                </c:pt>
                <c:pt idx="1171">
                  <c:v>20.239999999999998</c:v>
                </c:pt>
                <c:pt idx="1172">
                  <c:v>19.760000000000002</c:v>
                </c:pt>
                <c:pt idx="1173">
                  <c:v>19.690000000000001</c:v>
                </c:pt>
                <c:pt idx="1174">
                  <c:v>20.05</c:v>
                </c:pt>
                <c:pt idx="1175">
                  <c:v>20.100000000000001</c:v>
                </c:pt>
                <c:pt idx="1176">
                  <c:v>19.48</c:v>
                </c:pt>
                <c:pt idx="1177">
                  <c:v>19.55</c:v>
                </c:pt>
                <c:pt idx="1178">
                  <c:v>20.14</c:v>
                </c:pt>
                <c:pt idx="1179">
                  <c:v>20.55</c:v>
                </c:pt>
                <c:pt idx="1180">
                  <c:v>20.100000000000001</c:v>
                </c:pt>
                <c:pt idx="1181">
                  <c:v>19.73</c:v>
                </c:pt>
                <c:pt idx="1182">
                  <c:v>20.100000000000001</c:v>
                </c:pt>
                <c:pt idx="1183">
                  <c:v>19.98</c:v>
                </c:pt>
                <c:pt idx="1184">
                  <c:v>20.87</c:v>
                </c:pt>
                <c:pt idx="1185">
                  <c:v>20.65</c:v>
                </c:pt>
                <c:pt idx="1186">
                  <c:v>20.69</c:v>
                </c:pt>
                <c:pt idx="1187">
                  <c:v>19.899999999999999</c:v>
                </c:pt>
                <c:pt idx="1188">
                  <c:v>19.149999999999999</c:v>
                </c:pt>
                <c:pt idx="1189">
                  <c:v>19.66</c:v>
                </c:pt>
                <c:pt idx="1190">
                  <c:v>19.739999999999998</c:v>
                </c:pt>
                <c:pt idx="1191">
                  <c:v>20.14</c:v>
                </c:pt>
                <c:pt idx="1192">
                  <c:v>20.55</c:v>
                </c:pt>
                <c:pt idx="1193">
                  <c:v>20.79</c:v>
                </c:pt>
                <c:pt idx="1194">
                  <c:v>21.48</c:v>
                </c:pt>
                <c:pt idx="1195">
                  <c:v>22.4</c:v>
                </c:pt>
                <c:pt idx="1196">
                  <c:v>23</c:v>
                </c:pt>
                <c:pt idx="1197">
                  <c:v>22.48</c:v>
                </c:pt>
                <c:pt idx="1198">
                  <c:v>22.61</c:v>
                </c:pt>
                <c:pt idx="1199">
                  <c:v>21.97</c:v>
                </c:pt>
                <c:pt idx="1200">
                  <c:v>21.75</c:v>
                </c:pt>
                <c:pt idx="1201">
                  <c:v>21.25</c:v>
                </c:pt>
                <c:pt idx="1202">
                  <c:v>21.17</c:v>
                </c:pt>
                <c:pt idx="1203">
                  <c:v>21.34</c:v>
                </c:pt>
                <c:pt idx="1204">
                  <c:v>22.05</c:v>
                </c:pt>
                <c:pt idx="1205">
                  <c:v>22.18</c:v>
                </c:pt>
                <c:pt idx="1206">
                  <c:v>22.22</c:v>
                </c:pt>
                <c:pt idx="1207">
                  <c:v>22.31</c:v>
                </c:pt>
                <c:pt idx="1208">
                  <c:v>22.28</c:v>
                </c:pt>
                <c:pt idx="1209">
                  <c:v>22.21</c:v>
                </c:pt>
                <c:pt idx="1210">
                  <c:v>22.24</c:v>
                </c:pt>
                <c:pt idx="1211">
                  <c:v>21.71</c:v>
                </c:pt>
                <c:pt idx="1212">
                  <c:v>21.54</c:v>
                </c:pt>
                <c:pt idx="1213">
                  <c:v>21.27</c:v>
                </c:pt>
                <c:pt idx="1214">
                  <c:v>20.8</c:v>
                </c:pt>
                <c:pt idx="1215">
                  <c:v>21.11</c:v>
                </c:pt>
                <c:pt idx="1216">
                  <c:v>21.17</c:v>
                </c:pt>
                <c:pt idx="1217">
                  <c:v>20.420000000000002</c:v>
                </c:pt>
                <c:pt idx="1218">
                  <c:v>20.100000000000001</c:v>
                </c:pt>
                <c:pt idx="1219">
                  <c:v>19.850000000000001</c:v>
                </c:pt>
                <c:pt idx="1220">
                  <c:v>20.36</c:v>
                </c:pt>
                <c:pt idx="1221">
                  <c:v>20.41</c:v>
                </c:pt>
                <c:pt idx="1222">
                  <c:v>20.58</c:v>
                </c:pt>
                <c:pt idx="1223">
                  <c:v>20.25</c:v>
                </c:pt>
                <c:pt idx="1224">
                  <c:v>19.54</c:v>
                </c:pt>
                <c:pt idx="1225">
                  <c:v>20.09</c:v>
                </c:pt>
                <c:pt idx="1226">
                  <c:v>20.58</c:v>
                </c:pt>
                <c:pt idx="1227">
                  <c:v>19.7</c:v>
                </c:pt>
                <c:pt idx="1228">
                  <c:v>19.829999999999998</c:v>
                </c:pt>
                <c:pt idx="1229">
                  <c:v>19.86</c:v>
                </c:pt>
                <c:pt idx="1230">
                  <c:v>19.489999999999998</c:v>
                </c:pt>
                <c:pt idx="1231">
                  <c:v>19.850000000000001</c:v>
                </c:pt>
                <c:pt idx="1232">
                  <c:v>20.100000000000001</c:v>
                </c:pt>
                <c:pt idx="1233">
                  <c:v>19.989999999999998</c:v>
                </c:pt>
                <c:pt idx="1234">
                  <c:v>20.71</c:v>
                </c:pt>
                <c:pt idx="1235">
                  <c:v>20.76</c:v>
                </c:pt>
                <c:pt idx="1236">
                  <c:v>20.84</c:v>
                </c:pt>
                <c:pt idx="1237">
                  <c:v>21.1</c:v>
                </c:pt>
                <c:pt idx="1238">
                  <c:v>20.75</c:v>
                </c:pt>
                <c:pt idx="1239">
                  <c:v>20.81</c:v>
                </c:pt>
                <c:pt idx="1240">
                  <c:v>20.37</c:v>
                </c:pt>
                <c:pt idx="1241">
                  <c:v>20.16</c:v>
                </c:pt>
                <c:pt idx="1242">
                  <c:v>20.46</c:v>
                </c:pt>
                <c:pt idx="1243">
                  <c:v>20.58</c:v>
                </c:pt>
                <c:pt idx="1244">
                  <c:v>20.010000000000002</c:v>
                </c:pt>
                <c:pt idx="1245">
                  <c:v>19.940000000000001</c:v>
                </c:pt>
                <c:pt idx="1246">
                  <c:v>19.940000000000001</c:v>
                </c:pt>
                <c:pt idx="1247">
                  <c:v>19.899999999999999</c:v>
                </c:pt>
                <c:pt idx="1248">
                  <c:v>19.73</c:v>
                </c:pt>
                <c:pt idx="1249">
                  <c:v>19.559999999999999</c:v>
                </c:pt>
                <c:pt idx="1250">
                  <c:v>19.809999999999999</c:v>
                </c:pt>
                <c:pt idx="1251">
                  <c:v>19.8</c:v>
                </c:pt>
                <c:pt idx="1252">
                  <c:v>19.920000000000002</c:v>
                </c:pt>
                <c:pt idx="1253">
                  <c:v>19.96</c:v>
                </c:pt>
              </c:numCache>
            </c:numRef>
          </c:val>
          <c:smooth val="0"/>
          <c:extLst>
            <c:ext xmlns:c16="http://schemas.microsoft.com/office/drawing/2014/chart" uri="{C3380CC4-5D6E-409C-BE32-E72D297353CC}">
              <c16:uniqueId val="{00000000-C62A-433E-B8B8-F5C58FD76722}"/>
            </c:ext>
          </c:extLst>
        </c:ser>
        <c:dLbls>
          <c:showLegendKey val="0"/>
          <c:showVal val="0"/>
          <c:showCatName val="0"/>
          <c:showSerName val="0"/>
          <c:showPercent val="0"/>
          <c:showBubbleSize val="0"/>
        </c:dLbls>
        <c:smooth val="0"/>
        <c:axId val="1846832576"/>
        <c:axId val="1846829696"/>
      </c:lineChart>
      <c:catAx>
        <c:axId val="184683257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846829696"/>
        <c:crosses val="autoZero"/>
        <c:auto val="1"/>
        <c:lblAlgn val="ctr"/>
        <c:lblOffset val="100"/>
        <c:noMultiLvlLbl val="0"/>
      </c:catAx>
      <c:valAx>
        <c:axId val="1846829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83257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'Input Sheet'!$O$3</c:f>
              <c:strCache>
                <c:ptCount val="1"/>
                <c:pt idx="0">
                  <c:v>Volume</c:v>
                </c:pt>
              </c:strCache>
            </c:strRef>
          </c:tx>
          <c:spPr>
            <a:solidFill>
              <a:schemeClr val="accent1"/>
            </a:solidFill>
            <a:ln>
              <a:solidFill>
                <a:schemeClr val="accent4">
                  <a:lumMod val="75000"/>
                </a:schemeClr>
              </a:solidFill>
            </a:ln>
            <a:effectLst/>
          </c:spPr>
          <c:cat>
            <c:strRef>
              <c:f>'Input Sheet'!$M$4:$M$1257</c:f>
              <c:strCache>
                <c:ptCount val="1254"/>
                <c:pt idx="0">
                  <c:v>Oct 22, 2026</c:v>
                </c:pt>
                <c:pt idx="1">
                  <c:v>Oct 21, 2026</c:v>
                </c:pt>
                <c:pt idx="2">
                  <c:v>Oct 20, 2026</c:v>
                </c:pt>
                <c:pt idx="3">
                  <c:v>Oct 19, 2026</c:v>
                </c:pt>
                <c:pt idx="4">
                  <c:v>Oct 16, 2026</c:v>
                </c:pt>
                <c:pt idx="5">
                  <c:v>Oct 15, 2026</c:v>
                </c:pt>
                <c:pt idx="6">
                  <c:v>Oct 14, 2026</c:v>
                </c:pt>
                <c:pt idx="7">
                  <c:v>Oct 13, 2026</c:v>
                </c:pt>
                <c:pt idx="8">
                  <c:v>Oct 12, 2026</c:v>
                </c:pt>
                <c:pt idx="9">
                  <c:v>Oct 09, 2026</c:v>
                </c:pt>
                <c:pt idx="10">
                  <c:v>Oct 08, 2026</c:v>
                </c:pt>
                <c:pt idx="11">
                  <c:v>Oct 07, 2026</c:v>
                </c:pt>
                <c:pt idx="12">
                  <c:v>Oct 06, 2026</c:v>
                </c:pt>
                <c:pt idx="13">
                  <c:v>Oct 05, 2026</c:v>
                </c:pt>
                <c:pt idx="14">
                  <c:v>Oct 02, 2026</c:v>
                </c:pt>
                <c:pt idx="15">
                  <c:v>Oct 01, 2026</c:v>
                </c:pt>
                <c:pt idx="16">
                  <c:v>Sep 30, 2026</c:v>
                </c:pt>
                <c:pt idx="17">
                  <c:v>Sep 29, 2026</c:v>
                </c:pt>
                <c:pt idx="18">
                  <c:v>Sep 28, 2026</c:v>
                </c:pt>
                <c:pt idx="19">
                  <c:v>Sep 25, 2026</c:v>
                </c:pt>
                <c:pt idx="20">
                  <c:v>Sep 24, 2026</c:v>
                </c:pt>
                <c:pt idx="21">
                  <c:v>Sep 23, 2026</c:v>
                </c:pt>
                <c:pt idx="22">
                  <c:v>Sep 22, 2026</c:v>
                </c:pt>
                <c:pt idx="23">
                  <c:v>Sep 21, 2026</c:v>
                </c:pt>
                <c:pt idx="24">
                  <c:v>Sep 18, 2026</c:v>
                </c:pt>
                <c:pt idx="25">
                  <c:v>Sep 17, 2026</c:v>
                </c:pt>
                <c:pt idx="26">
                  <c:v>Sep 16, 2026</c:v>
                </c:pt>
                <c:pt idx="27">
                  <c:v>Sep 15, 2026</c:v>
                </c:pt>
                <c:pt idx="28">
                  <c:v>Sep 14, 2026</c:v>
                </c:pt>
                <c:pt idx="29">
                  <c:v>Sep 11, 2026</c:v>
                </c:pt>
                <c:pt idx="30">
                  <c:v>Sep 10, 2026</c:v>
                </c:pt>
                <c:pt idx="31">
                  <c:v>Sep 09, 2026</c:v>
                </c:pt>
                <c:pt idx="32">
                  <c:v>Sep 08, 2026</c:v>
                </c:pt>
                <c:pt idx="33">
                  <c:v>Sep 04, 2026</c:v>
                </c:pt>
                <c:pt idx="34">
                  <c:v>Sep 03, 2026</c:v>
                </c:pt>
                <c:pt idx="35">
                  <c:v>Sep 02, 2026</c:v>
                </c:pt>
                <c:pt idx="36">
                  <c:v>Sep 01, 2026</c:v>
                </c:pt>
                <c:pt idx="37">
                  <c:v>Aug 31, 2026</c:v>
                </c:pt>
                <c:pt idx="38">
                  <c:v>Aug 28, 2026</c:v>
                </c:pt>
                <c:pt idx="39">
                  <c:v>Aug 27, 2026</c:v>
                </c:pt>
                <c:pt idx="40">
                  <c:v>Aug 26, 2026</c:v>
                </c:pt>
                <c:pt idx="41">
                  <c:v>Aug 25, 2026</c:v>
                </c:pt>
                <c:pt idx="42">
                  <c:v>Aug 24, 2026</c:v>
                </c:pt>
                <c:pt idx="43">
                  <c:v>Aug 21, 2026</c:v>
                </c:pt>
                <c:pt idx="44">
                  <c:v>Aug 20, 2026</c:v>
                </c:pt>
                <c:pt idx="45">
                  <c:v>Aug 19, 2026</c:v>
                </c:pt>
                <c:pt idx="46">
                  <c:v>Aug 18, 2026</c:v>
                </c:pt>
                <c:pt idx="47">
                  <c:v>Aug 17, 2026</c:v>
                </c:pt>
                <c:pt idx="48">
                  <c:v>Aug 14, 2026</c:v>
                </c:pt>
                <c:pt idx="49">
                  <c:v>Aug 13, 2026</c:v>
                </c:pt>
                <c:pt idx="50">
                  <c:v>Aug 12, 2026</c:v>
                </c:pt>
                <c:pt idx="51">
                  <c:v>Aug 11, 2026</c:v>
                </c:pt>
                <c:pt idx="52">
                  <c:v>Aug 10, 2026</c:v>
                </c:pt>
                <c:pt idx="53">
                  <c:v>Aug 07, 2026</c:v>
                </c:pt>
                <c:pt idx="54">
                  <c:v>Aug 06, 2026</c:v>
                </c:pt>
                <c:pt idx="55">
                  <c:v>Aug 05, 2026</c:v>
                </c:pt>
                <c:pt idx="56">
                  <c:v>Aug 04, 2026</c:v>
                </c:pt>
                <c:pt idx="57">
                  <c:v>Aug 03, 2026</c:v>
                </c:pt>
                <c:pt idx="58">
                  <c:v>Jul 31, 2026</c:v>
                </c:pt>
                <c:pt idx="59">
                  <c:v>Jul 30, 2026</c:v>
                </c:pt>
                <c:pt idx="60">
                  <c:v>Jul 29, 2026</c:v>
                </c:pt>
                <c:pt idx="61">
                  <c:v>Jul 28, 2026</c:v>
                </c:pt>
                <c:pt idx="62">
                  <c:v>Jul 27, 2026</c:v>
                </c:pt>
                <c:pt idx="63">
                  <c:v>Jul 24, 2026</c:v>
                </c:pt>
                <c:pt idx="64">
                  <c:v>Jul 23, 2026</c:v>
                </c:pt>
                <c:pt idx="65">
                  <c:v>Jul 22, 2026</c:v>
                </c:pt>
                <c:pt idx="66">
                  <c:v>Jul 21, 2026</c:v>
                </c:pt>
                <c:pt idx="67">
                  <c:v>Jul 20, 2026</c:v>
                </c:pt>
                <c:pt idx="68">
                  <c:v>Jul 17, 2026</c:v>
                </c:pt>
                <c:pt idx="69">
                  <c:v>Jul 16, 2026</c:v>
                </c:pt>
                <c:pt idx="70">
                  <c:v>Jul 15, 2026</c:v>
                </c:pt>
                <c:pt idx="71">
                  <c:v>Jul 14, 2026</c:v>
                </c:pt>
                <c:pt idx="72">
                  <c:v>Jul 13, 2026</c:v>
                </c:pt>
                <c:pt idx="73">
                  <c:v>Jul 10, 2026</c:v>
                </c:pt>
                <c:pt idx="74">
                  <c:v>Jul 09, 2026</c:v>
                </c:pt>
                <c:pt idx="75">
                  <c:v>Jul 08, 2026</c:v>
                </c:pt>
                <c:pt idx="76">
                  <c:v>Jul 07, 2026</c:v>
                </c:pt>
                <c:pt idx="77">
                  <c:v>Jul 06, 2026</c:v>
                </c:pt>
                <c:pt idx="78">
                  <c:v>Jul 02, 2026</c:v>
                </c:pt>
                <c:pt idx="79">
                  <c:v>Jul 01, 2026</c:v>
                </c:pt>
                <c:pt idx="80">
                  <c:v>Jun 30, 2026</c:v>
                </c:pt>
                <c:pt idx="81">
                  <c:v>Jun 29, 2026</c:v>
                </c:pt>
                <c:pt idx="82">
                  <c:v>Jun 26, 2026</c:v>
                </c:pt>
                <c:pt idx="83">
                  <c:v>Jun 25, 2026</c:v>
                </c:pt>
                <c:pt idx="84">
                  <c:v>Jun 24, 2026</c:v>
                </c:pt>
                <c:pt idx="85">
                  <c:v>Jun 23, 2026</c:v>
                </c:pt>
                <c:pt idx="86">
                  <c:v>Jun 22, 2026</c:v>
                </c:pt>
                <c:pt idx="87">
                  <c:v>Jun 18, 2026</c:v>
                </c:pt>
                <c:pt idx="88">
                  <c:v>Jun 17, 2026</c:v>
                </c:pt>
                <c:pt idx="89">
                  <c:v>Jun 16, 2026</c:v>
                </c:pt>
                <c:pt idx="90">
                  <c:v>Jun 15, 2026</c:v>
                </c:pt>
                <c:pt idx="91">
                  <c:v>Jun 12, 2026</c:v>
                </c:pt>
                <c:pt idx="92">
                  <c:v>Jun 11, 2026</c:v>
                </c:pt>
                <c:pt idx="93">
                  <c:v>Jun 10, 2026</c:v>
                </c:pt>
                <c:pt idx="94">
                  <c:v>Jun 09, 2026</c:v>
                </c:pt>
                <c:pt idx="95">
                  <c:v>Jun 08, 2026</c:v>
                </c:pt>
                <c:pt idx="96">
                  <c:v>Jun 05, 2026</c:v>
                </c:pt>
                <c:pt idx="97">
                  <c:v>Jun 04, 2026</c:v>
                </c:pt>
                <c:pt idx="98">
                  <c:v>Jun 03, 2026</c:v>
                </c:pt>
                <c:pt idx="99">
                  <c:v>Jun 02, 2026</c:v>
                </c:pt>
                <c:pt idx="100">
                  <c:v>Jun 01, 2026</c:v>
                </c:pt>
                <c:pt idx="101">
                  <c:v>May 29, 2026</c:v>
                </c:pt>
                <c:pt idx="102">
                  <c:v>May 28, 2026</c:v>
                </c:pt>
                <c:pt idx="103">
                  <c:v>May 27, 2026</c:v>
                </c:pt>
                <c:pt idx="104">
                  <c:v>May 26, 2026</c:v>
                </c:pt>
                <c:pt idx="105">
                  <c:v>May 22, 2026</c:v>
                </c:pt>
                <c:pt idx="106">
                  <c:v>May 21, 2026</c:v>
                </c:pt>
                <c:pt idx="107">
                  <c:v>May 20, 2026</c:v>
                </c:pt>
                <c:pt idx="108">
                  <c:v>May 19, 2026</c:v>
                </c:pt>
                <c:pt idx="109">
                  <c:v>May 18, 2026</c:v>
                </c:pt>
                <c:pt idx="110">
                  <c:v>May 15, 2026</c:v>
                </c:pt>
                <c:pt idx="111">
                  <c:v>May 14, 2026</c:v>
                </c:pt>
                <c:pt idx="112">
                  <c:v>May 13, 2026</c:v>
                </c:pt>
                <c:pt idx="113">
                  <c:v>May 12, 2026</c:v>
                </c:pt>
                <c:pt idx="114">
                  <c:v>May 11, 2026</c:v>
                </c:pt>
                <c:pt idx="115">
                  <c:v>May 08, 2026</c:v>
                </c:pt>
                <c:pt idx="116">
                  <c:v>May 07, 2026</c:v>
                </c:pt>
                <c:pt idx="117">
                  <c:v>May 06, 2026</c:v>
                </c:pt>
                <c:pt idx="118">
                  <c:v>May 05, 2026</c:v>
                </c:pt>
                <c:pt idx="119">
                  <c:v>May 04, 2026</c:v>
                </c:pt>
                <c:pt idx="120">
                  <c:v>May 01, 2026</c:v>
                </c:pt>
                <c:pt idx="121">
                  <c:v>Apr 30, 2026</c:v>
                </c:pt>
                <c:pt idx="122">
                  <c:v>Apr 29, 2026</c:v>
                </c:pt>
                <c:pt idx="123">
                  <c:v>Apr 28, 2026</c:v>
                </c:pt>
                <c:pt idx="124">
                  <c:v>Apr 27, 2026</c:v>
                </c:pt>
                <c:pt idx="125">
                  <c:v>Apr 24, 2026</c:v>
                </c:pt>
                <c:pt idx="126">
                  <c:v>Apr 23, 2026</c:v>
                </c:pt>
                <c:pt idx="127">
                  <c:v>Apr 22, 2026</c:v>
                </c:pt>
                <c:pt idx="128">
                  <c:v>Apr 21, 2026</c:v>
                </c:pt>
                <c:pt idx="129">
                  <c:v>Apr 20, 2026</c:v>
                </c:pt>
                <c:pt idx="130">
                  <c:v>Apr 17, 2026</c:v>
                </c:pt>
                <c:pt idx="131">
                  <c:v>Apr 16, 2026</c:v>
                </c:pt>
                <c:pt idx="132">
                  <c:v>Apr 15, 2026</c:v>
                </c:pt>
                <c:pt idx="133">
                  <c:v>Apr 14, 2026</c:v>
                </c:pt>
                <c:pt idx="134">
                  <c:v>Apr 13, 2026</c:v>
                </c:pt>
                <c:pt idx="135">
                  <c:v>Apr 10, 2026</c:v>
                </c:pt>
                <c:pt idx="136">
                  <c:v>Apr 09, 2026</c:v>
                </c:pt>
                <c:pt idx="137">
                  <c:v>Apr 08, 2026</c:v>
                </c:pt>
                <c:pt idx="138">
                  <c:v>Apr 07, 2026</c:v>
                </c:pt>
                <c:pt idx="139">
                  <c:v>Apr 06, 2026</c:v>
                </c:pt>
                <c:pt idx="140">
                  <c:v>Apr 02, 2026</c:v>
                </c:pt>
                <c:pt idx="141">
                  <c:v>Apr 01, 2026</c:v>
                </c:pt>
                <c:pt idx="142">
                  <c:v>Mar 31, 2026</c:v>
                </c:pt>
                <c:pt idx="143">
                  <c:v>Mar 30, 2026</c:v>
                </c:pt>
                <c:pt idx="144">
                  <c:v>Mar 27, 2026</c:v>
                </c:pt>
                <c:pt idx="145">
                  <c:v>Mar 26, 2026</c:v>
                </c:pt>
                <c:pt idx="146">
                  <c:v>Mar 25, 2026</c:v>
                </c:pt>
                <c:pt idx="147">
                  <c:v>Mar 24, 2026</c:v>
                </c:pt>
                <c:pt idx="148">
                  <c:v>Mar 23, 2026</c:v>
                </c:pt>
                <c:pt idx="149">
                  <c:v>Mar 20, 2026</c:v>
                </c:pt>
                <c:pt idx="150">
                  <c:v>Mar 19, 2026</c:v>
                </c:pt>
                <c:pt idx="151">
                  <c:v>Mar 18, 2026</c:v>
                </c:pt>
                <c:pt idx="152">
                  <c:v>Mar 17, 2026</c:v>
                </c:pt>
                <c:pt idx="153">
                  <c:v>Mar 16, 2026</c:v>
                </c:pt>
                <c:pt idx="154">
                  <c:v>Mar 13, 2026</c:v>
                </c:pt>
                <c:pt idx="155">
                  <c:v>Mar 12, 2026</c:v>
                </c:pt>
                <c:pt idx="156">
                  <c:v>Mar 11, 2026</c:v>
                </c:pt>
                <c:pt idx="157">
                  <c:v>Mar 10, 2026</c:v>
                </c:pt>
                <c:pt idx="158">
                  <c:v>Mar 09, 2026</c:v>
                </c:pt>
                <c:pt idx="159">
                  <c:v>Mar 06, 2026</c:v>
                </c:pt>
                <c:pt idx="160">
                  <c:v>Mar 05, 2026</c:v>
                </c:pt>
                <c:pt idx="161">
                  <c:v>Mar 04, 2026</c:v>
                </c:pt>
                <c:pt idx="162">
                  <c:v>Mar 03, 2026</c:v>
                </c:pt>
                <c:pt idx="163">
                  <c:v>Mar 02, 2026</c:v>
                </c:pt>
                <c:pt idx="164">
                  <c:v>Feb 27, 2026</c:v>
                </c:pt>
                <c:pt idx="165">
                  <c:v>Feb 26, 2026</c:v>
                </c:pt>
                <c:pt idx="166">
                  <c:v>Feb 25, 2026</c:v>
                </c:pt>
                <c:pt idx="167">
                  <c:v>Feb 24, 2026</c:v>
                </c:pt>
                <c:pt idx="168">
                  <c:v>Feb 23, 2026</c:v>
                </c:pt>
                <c:pt idx="169">
                  <c:v>Feb 20, 2026</c:v>
                </c:pt>
                <c:pt idx="170">
                  <c:v>Feb 19, 2026</c:v>
                </c:pt>
                <c:pt idx="171">
                  <c:v>Feb 18, 2026</c:v>
                </c:pt>
                <c:pt idx="172">
                  <c:v>Feb 17, 2026</c:v>
                </c:pt>
                <c:pt idx="173">
                  <c:v>Feb 13, 2026</c:v>
                </c:pt>
                <c:pt idx="174">
                  <c:v>Feb 12, 2026</c:v>
                </c:pt>
                <c:pt idx="175">
                  <c:v>Feb 11, 2026</c:v>
                </c:pt>
                <c:pt idx="176">
                  <c:v>Feb 10, 2026</c:v>
                </c:pt>
                <c:pt idx="177">
                  <c:v>Feb 09, 2026</c:v>
                </c:pt>
                <c:pt idx="178">
                  <c:v>Feb 06, 2026</c:v>
                </c:pt>
                <c:pt idx="179">
                  <c:v>Feb 05, 2026</c:v>
                </c:pt>
                <c:pt idx="180">
                  <c:v>Feb 04, 2026</c:v>
                </c:pt>
                <c:pt idx="181">
                  <c:v>Feb 03, 2026</c:v>
                </c:pt>
                <c:pt idx="182">
                  <c:v>Feb 02, 2026</c:v>
                </c:pt>
                <c:pt idx="183">
                  <c:v>Jan 30, 2026</c:v>
                </c:pt>
                <c:pt idx="184">
                  <c:v>Jan 29, 2026</c:v>
                </c:pt>
                <c:pt idx="185">
                  <c:v>Jan 28, 2026</c:v>
                </c:pt>
                <c:pt idx="186">
                  <c:v>Jan 27, 2026</c:v>
                </c:pt>
                <c:pt idx="187">
                  <c:v>Jan 26, 2026</c:v>
                </c:pt>
                <c:pt idx="188">
                  <c:v>Jan 23, 2026</c:v>
                </c:pt>
                <c:pt idx="189">
                  <c:v>Jan 22, 2026</c:v>
                </c:pt>
                <c:pt idx="190">
                  <c:v>Jan 21, 2026</c:v>
                </c:pt>
                <c:pt idx="191">
                  <c:v>Jan 20, 2026</c:v>
                </c:pt>
                <c:pt idx="192">
                  <c:v>Jan 16, 2026</c:v>
                </c:pt>
                <c:pt idx="193">
                  <c:v>Jan 15, 2026</c:v>
                </c:pt>
                <c:pt idx="194">
                  <c:v>Jan 14, 2026</c:v>
                </c:pt>
                <c:pt idx="195">
                  <c:v>Jan 13, 2026</c:v>
                </c:pt>
                <c:pt idx="196">
                  <c:v>Jan 12, 2026</c:v>
                </c:pt>
                <c:pt idx="197">
                  <c:v>Jan 09, 2026</c:v>
                </c:pt>
                <c:pt idx="198">
                  <c:v>Jan 08, 2026</c:v>
                </c:pt>
                <c:pt idx="199">
                  <c:v>Jan 07, 2026</c:v>
                </c:pt>
                <c:pt idx="200">
                  <c:v>Jan 06, 2026</c:v>
                </c:pt>
                <c:pt idx="201">
                  <c:v>Jan 05, 2026</c:v>
                </c:pt>
                <c:pt idx="202">
                  <c:v>Jan 02, 2026</c:v>
                </c:pt>
                <c:pt idx="203">
                  <c:v>Dec 31, 2025</c:v>
                </c:pt>
                <c:pt idx="204">
                  <c:v>Dec 30, 2025</c:v>
                </c:pt>
                <c:pt idx="205">
                  <c:v>Dec 29, 2025</c:v>
                </c:pt>
                <c:pt idx="206">
                  <c:v>Dec 26, 2025</c:v>
                </c:pt>
                <c:pt idx="207">
                  <c:v>Dec 24, 2025</c:v>
                </c:pt>
                <c:pt idx="208">
                  <c:v>Dec 23, 2025</c:v>
                </c:pt>
                <c:pt idx="209">
                  <c:v>Dec 22, 2025</c:v>
                </c:pt>
                <c:pt idx="210">
                  <c:v>Dec 19, 2025</c:v>
                </c:pt>
                <c:pt idx="211">
                  <c:v>Dec 18, 2025</c:v>
                </c:pt>
                <c:pt idx="212">
                  <c:v>Dec 17, 2025</c:v>
                </c:pt>
                <c:pt idx="213">
                  <c:v>Dec 16, 2025</c:v>
                </c:pt>
                <c:pt idx="214">
                  <c:v>Dec 15, 2025</c:v>
                </c:pt>
                <c:pt idx="215">
                  <c:v>Dec 12, 2025</c:v>
                </c:pt>
                <c:pt idx="216">
                  <c:v>Dec 11, 2025</c:v>
                </c:pt>
                <c:pt idx="217">
                  <c:v>Dec 10, 2025</c:v>
                </c:pt>
                <c:pt idx="218">
                  <c:v>Dec 09, 2025</c:v>
                </c:pt>
                <c:pt idx="219">
                  <c:v>Dec 08, 2025</c:v>
                </c:pt>
                <c:pt idx="220">
                  <c:v>Dec 05, 2025</c:v>
                </c:pt>
                <c:pt idx="221">
                  <c:v>Dec 04, 2025</c:v>
                </c:pt>
                <c:pt idx="222">
                  <c:v>Dec 03, 2025</c:v>
                </c:pt>
                <c:pt idx="223">
                  <c:v>Dec 02, 2025</c:v>
                </c:pt>
                <c:pt idx="224">
                  <c:v>Dec 01, 2025</c:v>
                </c:pt>
                <c:pt idx="225">
                  <c:v>Nov 28, 2025</c:v>
                </c:pt>
                <c:pt idx="226">
                  <c:v>Nov 26, 2025</c:v>
                </c:pt>
                <c:pt idx="227">
                  <c:v>Nov 25, 2025</c:v>
                </c:pt>
                <c:pt idx="228">
                  <c:v>Nov 24, 2025</c:v>
                </c:pt>
                <c:pt idx="229">
                  <c:v>Nov 21, 2025</c:v>
                </c:pt>
                <c:pt idx="230">
                  <c:v>Nov 20, 2025</c:v>
                </c:pt>
                <c:pt idx="231">
                  <c:v>Nov 19, 2025</c:v>
                </c:pt>
                <c:pt idx="232">
                  <c:v>Nov 18, 2025</c:v>
                </c:pt>
                <c:pt idx="233">
                  <c:v>Nov 17, 2025</c:v>
                </c:pt>
                <c:pt idx="234">
                  <c:v>Nov 14, 2025</c:v>
                </c:pt>
                <c:pt idx="235">
                  <c:v>Nov 13, 2025</c:v>
                </c:pt>
                <c:pt idx="236">
                  <c:v>Nov 12, 2025</c:v>
                </c:pt>
                <c:pt idx="237">
                  <c:v>Nov 11, 2025</c:v>
                </c:pt>
                <c:pt idx="238">
                  <c:v>Nov 10, 2025</c:v>
                </c:pt>
                <c:pt idx="239">
                  <c:v>Nov 07, 2025</c:v>
                </c:pt>
                <c:pt idx="240">
                  <c:v>Nov 06, 2025</c:v>
                </c:pt>
                <c:pt idx="241">
                  <c:v>Nov 05, 2025</c:v>
                </c:pt>
                <c:pt idx="242">
                  <c:v>Nov 04, 2025</c:v>
                </c:pt>
                <c:pt idx="243">
                  <c:v>Nov 03, 2025</c:v>
                </c:pt>
                <c:pt idx="244">
                  <c:v>Oct 31, 2025</c:v>
                </c:pt>
                <c:pt idx="245">
                  <c:v>Oct 30, 2025</c:v>
                </c:pt>
                <c:pt idx="246">
                  <c:v>Oct 29, 2025</c:v>
                </c:pt>
                <c:pt idx="247">
                  <c:v>Oct 28, 2025</c:v>
                </c:pt>
                <c:pt idx="248">
                  <c:v>Oct 27, 2025</c:v>
                </c:pt>
                <c:pt idx="249">
                  <c:v>Oct 24, 2025</c:v>
                </c:pt>
                <c:pt idx="250">
                  <c:v>Oct 23, 2025</c:v>
                </c:pt>
                <c:pt idx="251">
                  <c:v>Oct 22, 2025</c:v>
                </c:pt>
                <c:pt idx="252">
                  <c:v>Oct 21, 2025</c:v>
                </c:pt>
                <c:pt idx="253">
                  <c:v>Oct 20, 2025</c:v>
                </c:pt>
                <c:pt idx="254">
                  <c:v>Oct 17, 2025</c:v>
                </c:pt>
                <c:pt idx="255">
                  <c:v>Oct 16, 2025</c:v>
                </c:pt>
                <c:pt idx="256">
                  <c:v>Oct 15, 2025</c:v>
                </c:pt>
                <c:pt idx="257">
                  <c:v>Oct 14, 2025</c:v>
                </c:pt>
                <c:pt idx="258">
                  <c:v>Oct 13, 2025</c:v>
                </c:pt>
                <c:pt idx="259">
                  <c:v>Oct 10, 2025</c:v>
                </c:pt>
                <c:pt idx="260">
                  <c:v>Oct 09, 2025</c:v>
                </c:pt>
                <c:pt idx="261">
                  <c:v>Oct 08, 2025</c:v>
                </c:pt>
                <c:pt idx="262">
                  <c:v>Oct 07, 2025</c:v>
                </c:pt>
                <c:pt idx="263">
                  <c:v>Oct 06, 2025</c:v>
                </c:pt>
                <c:pt idx="264">
                  <c:v>Oct 03, 2025</c:v>
                </c:pt>
                <c:pt idx="265">
                  <c:v>Oct 02, 2025</c:v>
                </c:pt>
                <c:pt idx="266">
                  <c:v>Oct 01, 2025</c:v>
                </c:pt>
                <c:pt idx="267">
                  <c:v>Sep 30, 2025</c:v>
                </c:pt>
                <c:pt idx="268">
                  <c:v>Sep 29, 2025</c:v>
                </c:pt>
                <c:pt idx="269">
                  <c:v>Sep 26, 2025</c:v>
                </c:pt>
                <c:pt idx="270">
                  <c:v>Sep 25, 2025</c:v>
                </c:pt>
                <c:pt idx="271">
                  <c:v>Sep 24, 2025</c:v>
                </c:pt>
                <c:pt idx="272">
                  <c:v>Sep 23, 2025</c:v>
                </c:pt>
                <c:pt idx="273">
                  <c:v>Sep 22, 2025</c:v>
                </c:pt>
                <c:pt idx="274">
                  <c:v>Sep 19, 2025</c:v>
                </c:pt>
                <c:pt idx="275">
                  <c:v>Sep 18, 2025</c:v>
                </c:pt>
                <c:pt idx="276">
                  <c:v>Sep 17, 2025</c:v>
                </c:pt>
                <c:pt idx="277">
                  <c:v>Sep 16, 2025</c:v>
                </c:pt>
                <c:pt idx="278">
                  <c:v>Sep 15, 2025</c:v>
                </c:pt>
                <c:pt idx="279">
                  <c:v>Sep 12, 2025</c:v>
                </c:pt>
                <c:pt idx="280">
                  <c:v>Sep 11, 2025</c:v>
                </c:pt>
                <c:pt idx="281">
                  <c:v>Sep 10, 2025</c:v>
                </c:pt>
                <c:pt idx="282">
                  <c:v>Sep 09, 2025</c:v>
                </c:pt>
                <c:pt idx="283">
                  <c:v>Sep 08, 2025</c:v>
                </c:pt>
                <c:pt idx="284">
                  <c:v>Sep 05, 2025</c:v>
                </c:pt>
                <c:pt idx="285">
                  <c:v>Sep 04, 2025</c:v>
                </c:pt>
                <c:pt idx="286">
                  <c:v>Sep 03, 2025</c:v>
                </c:pt>
                <c:pt idx="287">
                  <c:v>Sep 02, 2025</c:v>
                </c:pt>
                <c:pt idx="288">
                  <c:v>Aug 29, 2025</c:v>
                </c:pt>
                <c:pt idx="289">
                  <c:v>Aug 28, 2025</c:v>
                </c:pt>
                <c:pt idx="290">
                  <c:v>Aug 27, 2025</c:v>
                </c:pt>
                <c:pt idx="291">
                  <c:v>Aug 26, 2025</c:v>
                </c:pt>
                <c:pt idx="292">
                  <c:v>Aug 25, 2025</c:v>
                </c:pt>
                <c:pt idx="293">
                  <c:v>Aug 22, 2025</c:v>
                </c:pt>
                <c:pt idx="294">
                  <c:v>Aug 21, 2025</c:v>
                </c:pt>
                <c:pt idx="295">
                  <c:v>Aug 20, 2025</c:v>
                </c:pt>
                <c:pt idx="296">
                  <c:v>Aug 19, 2025</c:v>
                </c:pt>
                <c:pt idx="297">
                  <c:v>Aug 18, 2025</c:v>
                </c:pt>
                <c:pt idx="298">
                  <c:v>Aug 15, 2025</c:v>
                </c:pt>
                <c:pt idx="299">
                  <c:v>Aug 14, 2025</c:v>
                </c:pt>
                <c:pt idx="300">
                  <c:v>Aug 13, 2025</c:v>
                </c:pt>
                <c:pt idx="301">
                  <c:v>Aug 12, 2025</c:v>
                </c:pt>
                <c:pt idx="302">
                  <c:v>Aug 11, 2025</c:v>
                </c:pt>
                <c:pt idx="303">
                  <c:v>Aug 08, 2025</c:v>
                </c:pt>
                <c:pt idx="304">
                  <c:v>Aug 07, 2025</c:v>
                </c:pt>
                <c:pt idx="305">
                  <c:v>Aug 06, 2025</c:v>
                </c:pt>
                <c:pt idx="306">
                  <c:v>Aug 05, 2025</c:v>
                </c:pt>
                <c:pt idx="307">
                  <c:v>Aug 04, 2025</c:v>
                </c:pt>
                <c:pt idx="308">
                  <c:v>Aug 01, 2025</c:v>
                </c:pt>
                <c:pt idx="309">
                  <c:v>Jul 31, 2025</c:v>
                </c:pt>
                <c:pt idx="310">
                  <c:v>Jul 30, 2025</c:v>
                </c:pt>
                <c:pt idx="311">
                  <c:v>Jul 29, 2025</c:v>
                </c:pt>
                <c:pt idx="312">
                  <c:v>Jul 28, 2025</c:v>
                </c:pt>
                <c:pt idx="313">
                  <c:v>Jul 25, 2025</c:v>
                </c:pt>
                <c:pt idx="314">
                  <c:v>Jul 24, 2025</c:v>
                </c:pt>
                <c:pt idx="315">
                  <c:v>Jul 23, 2025</c:v>
                </c:pt>
                <c:pt idx="316">
                  <c:v>Jul 22, 2025</c:v>
                </c:pt>
                <c:pt idx="317">
                  <c:v>Jul 21, 2025</c:v>
                </c:pt>
                <c:pt idx="318">
                  <c:v>Jul 18, 2025</c:v>
                </c:pt>
                <c:pt idx="319">
                  <c:v>Jul 17, 2025</c:v>
                </c:pt>
                <c:pt idx="320">
                  <c:v>Jul 16, 2025</c:v>
                </c:pt>
                <c:pt idx="321">
                  <c:v>Jul 15, 2025</c:v>
                </c:pt>
                <c:pt idx="322">
                  <c:v>Jul 14, 2025</c:v>
                </c:pt>
                <c:pt idx="323">
                  <c:v>Jul 11, 2025</c:v>
                </c:pt>
                <c:pt idx="324">
                  <c:v>Jul 10, 2025</c:v>
                </c:pt>
                <c:pt idx="325">
                  <c:v>Jul 09, 2025</c:v>
                </c:pt>
                <c:pt idx="326">
                  <c:v>Jul 08, 2025</c:v>
                </c:pt>
                <c:pt idx="327">
                  <c:v>Jul 07, 2025</c:v>
                </c:pt>
                <c:pt idx="328">
                  <c:v>Jul 03, 2025</c:v>
                </c:pt>
                <c:pt idx="329">
                  <c:v>Jul 02, 2025</c:v>
                </c:pt>
                <c:pt idx="330">
                  <c:v>Jul 01, 2025</c:v>
                </c:pt>
                <c:pt idx="331">
                  <c:v>Jun 30, 2025</c:v>
                </c:pt>
                <c:pt idx="332">
                  <c:v>Jun 27, 2025</c:v>
                </c:pt>
                <c:pt idx="333">
                  <c:v>Jun 26, 2025</c:v>
                </c:pt>
                <c:pt idx="334">
                  <c:v>Jun 25, 2025</c:v>
                </c:pt>
                <c:pt idx="335">
                  <c:v>Jun 24, 2025</c:v>
                </c:pt>
                <c:pt idx="336">
                  <c:v>Jun 23, 2025</c:v>
                </c:pt>
                <c:pt idx="337">
                  <c:v>Jun 20, 2025</c:v>
                </c:pt>
                <c:pt idx="338">
                  <c:v>Jun 18, 2025</c:v>
                </c:pt>
                <c:pt idx="339">
                  <c:v>Jun 17, 2025</c:v>
                </c:pt>
                <c:pt idx="340">
                  <c:v>Jun 16, 2025</c:v>
                </c:pt>
                <c:pt idx="341">
                  <c:v>Jun 13, 2025</c:v>
                </c:pt>
                <c:pt idx="342">
                  <c:v>Jun 12, 2025</c:v>
                </c:pt>
                <c:pt idx="343">
                  <c:v>Jun 11, 2025</c:v>
                </c:pt>
                <c:pt idx="344">
                  <c:v>Jun 10, 2025</c:v>
                </c:pt>
                <c:pt idx="345">
                  <c:v>Jun 09, 2025</c:v>
                </c:pt>
                <c:pt idx="346">
                  <c:v>Jun 06, 2025</c:v>
                </c:pt>
                <c:pt idx="347">
                  <c:v>Jun 05, 2025</c:v>
                </c:pt>
                <c:pt idx="348">
                  <c:v>Jun 04, 2025</c:v>
                </c:pt>
                <c:pt idx="349">
                  <c:v>Jun 03, 2025</c:v>
                </c:pt>
                <c:pt idx="350">
                  <c:v>Jun 02, 2025</c:v>
                </c:pt>
                <c:pt idx="351">
                  <c:v>May 30, 2025</c:v>
                </c:pt>
                <c:pt idx="352">
                  <c:v>May 29, 2025</c:v>
                </c:pt>
                <c:pt idx="353">
                  <c:v>May 28, 2025</c:v>
                </c:pt>
                <c:pt idx="354">
                  <c:v>May 27, 2025</c:v>
                </c:pt>
                <c:pt idx="355">
                  <c:v>May 23, 2025</c:v>
                </c:pt>
                <c:pt idx="356">
                  <c:v>May 22, 2025</c:v>
                </c:pt>
                <c:pt idx="357">
                  <c:v>May 21, 2025</c:v>
                </c:pt>
                <c:pt idx="358">
                  <c:v>May 20, 2025</c:v>
                </c:pt>
                <c:pt idx="359">
                  <c:v>May 19, 2025</c:v>
                </c:pt>
                <c:pt idx="360">
                  <c:v>May 16, 2025</c:v>
                </c:pt>
                <c:pt idx="361">
                  <c:v>May 15, 2025</c:v>
                </c:pt>
                <c:pt idx="362">
                  <c:v>May 14, 2025</c:v>
                </c:pt>
                <c:pt idx="363">
                  <c:v>May 13, 2025</c:v>
                </c:pt>
                <c:pt idx="364">
                  <c:v>May 12, 2025</c:v>
                </c:pt>
                <c:pt idx="365">
                  <c:v>May 09, 2025</c:v>
                </c:pt>
                <c:pt idx="366">
                  <c:v>May 08, 2025</c:v>
                </c:pt>
                <c:pt idx="367">
                  <c:v>May 07, 2025</c:v>
                </c:pt>
                <c:pt idx="368">
                  <c:v>May 06, 2025</c:v>
                </c:pt>
                <c:pt idx="369">
                  <c:v>May 05, 2025</c:v>
                </c:pt>
                <c:pt idx="370">
                  <c:v>May 02, 2025</c:v>
                </c:pt>
                <c:pt idx="371">
                  <c:v>May 01, 2025</c:v>
                </c:pt>
                <c:pt idx="372">
                  <c:v>Apr 30, 2025</c:v>
                </c:pt>
                <c:pt idx="373">
                  <c:v>Apr 29, 2025</c:v>
                </c:pt>
                <c:pt idx="374">
                  <c:v>Apr 28, 2025</c:v>
                </c:pt>
                <c:pt idx="375">
                  <c:v>Apr 25, 2025</c:v>
                </c:pt>
                <c:pt idx="376">
                  <c:v>Apr 24, 2025</c:v>
                </c:pt>
                <c:pt idx="377">
                  <c:v>Apr 23, 2025</c:v>
                </c:pt>
                <c:pt idx="378">
                  <c:v>Apr 22, 2025</c:v>
                </c:pt>
                <c:pt idx="379">
                  <c:v>Apr 21, 2025</c:v>
                </c:pt>
                <c:pt idx="380">
                  <c:v>Apr 17, 2025</c:v>
                </c:pt>
                <c:pt idx="381">
                  <c:v>Apr 16, 2025</c:v>
                </c:pt>
                <c:pt idx="382">
                  <c:v>Apr 15, 2025</c:v>
                </c:pt>
                <c:pt idx="383">
                  <c:v>Apr 14, 2025</c:v>
                </c:pt>
                <c:pt idx="384">
                  <c:v>Apr 11, 2025</c:v>
                </c:pt>
                <c:pt idx="385">
                  <c:v>Apr 10, 2025</c:v>
                </c:pt>
                <c:pt idx="386">
                  <c:v>Apr 09, 2025</c:v>
                </c:pt>
                <c:pt idx="387">
                  <c:v>Apr 08, 2025</c:v>
                </c:pt>
                <c:pt idx="388">
                  <c:v>Apr 07, 2025</c:v>
                </c:pt>
                <c:pt idx="389">
                  <c:v>Apr 04, 2025</c:v>
                </c:pt>
                <c:pt idx="390">
                  <c:v>Apr 03, 2025</c:v>
                </c:pt>
                <c:pt idx="391">
                  <c:v>Apr 02, 2025</c:v>
                </c:pt>
                <c:pt idx="392">
                  <c:v>Apr 01, 2025</c:v>
                </c:pt>
                <c:pt idx="393">
                  <c:v>Mar 31, 2025</c:v>
                </c:pt>
                <c:pt idx="394">
                  <c:v>Mar 28, 2025</c:v>
                </c:pt>
                <c:pt idx="395">
                  <c:v>Mar 27, 2025</c:v>
                </c:pt>
                <c:pt idx="396">
                  <c:v>Mar 26, 2025</c:v>
                </c:pt>
                <c:pt idx="397">
                  <c:v>Mar 25, 2025</c:v>
                </c:pt>
                <c:pt idx="398">
                  <c:v>Mar 24, 2025</c:v>
                </c:pt>
                <c:pt idx="399">
                  <c:v>Mar 21, 2025</c:v>
                </c:pt>
                <c:pt idx="400">
                  <c:v>Mar 20, 2025</c:v>
                </c:pt>
                <c:pt idx="401">
                  <c:v>Mar 19, 2025</c:v>
                </c:pt>
                <c:pt idx="402">
                  <c:v>Mar 18, 2025</c:v>
                </c:pt>
                <c:pt idx="403">
                  <c:v>Mar 17, 2025</c:v>
                </c:pt>
                <c:pt idx="404">
                  <c:v>Mar 14, 2025</c:v>
                </c:pt>
                <c:pt idx="405">
                  <c:v>Mar 13, 2025</c:v>
                </c:pt>
                <c:pt idx="406">
                  <c:v>Mar 12, 2025</c:v>
                </c:pt>
                <c:pt idx="407">
                  <c:v>Mar 11, 2025</c:v>
                </c:pt>
                <c:pt idx="408">
                  <c:v>Mar 10, 2025</c:v>
                </c:pt>
                <c:pt idx="409">
                  <c:v>Mar 07, 2025</c:v>
                </c:pt>
                <c:pt idx="410">
                  <c:v>Mar 06, 2025</c:v>
                </c:pt>
                <c:pt idx="411">
                  <c:v>Mar 05, 2025</c:v>
                </c:pt>
                <c:pt idx="412">
                  <c:v>Mar 04, 2025</c:v>
                </c:pt>
                <c:pt idx="413">
                  <c:v>Mar 03, 2025</c:v>
                </c:pt>
                <c:pt idx="414">
                  <c:v>Feb 28, 2025</c:v>
                </c:pt>
                <c:pt idx="415">
                  <c:v>Feb 27, 2025</c:v>
                </c:pt>
                <c:pt idx="416">
                  <c:v>Feb 26, 2025</c:v>
                </c:pt>
                <c:pt idx="417">
                  <c:v>Feb 25, 2025</c:v>
                </c:pt>
                <c:pt idx="418">
                  <c:v>Feb 24, 2025</c:v>
                </c:pt>
                <c:pt idx="419">
                  <c:v>Feb 21, 2025</c:v>
                </c:pt>
                <c:pt idx="420">
                  <c:v>Feb 20, 2025</c:v>
                </c:pt>
                <c:pt idx="421">
                  <c:v>Feb 19, 2025</c:v>
                </c:pt>
                <c:pt idx="422">
                  <c:v>Feb 18, 2025</c:v>
                </c:pt>
                <c:pt idx="423">
                  <c:v>Feb 14, 2025</c:v>
                </c:pt>
                <c:pt idx="424">
                  <c:v>Feb 13, 2025</c:v>
                </c:pt>
                <c:pt idx="425">
                  <c:v>Feb 12, 2025</c:v>
                </c:pt>
                <c:pt idx="426">
                  <c:v>Feb 11, 2025</c:v>
                </c:pt>
                <c:pt idx="427">
                  <c:v>Feb 10, 2025</c:v>
                </c:pt>
                <c:pt idx="428">
                  <c:v>Feb 07, 2025</c:v>
                </c:pt>
                <c:pt idx="429">
                  <c:v>Feb 06, 2025</c:v>
                </c:pt>
                <c:pt idx="430">
                  <c:v>Feb 05, 2025</c:v>
                </c:pt>
                <c:pt idx="431">
                  <c:v>Feb 04, 2025</c:v>
                </c:pt>
                <c:pt idx="432">
                  <c:v>Feb 03, 2025</c:v>
                </c:pt>
                <c:pt idx="433">
                  <c:v>Jan 31, 2025</c:v>
                </c:pt>
                <c:pt idx="434">
                  <c:v>Jan 30, 2025</c:v>
                </c:pt>
                <c:pt idx="435">
                  <c:v>Jan 29, 2025</c:v>
                </c:pt>
                <c:pt idx="436">
                  <c:v>Jan 28, 2025</c:v>
                </c:pt>
                <c:pt idx="437">
                  <c:v>Jan 27, 2025</c:v>
                </c:pt>
                <c:pt idx="438">
                  <c:v>Jan 24, 2025</c:v>
                </c:pt>
                <c:pt idx="439">
                  <c:v>Jan 23, 2025</c:v>
                </c:pt>
                <c:pt idx="440">
                  <c:v>Jan 22, 2025</c:v>
                </c:pt>
                <c:pt idx="441">
                  <c:v>Jan 21, 2025</c:v>
                </c:pt>
                <c:pt idx="442">
                  <c:v>Jan 17, 2025</c:v>
                </c:pt>
                <c:pt idx="443">
                  <c:v>Jan 16, 2025</c:v>
                </c:pt>
                <c:pt idx="444">
                  <c:v>Jan 15, 2025</c:v>
                </c:pt>
                <c:pt idx="445">
                  <c:v>Jan 14, 2025</c:v>
                </c:pt>
                <c:pt idx="446">
                  <c:v>Jan 13, 2025</c:v>
                </c:pt>
                <c:pt idx="447">
                  <c:v>Jan 10, 2025</c:v>
                </c:pt>
                <c:pt idx="448">
                  <c:v>Jan 08, 2025</c:v>
                </c:pt>
                <c:pt idx="449">
                  <c:v>Jan 07, 2025</c:v>
                </c:pt>
                <c:pt idx="450">
                  <c:v>Jan 06, 2025</c:v>
                </c:pt>
                <c:pt idx="451">
                  <c:v>Jan 03, 2025</c:v>
                </c:pt>
                <c:pt idx="452">
                  <c:v>Jan 02, 2025</c:v>
                </c:pt>
                <c:pt idx="453">
                  <c:v>Dec 31, 2024</c:v>
                </c:pt>
                <c:pt idx="454">
                  <c:v>Dec 30, 2024</c:v>
                </c:pt>
                <c:pt idx="455">
                  <c:v>Dec 27, 2024</c:v>
                </c:pt>
                <c:pt idx="456">
                  <c:v>Dec 26, 2024</c:v>
                </c:pt>
                <c:pt idx="457">
                  <c:v>Dec 24, 2024</c:v>
                </c:pt>
                <c:pt idx="458">
                  <c:v>Dec 23, 2024</c:v>
                </c:pt>
                <c:pt idx="459">
                  <c:v>Dec 20, 2024</c:v>
                </c:pt>
                <c:pt idx="460">
                  <c:v>Dec 19, 2024</c:v>
                </c:pt>
                <c:pt idx="461">
                  <c:v>Dec 18, 2024</c:v>
                </c:pt>
                <c:pt idx="462">
                  <c:v>Dec 17, 2024</c:v>
                </c:pt>
                <c:pt idx="463">
                  <c:v>Dec 16, 2024</c:v>
                </c:pt>
                <c:pt idx="464">
                  <c:v>Dec 13, 2024</c:v>
                </c:pt>
                <c:pt idx="465">
                  <c:v>Dec 12, 2024</c:v>
                </c:pt>
                <c:pt idx="466">
                  <c:v>Dec 11, 2024</c:v>
                </c:pt>
                <c:pt idx="467">
                  <c:v>Dec 10, 2024</c:v>
                </c:pt>
                <c:pt idx="468">
                  <c:v>Dec 09, 2024</c:v>
                </c:pt>
                <c:pt idx="469">
                  <c:v>Dec 06, 2024</c:v>
                </c:pt>
                <c:pt idx="470">
                  <c:v>Dec 05, 2024</c:v>
                </c:pt>
                <c:pt idx="471">
                  <c:v>Dec 04, 2024</c:v>
                </c:pt>
                <c:pt idx="472">
                  <c:v>Dec 03, 2024</c:v>
                </c:pt>
                <c:pt idx="473">
                  <c:v>Dec 02, 2024</c:v>
                </c:pt>
                <c:pt idx="474">
                  <c:v>Nov 29, 2024</c:v>
                </c:pt>
                <c:pt idx="475">
                  <c:v>Nov 27, 2024</c:v>
                </c:pt>
                <c:pt idx="476">
                  <c:v>Nov 26, 2024</c:v>
                </c:pt>
                <c:pt idx="477">
                  <c:v>Nov 25, 2024</c:v>
                </c:pt>
                <c:pt idx="478">
                  <c:v>Nov 22, 2024</c:v>
                </c:pt>
                <c:pt idx="479">
                  <c:v>Nov 21, 2024</c:v>
                </c:pt>
                <c:pt idx="480">
                  <c:v>Nov 20, 2024</c:v>
                </c:pt>
                <c:pt idx="481">
                  <c:v>Nov 19, 2024</c:v>
                </c:pt>
                <c:pt idx="482">
                  <c:v>Nov 18, 2024</c:v>
                </c:pt>
                <c:pt idx="483">
                  <c:v>Nov 15, 2024</c:v>
                </c:pt>
                <c:pt idx="484">
                  <c:v>Nov 14, 2024</c:v>
                </c:pt>
                <c:pt idx="485">
                  <c:v>Nov 13, 2024</c:v>
                </c:pt>
                <c:pt idx="486">
                  <c:v>Nov 12, 2024</c:v>
                </c:pt>
                <c:pt idx="487">
                  <c:v>Nov 11, 2024</c:v>
                </c:pt>
                <c:pt idx="488">
                  <c:v>Nov 08, 2024</c:v>
                </c:pt>
                <c:pt idx="489">
                  <c:v>Nov 07, 2024</c:v>
                </c:pt>
                <c:pt idx="490">
                  <c:v>Nov 06, 2024</c:v>
                </c:pt>
                <c:pt idx="491">
                  <c:v>Nov 05, 2024</c:v>
                </c:pt>
                <c:pt idx="492">
                  <c:v>Nov 04, 2024</c:v>
                </c:pt>
                <c:pt idx="493">
                  <c:v>Nov 01, 2024</c:v>
                </c:pt>
                <c:pt idx="494">
                  <c:v>Oct 31, 2024</c:v>
                </c:pt>
                <c:pt idx="495">
                  <c:v>Oct 30, 2024</c:v>
                </c:pt>
                <c:pt idx="496">
                  <c:v>Oct 29, 2024</c:v>
                </c:pt>
                <c:pt idx="497">
                  <c:v>Oct 28, 2024</c:v>
                </c:pt>
                <c:pt idx="498">
                  <c:v>Oct 25, 2024</c:v>
                </c:pt>
                <c:pt idx="499">
                  <c:v>Oct 24, 2024</c:v>
                </c:pt>
                <c:pt idx="500">
                  <c:v>Oct 23, 2024</c:v>
                </c:pt>
                <c:pt idx="501">
                  <c:v>Oct 22, 2024</c:v>
                </c:pt>
                <c:pt idx="502">
                  <c:v>Oct 21, 2024</c:v>
                </c:pt>
                <c:pt idx="503">
                  <c:v>Oct 18, 2024</c:v>
                </c:pt>
                <c:pt idx="504">
                  <c:v>Oct 17, 2024</c:v>
                </c:pt>
                <c:pt idx="505">
                  <c:v>Oct 16, 2024</c:v>
                </c:pt>
                <c:pt idx="506">
                  <c:v>Oct 15, 2024</c:v>
                </c:pt>
                <c:pt idx="507">
                  <c:v>Oct 14, 2024</c:v>
                </c:pt>
                <c:pt idx="508">
                  <c:v>Oct 11, 2024</c:v>
                </c:pt>
                <c:pt idx="509">
                  <c:v>Oct 10, 2024</c:v>
                </c:pt>
                <c:pt idx="510">
                  <c:v>Oct 09, 2024</c:v>
                </c:pt>
                <c:pt idx="511">
                  <c:v>Oct 08, 2024</c:v>
                </c:pt>
                <c:pt idx="512">
                  <c:v>Oct 07, 2024</c:v>
                </c:pt>
                <c:pt idx="513">
                  <c:v>Oct 04, 2024</c:v>
                </c:pt>
                <c:pt idx="514">
                  <c:v>Oct 03, 2024</c:v>
                </c:pt>
                <c:pt idx="515">
                  <c:v>Oct 02, 2024</c:v>
                </c:pt>
                <c:pt idx="516">
                  <c:v>Oct 01, 2024</c:v>
                </c:pt>
                <c:pt idx="517">
                  <c:v>Sep 30, 2024</c:v>
                </c:pt>
                <c:pt idx="518">
                  <c:v>Sep 27, 2024</c:v>
                </c:pt>
                <c:pt idx="519">
                  <c:v>Sep 26, 2024</c:v>
                </c:pt>
                <c:pt idx="520">
                  <c:v>Sep 25, 2024</c:v>
                </c:pt>
                <c:pt idx="521">
                  <c:v>Sep 24, 2024</c:v>
                </c:pt>
                <c:pt idx="522">
                  <c:v>Sep 23, 2024</c:v>
                </c:pt>
                <c:pt idx="523">
                  <c:v>Sep 20, 2024</c:v>
                </c:pt>
                <c:pt idx="524">
                  <c:v>Sep 19, 2024</c:v>
                </c:pt>
                <c:pt idx="525">
                  <c:v>Sep 18, 2024</c:v>
                </c:pt>
                <c:pt idx="526">
                  <c:v>Sep 17, 2024</c:v>
                </c:pt>
                <c:pt idx="527">
                  <c:v>Sep 16, 2024</c:v>
                </c:pt>
                <c:pt idx="528">
                  <c:v>Sep 13, 2024</c:v>
                </c:pt>
                <c:pt idx="529">
                  <c:v>Sep 12, 2024</c:v>
                </c:pt>
                <c:pt idx="530">
                  <c:v>Sep 11, 2024</c:v>
                </c:pt>
                <c:pt idx="531">
                  <c:v>Sep 10, 2024</c:v>
                </c:pt>
                <c:pt idx="532">
                  <c:v>Sep 09, 2024</c:v>
                </c:pt>
                <c:pt idx="533">
                  <c:v>Sep 06, 2024</c:v>
                </c:pt>
                <c:pt idx="534">
                  <c:v>Sep 05, 2024</c:v>
                </c:pt>
                <c:pt idx="535">
                  <c:v>Sep 04, 2024</c:v>
                </c:pt>
                <c:pt idx="536">
                  <c:v>Sep 03, 2024</c:v>
                </c:pt>
                <c:pt idx="537">
                  <c:v>Aug 30, 2024</c:v>
                </c:pt>
                <c:pt idx="538">
                  <c:v>Aug 29, 2024</c:v>
                </c:pt>
                <c:pt idx="539">
                  <c:v>Aug 28, 2024</c:v>
                </c:pt>
                <c:pt idx="540">
                  <c:v>Aug 27, 2024</c:v>
                </c:pt>
                <c:pt idx="541">
                  <c:v>Aug 26, 2024</c:v>
                </c:pt>
                <c:pt idx="542">
                  <c:v>Aug 23, 2024</c:v>
                </c:pt>
                <c:pt idx="543">
                  <c:v>Aug 22, 2024</c:v>
                </c:pt>
                <c:pt idx="544">
                  <c:v>Aug 21, 2024</c:v>
                </c:pt>
                <c:pt idx="545">
                  <c:v>Aug 20, 2024</c:v>
                </c:pt>
                <c:pt idx="546">
                  <c:v>Aug 19, 2024</c:v>
                </c:pt>
                <c:pt idx="547">
                  <c:v>Aug 16, 2024</c:v>
                </c:pt>
                <c:pt idx="548">
                  <c:v>Aug 15, 2024</c:v>
                </c:pt>
                <c:pt idx="549">
                  <c:v>Aug 14, 2024</c:v>
                </c:pt>
                <c:pt idx="550">
                  <c:v>Aug 13, 2024</c:v>
                </c:pt>
                <c:pt idx="551">
                  <c:v>Aug 12, 2024</c:v>
                </c:pt>
                <c:pt idx="552">
                  <c:v>Aug 09, 2024</c:v>
                </c:pt>
                <c:pt idx="553">
                  <c:v>Aug 08, 2024</c:v>
                </c:pt>
                <c:pt idx="554">
                  <c:v>Aug 07, 2024</c:v>
                </c:pt>
                <c:pt idx="555">
                  <c:v>Aug 06, 2024</c:v>
                </c:pt>
                <c:pt idx="556">
                  <c:v>Aug 05, 2024</c:v>
                </c:pt>
                <c:pt idx="557">
                  <c:v>Aug 02, 2024</c:v>
                </c:pt>
                <c:pt idx="558">
                  <c:v>Aug 01, 2024</c:v>
                </c:pt>
                <c:pt idx="559">
                  <c:v>Jul 31, 2024</c:v>
                </c:pt>
                <c:pt idx="560">
                  <c:v>Jul 30, 2024</c:v>
                </c:pt>
                <c:pt idx="561">
                  <c:v>Jul 29, 2024</c:v>
                </c:pt>
                <c:pt idx="562">
                  <c:v>Jul 26, 2024</c:v>
                </c:pt>
                <c:pt idx="563">
                  <c:v>Jul 25, 2024</c:v>
                </c:pt>
                <c:pt idx="564">
                  <c:v>Jul 24, 2024</c:v>
                </c:pt>
                <c:pt idx="565">
                  <c:v>Jul 23, 2024</c:v>
                </c:pt>
                <c:pt idx="566">
                  <c:v>Jul 22, 2024</c:v>
                </c:pt>
                <c:pt idx="567">
                  <c:v>Jul 19, 2024</c:v>
                </c:pt>
                <c:pt idx="568">
                  <c:v>Jul 18, 2024</c:v>
                </c:pt>
                <c:pt idx="569">
                  <c:v>Jul 17, 2024</c:v>
                </c:pt>
                <c:pt idx="570">
                  <c:v>Jul 16, 2024</c:v>
                </c:pt>
                <c:pt idx="571">
                  <c:v>Jul 15, 2024</c:v>
                </c:pt>
                <c:pt idx="572">
                  <c:v>Jul 12, 2024</c:v>
                </c:pt>
                <c:pt idx="573">
                  <c:v>Jul 11, 2024</c:v>
                </c:pt>
                <c:pt idx="574">
                  <c:v>Jul 10, 2024</c:v>
                </c:pt>
                <c:pt idx="575">
                  <c:v>Jul 09, 2024</c:v>
                </c:pt>
                <c:pt idx="576">
                  <c:v>Jul 08, 2024</c:v>
                </c:pt>
                <c:pt idx="577">
                  <c:v>Jul 05, 2024</c:v>
                </c:pt>
                <c:pt idx="578">
                  <c:v>Jul 03, 2024</c:v>
                </c:pt>
                <c:pt idx="579">
                  <c:v>Jul 02, 2024</c:v>
                </c:pt>
                <c:pt idx="580">
                  <c:v>Jul 01, 2024</c:v>
                </c:pt>
                <c:pt idx="581">
                  <c:v>Jun 28, 2024</c:v>
                </c:pt>
                <c:pt idx="582">
                  <c:v>Jun 27, 2024</c:v>
                </c:pt>
                <c:pt idx="583">
                  <c:v>Jun 26, 2024</c:v>
                </c:pt>
                <c:pt idx="584">
                  <c:v>Jun 25, 2024</c:v>
                </c:pt>
                <c:pt idx="585">
                  <c:v>Jun 24, 2024</c:v>
                </c:pt>
                <c:pt idx="586">
                  <c:v>Jun 21, 2024</c:v>
                </c:pt>
                <c:pt idx="587">
                  <c:v>Jun 20, 2024</c:v>
                </c:pt>
                <c:pt idx="588">
                  <c:v>Jun 18, 2024</c:v>
                </c:pt>
                <c:pt idx="589">
                  <c:v>Jun 17, 2024</c:v>
                </c:pt>
                <c:pt idx="590">
                  <c:v>Jun 14, 2024</c:v>
                </c:pt>
                <c:pt idx="591">
                  <c:v>Jun 13, 2024</c:v>
                </c:pt>
                <c:pt idx="592">
                  <c:v>Jun 12, 2024</c:v>
                </c:pt>
                <c:pt idx="593">
                  <c:v>Jun 11, 2024</c:v>
                </c:pt>
                <c:pt idx="594">
                  <c:v>Jun 10, 2024</c:v>
                </c:pt>
                <c:pt idx="595">
                  <c:v>Jun 07, 2024</c:v>
                </c:pt>
                <c:pt idx="596">
                  <c:v>Jun 06, 2024</c:v>
                </c:pt>
                <c:pt idx="597">
                  <c:v>Jun 05, 2024</c:v>
                </c:pt>
                <c:pt idx="598">
                  <c:v>Jun 04, 2024</c:v>
                </c:pt>
                <c:pt idx="599">
                  <c:v>Jun 03, 2024</c:v>
                </c:pt>
                <c:pt idx="600">
                  <c:v>May 31, 2024</c:v>
                </c:pt>
                <c:pt idx="601">
                  <c:v>May 30, 2024</c:v>
                </c:pt>
                <c:pt idx="602">
                  <c:v>May 29, 2024</c:v>
                </c:pt>
                <c:pt idx="603">
                  <c:v>May 28, 2024</c:v>
                </c:pt>
                <c:pt idx="604">
                  <c:v>May 24, 2024</c:v>
                </c:pt>
                <c:pt idx="605">
                  <c:v>May 23, 2024</c:v>
                </c:pt>
                <c:pt idx="606">
                  <c:v>May 22, 2024</c:v>
                </c:pt>
                <c:pt idx="607">
                  <c:v>May 21, 2024</c:v>
                </c:pt>
                <c:pt idx="608">
                  <c:v>May 20, 2024</c:v>
                </c:pt>
                <c:pt idx="609">
                  <c:v>May 17, 2024</c:v>
                </c:pt>
                <c:pt idx="610">
                  <c:v>May 16, 2024</c:v>
                </c:pt>
                <c:pt idx="611">
                  <c:v>May 15, 2024</c:v>
                </c:pt>
                <c:pt idx="612">
                  <c:v>May 14, 2024</c:v>
                </c:pt>
                <c:pt idx="613">
                  <c:v>May 13, 2024</c:v>
                </c:pt>
                <c:pt idx="614">
                  <c:v>May 10, 2024</c:v>
                </c:pt>
                <c:pt idx="615">
                  <c:v>May 09, 2024</c:v>
                </c:pt>
                <c:pt idx="616">
                  <c:v>May 08, 2024</c:v>
                </c:pt>
                <c:pt idx="617">
                  <c:v>May 07, 2024</c:v>
                </c:pt>
                <c:pt idx="618">
                  <c:v>May 06, 2024</c:v>
                </c:pt>
                <c:pt idx="619">
                  <c:v>May 03, 2024</c:v>
                </c:pt>
                <c:pt idx="620">
                  <c:v>May 02, 2024</c:v>
                </c:pt>
                <c:pt idx="621">
                  <c:v>May 01, 2024</c:v>
                </c:pt>
                <c:pt idx="622">
                  <c:v>Apr 30, 2024</c:v>
                </c:pt>
                <c:pt idx="623">
                  <c:v>Apr 29, 2024</c:v>
                </c:pt>
                <c:pt idx="624">
                  <c:v>Apr 26, 2024</c:v>
                </c:pt>
                <c:pt idx="625">
                  <c:v>Apr 25, 2024</c:v>
                </c:pt>
                <c:pt idx="626">
                  <c:v>Apr 24, 2024</c:v>
                </c:pt>
                <c:pt idx="627">
                  <c:v>Apr 23, 2024</c:v>
                </c:pt>
                <c:pt idx="628">
                  <c:v>Apr 22, 2024</c:v>
                </c:pt>
                <c:pt idx="629">
                  <c:v>Apr 19, 2024</c:v>
                </c:pt>
                <c:pt idx="630">
                  <c:v>Apr 18, 2024</c:v>
                </c:pt>
                <c:pt idx="631">
                  <c:v>Apr 17, 2024</c:v>
                </c:pt>
                <c:pt idx="632">
                  <c:v>Apr 16, 2024</c:v>
                </c:pt>
                <c:pt idx="633">
                  <c:v>Apr 15, 2024</c:v>
                </c:pt>
                <c:pt idx="634">
                  <c:v>Apr 12, 2024</c:v>
                </c:pt>
                <c:pt idx="635">
                  <c:v>Apr 11, 2024</c:v>
                </c:pt>
                <c:pt idx="636">
                  <c:v>Apr 10, 2024</c:v>
                </c:pt>
                <c:pt idx="637">
                  <c:v>Apr 09, 2024</c:v>
                </c:pt>
                <c:pt idx="638">
                  <c:v>Apr 08, 2024</c:v>
                </c:pt>
                <c:pt idx="639">
                  <c:v>Apr 05, 2024</c:v>
                </c:pt>
                <c:pt idx="640">
                  <c:v>Apr 04, 2024</c:v>
                </c:pt>
                <c:pt idx="641">
                  <c:v>Apr 03, 2024</c:v>
                </c:pt>
                <c:pt idx="642">
                  <c:v>Apr 02, 2024</c:v>
                </c:pt>
                <c:pt idx="643">
                  <c:v>Apr 01, 2024</c:v>
                </c:pt>
                <c:pt idx="644">
                  <c:v>Mar 28, 2024</c:v>
                </c:pt>
                <c:pt idx="645">
                  <c:v>Mar 27, 2024</c:v>
                </c:pt>
                <c:pt idx="646">
                  <c:v>Mar 26, 2024</c:v>
                </c:pt>
                <c:pt idx="647">
                  <c:v>Mar 25, 2024</c:v>
                </c:pt>
                <c:pt idx="648">
                  <c:v>Mar 22, 2024</c:v>
                </c:pt>
                <c:pt idx="649">
                  <c:v>Mar 21, 2024</c:v>
                </c:pt>
                <c:pt idx="650">
                  <c:v>Mar 20, 2024</c:v>
                </c:pt>
                <c:pt idx="651">
                  <c:v>Mar 19, 2024</c:v>
                </c:pt>
                <c:pt idx="652">
                  <c:v>Mar 18, 2024</c:v>
                </c:pt>
                <c:pt idx="653">
                  <c:v>Mar 15, 2024</c:v>
                </c:pt>
                <c:pt idx="654">
                  <c:v>Mar 14, 2024</c:v>
                </c:pt>
                <c:pt idx="655">
                  <c:v>Mar 13, 2024</c:v>
                </c:pt>
                <c:pt idx="656">
                  <c:v>Mar 12, 2024</c:v>
                </c:pt>
                <c:pt idx="657">
                  <c:v>Mar 11, 2024</c:v>
                </c:pt>
                <c:pt idx="658">
                  <c:v>Mar 08, 2024</c:v>
                </c:pt>
                <c:pt idx="659">
                  <c:v>Mar 07, 2024</c:v>
                </c:pt>
                <c:pt idx="660">
                  <c:v>Mar 06, 2024</c:v>
                </c:pt>
                <c:pt idx="661">
                  <c:v>Mar 05, 2024</c:v>
                </c:pt>
                <c:pt idx="662">
                  <c:v>Mar 04, 2024</c:v>
                </c:pt>
                <c:pt idx="663">
                  <c:v>Mar 01, 2024</c:v>
                </c:pt>
                <c:pt idx="664">
                  <c:v>Feb 29, 2024</c:v>
                </c:pt>
                <c:pt idx="665">
                  <c:v>Feb 28, 2024</c:v>
                </c:pt>
                <c:pt idx="666">
                  <c:v>Feb 27, 2024</c:v>
                </c:pt>
                <c:pt idx="667">
                  <c:v>Feb 26, 2024</c:v>
                </c:pt>
                <c:pt idx="668">
                  <c:v>Feb 23, 2024</c:v>
                </c:pt>
                <c:pt idx="669">
                  <c:v>Feb 22, 2024</c:v>
                </c:pt>
                <c:pt idx="670">
                  <c:v>Feb 21, 2024</c:v>
                </c:pt>
                <c:pt idx="671">
                  <c:v>Feb 20, 2024</c:v>
                </c:pt>
                <c:pt idx="672">
                  <c:v>Feb 16, 2024</c:v>
                </c:pt>
                <c:pt idx="673">
                  <c:v>Feb 15, 2024</c:v>
                </c:pt>
                <c:pt idx="674">
                  <c:v>Feb 14, 2024</c:v>
                </c:pt>
                <c:pt idx="675">
                  <c:v>Feb 13, 2024</c:v>
                </c:pt>
                <c:pt idx="676">
                  <c:v>Feb 12, 2024</c:v>
                </c:pt>
                <c:pt idx="677">
                  <c:v>Feb 09, 2024</c:v>
                </c:pt>
                <c:pt idx="678">
                  <c:v>Feb 08, 2024</c:v>
                </c:pt>
                <c:pt idx="679">
                  <c:v>Feb 07, 2024</c:v>
                </c:pt>
                <c:pt idx="680">
                  <c:v>Feb 06, 2024</c:v>
                </c:pt>
                <c:pt idx="681">
                  <c:v>Feb 05, 2024</c:v>
                </c:pt>
                <c:pt idx="682">
                  <c:v>Feb 02, 2024</c:v>
                </c:pt>
                <c:pt idx="683">
                  <c:v>Feb 01, 2024</c:v>
                </c:pt>
                <c:pt idx="684">
                  <c:v>Jan 31, 2024</c:v>
                </c:pt>
                <c:pt idx="685">
                  <c:v>Jan 30, 2024</c:v>
                </c:pt>
                <c:pt idx="686">
                  <c:v>Jan 29, 2024</c:v>
                </c:pt>
                <c:pt idx="687">
                  <c:v>Jan 26, 2024</c:v>
                </c:pt>
                <c:pt idx="688">
                  <c:v>Jan 25, 2024</c:v>
                </c:pt>
                <c:pt idx="689">
                  <c:v>Jan 24, 2024</c:v>
                </c:pt>
                <c:pt idx="690">
                  <c:v>Jan 23, 2024</c:v>
                </c:pt>
                <c:pt idx="691">
                  <c:v>Jan 22, 2024</c:v>
                </c:pt>
                <c:pt idx="692">
                  <c:v>Jan 19, 2024</c:v>
                </c:pt>
                <c:pt idx="693">
                  <c:v>Jan 18, 2024</c:v>
                </c:pt>
                <c:pt idx="694">
                  <c:v>Jan 17, 2024</c:v>
                </c:pt>
                <c:pt idx="695">
                  <c:v>Jan 16, 2024</c:v>
                </c:pt>
                <c:pt idx="696">
                  <c:v>Jan 12, 2024</c:v>
                </c:pt>
                <c:pt idx="697">
                  <c:v>Jan 11, 2024</c:v>
                </c:pt>
                <c:pt idx="698">
                  <c:v>Jan 10, 2024</c:v>
                </c:pt>
                <c:pt idx="699">
                  <c:v>Jan 09, 2024</c:v>
                </c:pt>
                <c:pt idx="700">
                  <c:v>Jan 08, 2024</c:v>
                </c:pt>
                <c:pt idx="701">
                  <c:v>Jan 05, 2024</c:v>
                </c:pt>
                <c:pt idx="702">
                  <c:v>Jan 04, 2024</c:v>
                </c:pt>
                <c:pt idx="703">
                  <c:v>Jan 03, 2024</c:v>
                </c:pt>
                <c:pt idx="704">
                  <c:v>Jan 02, 2024</c:v>
                </c:pt>
                <c:pt idx="705">
                  <c:v>Dec 29, 2023</c:v>
                </c:pt>
                <c:pt idx="706">
                  <c:v>Dec 28, 2023</c:v>
                </c:pt>
                <c:pt idx="707">
                  <c:v>Dec 27, 2023</c:v>
                </c:pt>
                <c:pt idx="708">
                  <c:v>Dec 26, 2023</c:v>
                </c:pt>
                <c:pt idx="709">
                  <c:v>Dec 22, 2023</c:v>
                </c:pt>
                <c:pt idx="710">
                  <c:v>Dec 21, 2023</c:v>
                </c:pt>
                <c:pt idx="711">
                  <c:v>Dec 20, 2023</c:v>
                </c:pt>
                <c:pt idx="712">
                  <c:v>Dec 19, 2023</c:v>
                </c:pt>
                <c:pt idx="713">
                  <c:v>Dec 18, 2023</c:v>
                </c:pt>
                <c:pt idx="714">
                  <c:v>Dec 15, 2023</c:v>
                </c:pt>
                <c:pt idx="715">
                  <c:v>Dec 14, 2023</c:v>
                </c:pt>
                <c:pt idx="716">
                  <c:v>Dec 13, 2023</c:v>
                </c:pt>
                <c:pt idx="717">
                  <c:v>Dec 12, 2023</c:v>
                </c:pt>
                <c:pt idx="718">
                  <c:v>Dec 11, 2023</c:v>
                </c:pt>
                <c:pt idx="719">
                  <c:v>Dec 08, 2023</c:v>
                </c:pt>
                <c:pt idx="720">
                  <c:v>Dec 07, 2023</c:v>
                </c:pt>
                <c:pt idx="721">
                  <c:v>Dec 06, 2023</c:v>
                </c:pt>
                <c:pt idx="722">
                  <c:v>Dec 05, 2023</c:v>
                </c:pt>
                <c:pt idx="723">
                  <c:v>Dec 04, 2023</c:v>
                </c:pt>
                <c:pt idx="724">
                  <c:v>Dec 01, 2023</c:v>
                </c:pt>
                <c:pt idx="725">
                  <c:v>Nov 30, 2023</c:v>
                </c:pt>
                <c:pt idx="726">
                  <c:v>Nov 29, 2023</c:v>
                </c:pt>
                <c:pt idx="727">
                  <c:v>Nov 28, 2023</c:v>
                </c:pt>
                <c:pt idx="728">
                  <c:v>Nov 27, 2023</c:v>
                </c:pt>
                <c:pt idx="729">
                  <c:v>Nov 24, 2023</c:v>
                </c:pt>
                <c:pt idx="730">
                  <c:v>Nov 22, 2023</c:v>
                </c:pt>
                <c:pt idx="731">
                  <c:v>Nov 21, 2023</c:v>
                </c:pt>
                <c:pt idx="732">
                  <c:v>Nov 20, 2023</c:v>
                </c:pt>
                <c:pt idx="733">
                  <c:v>Nov 17, 2023</c:v>
                </c:pt>
                <c:pt idx="734">
                  <c:v>Nov 16, 2023</c:v>
                </c:pt>
                <c:pt idx="735">
                  <c:v>Nov 15, 2023</c:v>
                </c:pt>
                <c:pt idx="736">
                  <c:v>Nov 14, 2023</c:v>
                </c:pt>
                <c:pt idx="737">
                  <c:v>Nov 13, 2023</c:v>
                </c:pt>
                <c:pt idx="738">
                  <c:v>Nov 10, 2023</c:v>
                </c:pt>
                <c:pt idx="739">
                  <c:v>Nov 09, 2023</c:v>
                </c:pt>
                <c:pt idx="740">
                  <c:v>Nov 08, 2023</c:v>
                </c:pt>
                <c:pt idx="741">
                  <c:v>Nov 07, 2023</c:v>
                </c:pt>
                <c:pt idx="742">
                  <c:v>Nov 06, 2023</c:v>
                </c:pt>
                <c:pt idx="743">
                  <c:v>Nov 03, 2023</c:v>
                </c:pt>
                <c:pt idx="744">
                  <c:v>Nov 02, 2023</c:v>
                </c:pt>
                <c:pt idx="745">
                  <c:v>Nov 01, 2023</c:v>
                </c:pt>
                <c:pt idx="746">
                  <c:v>Oct 31, 2023</c:v>
                </c:pt>
                <c:pt idx="747">
                  <c:v>Oct 30, 2023</c:v>
                </c:pt>
                <c:pt idx="748">
                  <c:v>Oct 27, 2023</c:v>
                </c:pt>
                <c:pt idx="749">
                  <c:v>Oct 26, 2023</c:v>
                </c:pt>
                <c:pt idx="750">
                  <c:v>Oct 25, 2023</c:v>
                </c:pt>
                <c:pt idx="751">
                  <c:v>Oct 24, 2023</c:v>
                </c:pt>
                <c:pt idx="752">
                  <c:v>Oct 23, 2023</c:v>
                </c:pt>
                <c:pt idx="753">
                  <c:v>Oct 20, 2023</c:v>
                </c:pt>
                <c:pt idx="754">
                  <c:v>Oct 19, 2023</c:v>
                </c:pt>
                <c:pt idx="755">
                  <c:v>Oct 18, 2023</c:v>
                </c:pt>
                <c:pt idx="756">
                  <c:v>Oct 17, 2023</c:v>
                </c:pt>
                <c:pt idx="757">
                  <c:v>Oct 16, 2023</c:v>
                </c:pt>
                <c:pt idx="758">
                  <c:v>Oct 13, 2023</c:v>
                </c:pt>
                <c:pt idx="759">
                  <c:v>Oct 12, 2023</c:v>
                </c:pt>
                <c:pt idx="760">
                  <c:v>Oct 11, 2023</c:v>
                </c:pt>
                <c:pt idx="761">
                  <c:v>Oct 10, 2023</c:v>
                </c:pt>
                <c:pt idx="762">
                  <c:v>Oct 09, 2023</c:v>
                </c:pt>
                <c:pt idx="763">
                  <c:v>Oct 06, 2023</c:v>
                </c:pt>
                <c:pt idx="764">
                  <c:v>Oct 05, 2023</c:v>
                </c:pt>
                <c:pt idx="765">
                  <c:v>Oct 04, 2023</c:v>
                </c:pt>
                <c:pt idx="766">
                  <c:v>Oct 03, 2023</c:v>
                </c:pt>
                <c:pt idx="767">
                  <c:v>Oct 02, 2023</c:v>
                </c:pt>
                <c:pt idx="768">
                  <c:v>Sep 29, 2023</c:v>
                </c:pt>
                <c:pt idx="769">
                  <c:v>Sep 28, 2023</c:v>
                </c:pt>
                <c:pt idx="770">
                  <c:v>Sep 27, 2023</c:v>
                </c:pt>
                <c:pt idx="771">
                  <c:v>Sep 26, 2023</c:v>
                </c:pt>
                <c:pt idx="772">
                  <c:v>Sep 25, 2023</c:v>
                </c:pt>
                <c:pt idx="773">
                  <c:v>Sep 22, 2023</c:v>
                </c:pt>
                <c:pt idx="774">
                  <c:v>Sep 21, 2023</c:v>
                </c:pt>
                <c:pt idx="775">
                  <c:v>Sep 20, 2023</c:v>
                </c:pt>
                <c:pt idx="776">
                  <c:v>Sep 19, 2023</c:v>
                </c:pt>
                <c:pt idx="777">
                  <c:v>Sep 18, 2023</c:v>
                </c:pt>
                <c:pt idx="778">
                  <c:v>Sep 15, 2023</c:v>
                </c:pt>
                <c:pt idx="779">
                  <c:v>Sep 14, 2023</c:v>
                </c:pt>
                <c:pt idx="780">
                  <c:v>Sep 13, 2023</c:v>
                </c:pt>
                <c:pt idx="781">
                  <c:v>Sep 12, 2023</c:v>
                </c:pt>
                <c:pt idx="782">
                  <c:v>Sep 11, 2023</c:v>
                </c:pt>
                <c:pt idx="783">
                  <c:v>Sep 08, 2023</c:v>
                </c:pt>
                <c:pt idx="784">
                  <c:v>Sep 07, 2023</c:v>
                </c:pt>
                <c:pt idx="785">
                  <c:v>Sep 06, 2023</c:v>
                </c:pt>
                <c:pt idx="786">
                  <c:v>Sep 05, 2023</c:v>
                </c:pt>
                <c:pt idx="787">
                  <c:v>Sep 01, 2023</c:v>
                </c:pt>
                <c:pt idx="788">
                  <c:v>Aug 31, 2023</c:v>
                </c:pt>
                <c:pt idx="789">
                  <c:v>Aug 30, 2023</c:v>
                </c:pt>
                <c:pt idx="790">
                  <c:v>Aug 29, 2023</c:v>
                </c:pt>
                <c:pt idx="791">
                  <c:v>Aug 28, 2023</c:v>
                </c:pt>
                <c:pt idx="792">
                  <c:v>Aug 25, 2023</c:v>
                </c:pt>
                <c:pt idx="793">
                  <c:v>Aug 24, 2023</c:v>
                </c:pt>
                <c:pt idx="794">
                  <c:v>Aug 23, 2023</c:v>
                </c:pt>
                <c:pt idx="795">
                  <c:v>Aug 22, 2023</c:v>
                </c:pt>
                <c:pt idx="796">
                  <c:v>Aug 21, 2023</c:v>
                </c:pt>
                <c:pt idx="797">
                  <c:v>Aug 18, 2023</c:v>
                </c:pt>
                <c:pt idx="798">
                  <c:v>Aug 17, 2023</c:v>
                </c:pt>
                <c:pt idx="799">
                  <c:v>Aug 16, 2023</c:v>
                </c:pt>
                <c:pt idx="800">
                  <c:v>Aug 15, 2023</c:v>
                </c:pt>
                <c:pt idx="801">
                  <c:v>Aug 14, 2023</c:v>
                </c:pt>
                <c:pt idx="802">
                  <c:v>Aug 11, 2023</c:v>
                </c:pt>
                <c:pt idx="803">
                  <c:v>Aug 10, 2023</c:v>
                </c:pt>
                <c:pt idx="804">
                  <c:v>Aug 09, 2023</c:v>
                </c:pt>
                <c:pt idx="805">
                  <c:v>Aug 08, 2023</c:v>
                </c:pt>
                <c:pt idx="806">
                  <c:v>Aug 07, 2023</c:v>
                </c:pt>
                <c:pt idx="807">
                  <c:v>Aug 04, 2023</c:v>
                </c:pt>
                <c:pt idx="808">
                  <c:v>Aug 03, 2023</c:v>
                </c:pt>
                <c:pt idx="809">
                  <c:v>Aug 02, 2023</c:v>
                </c:pt>
                <c:pt idx="810">
                  <c:v>Aug 01, 2023</c:v>
                </c:pt>
                <c:pt idx="811">
                  <c:v>Jul 31, 2023</c:v>
                </c:pt>
                <c:pt idx="812">
                  <c:v>Jul 28, 2023</c:v>
                </c:pt>
                <c:pt idx="813">
                  <c:v>Jul 27, 2023</c:v>
                </c:pt>
                <c:pt idx="814">
                  <c:v>Jul 26, 2023</c:v>
                </c:pt>
                <c:pt idx="815">
                  <c:v>Jul 25, 2023</c:v>
                </c:pt>
                <c:pt idx="816">
                  <c:v>Jul 24, 2023</c:v>
                </c:pt>
                <c:pt idx="817">
                  <c:v>Jul 21, 2023</c:v>
                </c:pt>
                <c:pt idx="818">
                  <c:v>Jul 20, 2023</c:v>
                </c:pt>
                <c:pt idx="819">
                  <c:v>Jul 19, 2023</c:v>
                </c:pt>
                <c:pt idx="820">
                  <c:v>Jul 18, 2023</c:v>
                </c:pt>
                <c:pt idx="821">
                  <c:v>Jul 17, 2023</c:v>
                </c:pt>
                <c:pt idx="822">
                  <c:v>Jul 14, 2023</c:v>
                </c:pt>
                <c:pt idx="823">
                  <c:v>Jul 13, 2023</c:v>
                </c:pt>
                <c:pt idx="824">
                  <c:v>Jul 12, 2023</c:v>
                </c:pt>
                <c:pt idx="825">
                  <c:v>Jul 11, 2023</c:v>
                </c:pt>
                <c:pt idx="826">
                  <c:v>Jul 10, 2023</c:v>
                </c:pt>
                <c:pt idx="827">
                  <c:v>Jul 07, 2023</c:v>
                </c:pt>
                <c:pt idx="828">
                  <c:v>Jul 06, 2023</c:v>
                </c:pt>
                <c:pt idx="829">
                  <c:v>Jul 05, 2023</c:v>
                </c:pt>
                <c:pt idx="830">
                  <c:v>Jul 03, 2023</c:v>
                </c:pt>
                <c:pt idx="831">
                  <c:v>Jun 30, 2023</c:v>
                </c:pt>
                <c:pt idx="832">
                  <c:v>Jun 29, 2023</c:v>
                </c:pt>
                <c:pt idx="833">
                  <c:v>Jun 28, 2023</c:v>
                </c:pt>
                <c:pt idx="834">
                  <c:v>Jun 27, 2023</c:v>
                </c:pt>
                <c:pt idx="835">
                  <c:v>Jun 26, 2023</c:v>
                </c:pt>
                <c:pt idx="836">
                  <c:v>Jun 23, 2023</c:v>
                </c:pt>
                <c:pt idx="837">
                  <c:v>Jun 22, 2023</c:v>
                </c:pt>
                <c:pt idx="838">
                  <c:v>Jun 21, 2023</c:v>
                </c:pt>
                <c:pt idx="839">
                  <c:v>Jun 20, 2023</c:v>
                </c:pt>
                <c:pt idx="840">
                  <c:v>Jun 16, 2023</c:v>
                </c:pt>
                <c:pt idx="841">
                  <c:v>Jun 15, 2023</c:v>
                </c:pt>
                <c:pt idx="842">
                  <c:v>Jun 14, 2023</c:v>
                </c:pt>
                <c:pt idx="843">
                  <c:v>Jun 13, 2023</c:v>
                </c:pt>
                <c:pt idx="844">
                  <c:v>Jun 12, 2023</c:v>
                </c:pt>
                <c:pt idx="845">
                  <c:v>Jun 09, 2023</c:v>
                </c:pt>
                <c:pt idx="846">
                  <c:v>Jun 08, 2023</c:v>
                </c:pt>
                <c:pt idx="847">
                  <c:v>Jun 07, 2023</c:v>
                </c:pt>
                <c:pt idx="848">
                  <c:v>Jun 06, 2023</c:v>
                </c:pt>
                <c:pt idx="849">
                  <c:v>Jun 05, 2023</c:v>
                </c:pt>
                <c:pt idx="850">
                  <c:v>Jun 02, 2023</c:v>
                </c:pt>
                <c:pt idx="851">
                  <c:v>Jun 01, 2023</c:v>
                </c:pt>
                <c:pt idx="852">
                  <c:v>May 31, 2023</c:v>
                </c:pt>
                <c:pt idx="853">
                  <c:v>May 30, 2023</c:v>
                </c:pt>
                <c:pt idx="854">
                  <c:v>May 26, 2023</c:v>
                </c:pt>
                <c:pt idx="855">
                  <c:v>May 25, 2023</c:v>
                </c:pt>
                <c:pt idx="856">
                  <c:v>May 24, 2023</c:v>
                </c:pt>
                <c:pt idx="857">
                  <c:v>May 23, 2023</c:v>
                </c:pt>
                <c:pt idx="858">
                  <c:v>May 22, 2023</c:v>
                </c:pt>
                <c:pt idx="859">
                  <c:v>May 19, 2023</c:v>
                </c:pt>
                <c:pt idx="860">
                  <c:v>May 18, 2023</c:v>
                </c:pt>
                <c:pt idx="861">
                  <c:v>May 17, 2023</c:v>
                </c:pt>
                <c:pt idx="862">
                  <c:v>May 16, 2023</c:v>
                </c:pt>
                <c:pt idx="863">
                  <c:v>May 15, 2023</c:v>
                </c:pt>
                <c:pt idx="864">
                  <c:v>May 12, 2023</c:v>
                </c:pt>
                <c:pt idx="865">
                  <c:v>May 11, 2023</c:v>
                </c:pt>
                <c:pt idx="866">
                  <c:v>May 10, 2023</c:v>
                </c:pt>
                <c:pt idx="867">
                  <c:v>May 09, 2023</c:v>
                </c:pt>
                <c:pt idx="868">
                  <c:v>May 08, 2023</c:v>
                </c:pt>
                <c:pt idx="869">
                  <c:v>May 05, 2023</c:v>
                </c:pt>
                <c:pt idx="870">
                  <c:v>May 04, 2023</c:v>
                </c:pt>
                <c:pt idx="871">
                  <c:v>May 03, 2023</c:v>
                </c:pt>
                <c:pt idx="872">
                  <c:v>May 02, 2023</c:v>
                </c:pt>
                <c:pt idx="873">
                  <c:v>May 01, 2023</c:v>
                </c:pt>
                <c:pt idx="874">
                  <c:v>Apr 28, 2023</c:v>
                </c:pt>
                <c:pt idx="875">
                  <c:v>Apr 27, 2023</c:v>
                </c:pt>
                <c:pt idx="876">
                  <c:v>Apr 26, 2023</c:v>
                </c:pt>
                <c:pt idx="877">
                  <c:v>Apr 25, 2023</c:v>
                </c:pt>
                <c:pt idx="878">
                  <c:v>Apr 24, 2023</c:v>
                </c:pt>
                <c:pt idx="879">
                  <c:v>Apr 21, 2023</c:v>
                </c:pt>
                <c:pt idx="880">
                  <c:v>Apr 20, 2023</c:v>
                </c:pt>
                <c:pt idx="881">
                  <c:v>Apr 19, 2023</c:v>
                </c:pt>
                <c:pt idx="882">
                  <c:v>Apr 18, 2023</c:v>
                </c:pt>
                <c:pt idx="883">
                  <c:v>Apr 17, 2023</c:v>
                </c:pt>
                <c:pt idx="884">
                  <c:v>Apr 14, 2023</c:v>
                </c:pt>
                <c:pt idx="885">
                  <c:v>Apr 13, 2023</c:v>
                </c:pt>
                <c:pt idx="886">
                  <c:v>Apr 12, 2023</c:v>
                </c:pt>
                <c:pt idx="887">
                  <c:v>Apr 11, 2023</c:v>
                </c:pt>
                <c:pt idx="888">
                  <c:v>Apr 10, 2023</c:v>
                </c:pt>
                <c:pt idx="889">
                  <c:v>Apr 06, 2023</c:v>
                </c:pt>
                <c:pt idx="890">
                  <c:v>Apr 05, 2023</c:v>
                </c:pt>
                <c:pt idx="891">
                  <c:v>Apr 04, 2023</c:v>
                </c:pt>
                <c:pt idx="892">
                  <c:v>Apr 03, 2023</c:v>
                </c:pt>
                <c:pt idx="893">
                  <c:v>Mar 31, 2023</c:v>
                </c:pt>
                <c:pt idx="894">
                  <c:v>Mar 30, 2023</c:v>
                </c:pt>
                <c:pt idx="895">
                  <c:v>Mar 29, 2023</c:v>
                </c:pt>
                <c:pt idx="896">
                  <c:v>Mar 28, 2023</c:v>
                </c:pt>
                <c:pt idx="897">
                  <c:v>Mar 27, 2023</c:v>
                </c:pt>
                <c:pt idx="898">
                  <c:v>Mar 24, 2023</c:v>
                </c:pt>
                <c:pt idx="899">
                  <c:v>Mar 23, 2023</c:v>
                </c:pt>
                <c:pt idx="900">
                  <c:v>Mar 22, 2023</c:v>
                </c:pt>
                <c:pt idx="901">
                  <c:v>Mar 21, 2023</c:v>
                </c:pt>
                <c:pt idx="902">
                  <c:v>Mar 20, 2023</c:v>
                </c:pt>
                <c:pt idx="903">
                  <c:v>Mar 17, 2023</c:v>
                </c:pt>
                <c:pt idx="904">
                  <c:v>Mar 16, 2023</c:v>
                </c:pt>
                <c:pt idx="905">
                  <c:v>Mar 15, 2023</c:v>
                </c:pt>
                <c:pt idx="906">
                  <c:v>Mar 14, 2023</c:v>
                </c:pt>
                <c:pt idx="907">
                  <c:v>Mar 13, 2023</c:v>
                </c:pt>
                <c:pt idx="908">
                  <c:v>Mar 10, 2023</c:v>
                </c:pt>
                <c:pt idx="909">
                  <c:v>Mar 09, 2023</c:v>
                </c:pt>
                <c:pt idx="910">
                  <c:v>Mar 08, 2023</c:v>
                </c:pt>
                <c:pt idx="911">
                  <c:v>Mar 07, 2023</c:v>
                </c:pt>
                <c:pt idx="912">
                  <c:v>Mar 06, 2023</c:v>
                </c:pt>
                <c:pt idx="913">
                  <c:v>Mar 03, 2023</c:v>
                </c:pt>
                <c:pt idx="914">
                  <c:v>Mar 02, 2023</c:v>
                </c:pt>
                <c:pt idx="915">
                  <c:v>Mar 01, 2023</c:v>
                </c:pt>
                <c:pt idx="916">
                  <c:v>Feb 28, 2023</c:v>
                </c:pt>
                <c:pt idx="917">
                  <c:v>Feb 27, 2023</c:v>
                </c:pt>
                <c:pt idx="918">
                  <c:v>Feb 24, 2023</c:v>
                </c:pt>
                <c:pt idx="919">
                  <c:v>Feb 23, 2023</c:v>
                </c:pt>
                <c:pt idx="920">
                  <c:v>Feb 22, 2023</c:v>
                </c:pt>
                <c:pt idx="921">
                  <c:v>Feb 21, 2023</c:v>
                </c:pt>
                <c:pt idx="922">
                  <c:v>Feb 17, 2023</c:v>
                </c:pt>
                <c:pt idx="923">
                  <c:v>Feb 16, 2023</c:v>
                </c:pt>
                <c:pt idx="924">
                  <c:v>Feb 15, 2023</c:v>
                </c:pt>
                <c:pt idx="925">
                  <c:v>Feb 14, 2023</c:v>
                </c:pt>
                <c:pt idx="926">
                  <c:v>Feb 13, 2023</c:v>
                </c:pt>
                <c:pt idx="927">
                  <c:v>Feb 10, 2023</c:v>
                </c:pt>
                <c:pt idx="928">
                  <c:v>Feb 09, 2023</c:v>
                </c:pt>
                <c:pt idx="929">
                  <c:v>Feb 08, 2023</c:v>
                </c:pt>
                <c:pt idx="930">
                  <c:v>Feb 07, 2023</c:v>
                </c:pt>
                <c:pt idx="931">
                  <c:v>Feb 06, 2023</c:v>
                </c:pt>
                <c:pt idx="932">
                  <c:v>Feb 03, 2023</c:v>
                </c:pt>
                <c:pt idx="933">
                  <c:v>Feb 02, 2023</c:v>
                </c:pt>
                <c:pt idx="934">
                  <c:v>Feb 01, 2023</c:v>
                </c:pt>
                <c:pt idx="935">
                  <c:v>Jan 31, 2023</c:v>
                </c:pt>
                <c:pt idx="936">
                  <c:v>Jan 30, 2023</c:v>
                </c:pt>
                <c:pt idx="937">
                  <c:v>Jan 27, 2023</c:v>
                </c:pt>
                <c:pt idx="938">
                  <c:v>Jan 26, 2023</c:v>
                </c:pt>
                <c:pt idx="939">
                  <c:v>Jan 25, 2023</c:v>
                </c:pt>
                <c:pt idx="940">
                  <c:v>Jan 24, 2023</c:v>
                </c:pt>
                <c:pt idx="941">
                  <c:v>Jan 23, 2023</c:v>
                </c:pt>
                <c:pt idx="942">
                  <c:v>Jan 20, 2023</c:v>
                </c:pt>
                <c:pt idx="943">
                  <c:v>Jan 19, 2023</c:v>
                </c:pt>
                <c:pt idx="944">
                  <c:v>Jan 18, 2023</c:v>
                </c:pt>
                <c:pt idx="945">
                  <c:v>Jan 17, 2023</c:v>
                </c:pt>
                <c:pt idx="946">
                  <c:v>Jan 13, 2023</c:v>
                </c:pt>
                <c:pt idx="947">
                  <c:v>Jan 12, 2023</c:v>
                </c:pt>
                <c:pt idx="948">
                  <c:v>Jan 11, 2023</c:v>
                </c:pt>
                <c:pt idx="949">
                  <c:v>Jan 10, 2023</c:v>
                </c:pt>
                <c:pt idx="950">
                  <c:v>Jan 09, 2023</c:v>
                </c:pt>
                <c:pt idx="951">
                  <c:v>Jan 06, 2023</c:v>
                </c:pt>
                <c:pt idx="952">
                  <c:v>Jan 05, 2023</c:v>
                </c:pt>
                <c:pt idx="953">
                  <c:v>Jan 04, 2023</c:v>
                </c:pt>
                <c:pt idx="954">
                  <c:v>Jan 03, 2023</c:v>
                </c:pt>
                <c:pt idx="955">
                  <c:v>Dec 30, 2022</c:v>
                </c:pt>
                <c:pt idx="956">
                  <c:v>Dec 29, 2022</c:v>
                </c:pt>
                <c:pt idx="957">
                  <c:v>Dec 28, 2022</c:v>
                </c:pt>
                <c:pt idx="958">
                  <c:v>Dec 27, 2022</c:v>
                </c:pt>
                <c:pt idx="959">
                  <c:v>Dec 23, 2022</c:v>
                </c:pt>
                <c:pt idx="960">
                  <c:v>Dec 22, 2022</c:v>
                </c:pt>
                <c:pt idx="961">
                  <c:v>Dec 21, 2022</c:v>
                </c:pt>
                <c:pt idx="962">
                  <c:v>Dec 20, 2022</c:v>
                </c:pt>
                <c:pt idx="963">
                  <c:v>Dec 19, 2022</c:v>
                </c:pt>
                <c:pt idx="964">
                  <c:v>Dec 16, 2022</c:v>
                </c:pt>
                <c:pt idx="965">
                  <c:v>Dec 15, 2022</c:v>
                </c:pt>
                <c:pt idx="966">
                  <c:v>Dec 14, 2022</c:v>
                </c:pt>
                <c:pt idx="967">
                  <c:v>Dec 13, 2022</c:v>
                </c:pt>
                <c:pt idx="968">
                  <c:v>Dec 12, 2022</c:v>
                </c:pt>
                <c:pt idx="969">
                  <c:v>Dec 09, 2022</c:v>
                </c:pt>
                <c:pt idx="970">
                  <c:v>Dec 08, 2022</c:v>
                </c:pt>
                <c:pt idx="971">
                  <c:v>Dec 07, 2022</c:v>
                </c:pt>
                <c:pt idx="972">
                  <c:v>Dec 06, 2022</c:v>
                </c:pt>
                <c:pt idx="973">
                  <c:v>Dec 05, 2022</c:v>
                </c:pt>
                <c:pt idx="974">
                  <c:v>Dec 02, 2022</c:v>
                </c:pt>
                <c:pt idx="975">
                  <c:v>Dec 01, 2022</c:v>
                </c:pt>
                <c:pt idx="976">
                  <c:v>Nov 30, 2022</c:v>
                </c:pt>
                <c:pt idx="977">
                  <c:v>Nov 29, 2022</c:v>
                </c:pt>
                <c:pt idx="978">
                  <c:v>Nov 28, 2022</c:v>
                </c:pt>
                <c:pt idx="979">
                  <c:v>Nov 25, 2022</c:v>
                </c:pt>
                <c:pt idx="980">
                  <c:v>Nov 23, 2022</c:v>
                </c:pt>
                <c:pt idx="981">
                  <c:v>Nov 22, 2022</c:v>
                </c:pt>
                <c:pt idx="982">
                  <c:v>Nov 21, 2022</c:v>
                </c:pt>
                <c:pt idx="983">
                  <c:v>Nov 18, 2022</c:v>
                </c:pt>
                <c:pt idx="984">
                  <c:v>Nov 17, 2022</c:v>
                </c:pt>
                <c:pt idx="985">
                  <c:v>Nov 16, 2022</c:v>
                </c:pt>
                <c:pt idx="986">
                  <c:v>Nov 15, 2022</c:v>
                </c:pt>
                <c:pt idx="987">
                  <c:v>Nov 14, 2022</c:v>
                </c:pt>
                <c:pt idx="988">
                  <c:v>Nov 11, 2022</c:v>
                </c:pt>
                <c:pt idx="989">
                  <c:v>Nov 10, 2022</c:v>
                </c:pt>
                <c:pt idx="990">
                  <c:v>Nov 09, 2022</c:v>
                </c:pt>
                <c:pt idx="991">
                  <c:v>Nov 08, 2022</c:v>
                </c:pt>
                <c:pt idx="992">
                  <c:v>Nov 07, 2022</c:v>
                </c:pt>
                <c:pt idx="993">
                  <c:v>Nov 04, 2022</c:v>
                </c:pt>
                <c:pt idx="994">
                  <c:v>Nov 03, 2022</c:v>
                </c:pt>
                <c:pt idx="995">
                  <c:v>Nov 02, 2022</c:v>
                </c:pt>
                <c:pt idx="996">
                  <c:v>Nov 01, 2022</c:v>
                </c:pt>
                <c:pt idx="997">
                  <c:v>Oct 31, 2022</c:v>
                </c:pt>
                <c:pt idx="998">
                  <c:v>Oct 28, 2022</c:v>
                </c:pt>
                <c:pt idx="999">
                  <c:v>Oct 27, 2022</c:v>
                </c:pt>
                <c:pt idx="1000">
                  <c:v>Oct 26, 2022</c:v>
                </c:pt>
                <c:pt idx="1001">
                  <c:v>Oct 25, 2022</c:v>
                </c:pt>
                <c:pt idx="1002">
                  <c:v>Oct 24, 2022</c:v>
                </c:pt>
                <c:pt idx="1003">
                  <c:v>Oct 21, 2022</c:v>
                </c:pt>
                <c:pt idx="1004">
                  <c:v>Oct 20, 2022</c:v>
                </c:pt>
                <c:pt idx="1005">
                  <c:v>Oct 19, 2022</c:v>
                </c:pt>
                <c:pt idx="1006">
                  <c:v>Oct 18, 2022</c:v>
                </c:pt>
                <c:pt idx="1007">
                  <c:v>Oct 17, 2022</c:v>
                </c:pt>
                <c:pt idx="1008">
                  <c:v>Oct 14, 2022</c:v>
                </c:pt>
                <c:pt idx="1009">
                  <c:v>Oct 13, 2022</c:v>
                </c:pt>
                <c:pt idx="1010">
                  <c:v>Oct 12, 2022</c:v>
                </c:pt>
                <c:pt idx="1011">
                  <c:v>Oct 11, 2022</c:v>
                </c:pt>
                <c:pt idx="1012">
                  <c:v>Oct 10, 2022</c:v>
                </c:pt>
                <c:pt idx="1013">
                  <c:v>Oct 07, 2022</c:v>
                </c:pt>
                <c:pt idx="1014">
                  <c:v>Oct 06, 2022</c:v>
                </c:pt>
                <c:pt idx="1015">
                  <c:v>Oct 05, 2022</c:v>
                </c:pt>
                <c:pt idx="1016">
                  <c:v>Oct 04, 2022</c:v>
                </c:pt>
                <c:pt idx="1017">
                  <c:v>Oct 03, 2022</c:v>
                </c:pt>
                <c:pt idx="1018">
                  <c:v>Sep 30, 2022</c:v>
                </c:pt>
                <c:pt idx="1019">
                  <c:v>Sep 29, 2022</c:v>
                </c:pt>
                <c:pt idx="1020">
                  <c:v>Sep 28, 2022</c:v>
                </c:pt>
                <c:pt idx="1021">
                  <c:v>Sep 27, 2022</c:v>
                </c:pt>
                <c:pt idx="1022">
                  <c:v>Sep 26, 2022</c:v>
                </c:pt>
                <c:pt idx="1023">
                  <c:v>Sep 23, 2022</c:v>
                </c:pt>
                <c:pt idx="1024">
                  <c:v>Sep 22, 2022</c:v>
                </c:pt>
                <c:pt idx="1025">
                  <c:v>Sep 21, 2022</c:v>
                </c:pt>
                <c:pt idx="1026">
                  <c:v>Sep 20, 2022</c:v>
                </c:pt>
                <c:pt idx="1027">
                  <c:v>Sep 19, 2022</c:v>
                </c:pt>
                <c:pt idx="1028">
                  <c:v>Sep 16, 2022</c:v>
                </c:pt>
                <c:pt idx="1029">
                  <c:v>Sep 15, 2022</c:v>
                </c:pt>
                <c:pt idx="1030">
                  <c:v>Sep 14, 2022</c:v>
                </c:pt>
                <c:pt idx="1031">
                  <c:v>Sep 13, 2022</c:v>
                </c:pt>
                <c:pt idx="1032">
                  <c:v>Sep 12, 2022</c:v>
                </c:pt>
                <c:pt idx="1033">
                  <c:v>Sep 09, 2022</c:v>
                </c:pt>
                <c:pt idx="1034">
                  <c:v>Sep 08, 2022</c:v>
                </c:pt>
                <c:pt idx="1035">
                  <c:v>Sep 07, 2022</c:v>
                </c:pt>
                <c:pt idx="1036">
                  <c:v>Sep 06, 2022</c:v>
                </c:pt>
                <c:pt idx="1037">
                  <c:v>Sep 02, 2022</c:v>
                </c:pt>
                <c:pt idx="1038">
                  <c:v>Sep 01, 2022</c:v>
                </c:pt>
                <c:pt idx="1039">
                  <c:v>Aug 31, 2022</c:v>
                </c:pt>
                <c:pt idx="1040">
                  <c:v>Aug 30, 2022</c:v>
                </c:pt>
                <c:pt idx="1041">
                  <c:v>Aug 29, 2022</c:v>
                </c:pt>
                <c:pt idx="1042">
                  <c:v>Aug 26, 2022</c:v>
                </c:pt>
                <c:pt idx="1043">
                  <c:v>Aug 25, 2022</c:v>
                </c:pt>
                <c:pt idx="1044">
                  <c:v>Aug 24, 2022</c:v>
                </c:pt>
                <c:pt idx="1045">
                  <c:v>Aug 23, 2022</c:v>
                </c:pt>
                <c:pt idx="1046">
                  <c:v>Aug 22, 2022</c:v>
                </c:pt>
                <c:pt idx="1047">
                  <c:v>Aug 19, 2022</c:v>
                </c:pt>
                <c:pt idx="1048">
                  <c:v>Aug 18, 2022</c:v>
                </c:pt>
                <c:pt idx="1049">
                  <c:v>Aug 17, 2022</c:v>
                </c:pt>
                <c:pt idx="1050">
                  <c:v>Aug 16, 2022</c:v>
                </c:pt>
                <c:pt idx="1051">
                  <c:v>Aug 15, 2022</c:v>
                </c:pt>
                <c:pt idx="1052">
                  <c:v>Aug 12, 2022</c:v>
                </c:pt>
                <c:pt idx="1053">
                  <c:v>Aug 11, 2022</c:v>
                </c:pt>
                <c:pt idx="1054">
                  <c:v>Aug 10, 2022</c:v>
                </c:pt>
                <c:pt idx="1055">
                  <c:v>Aug 09, 2022</c:v>
                </c:pt>
                <c:pt idx="1056">
                  <c:v>Aug 08, 2022</c:v>
                </c:pt>
                <c:pt idx="1057">
                  <c:v>Aug 05, 2022</c:v>
                </c:pt>
                <c:pt idx="1058">
                  <c:v>Aug 04, 2022</c:v>
                </c:pt>
                <c:pt idx="1059">
                  <c:v>Aug 03, 2022</c:v>
                </c:pt>
                <c:pt idx="1060">
                  <c:v>Aug 02, 2022</c:v>
                </c:pt>
                <c:pt idx="1061">
                  <c:v>Aug 01, 2022</c:v>
                </c:pt>
                <c:pt idx="1062">
                  <c:v>Jul 29, 2022</c:v>
                </c:pt>
                <c:pt idx="1063">
                  <c:v>Jul 28, 2022</c:v>
                </c:pt>
                <c:pt idx="1064">
                  <c:v>Jul 27, 2022</c:v>
                </c:pt>
                <c:pt idx="1065">
                  <c:v>Jul 26, 2022</c:v>
                </c:pt>
                <c:pt idx="1066">
                  <c:v>Jul 25, 2022</c:v>
                </c:pt>
                <c:pt idx="1067">
                  <c:v>Jul 22, 2022</c:v>
                </c:pt>
                <c:pt idx="1068">
                  <c:v>Jul 21, 2022</c:v>
                </c:pt>
                <c:pt idx="1069">
                  <c:v>Jul 20, 2022</c:v>
                </c:pt>
                <c:pt idx="1070">
                  <c:v>Jul 19, 2022</c:v>
                </c:pt>
                <c:pt idx="1071">
                  <c:v>Jul 18, 2022</c:v>
                </c:pt>
                <c:pt idx="1072">
                  <c:v>Jul 15, 2022</c:v>
                </c:pt>
                <c:pt idx="1073">
                  <c:v>Jul 14, 2022</c:v>
                </c:pt>
                <c:pt idx="1074">
                  <c:v>Jul 13, 2022</c:v>
                </c:pt>
                <c:pt idx="1075">
                  <c:v>Jul 12, 2022</c:v>
                </c:pt>
                <c:pt idx="1076">
                  <c:v>Jul 11, 2022</c:v>
                </c:pt>
                <c:pt idx="1077">
                  <c:v>Jul 08, 2022</c:v>
                </c:pt>
                <c:pt idx="1078">
                  <c:v>Jul 07, 2022</c:v>
                </c:pt>
                <c:pt idx="1079">
                  <c:v>Jul 06, 2022</c:v>
                </c:pt>
                <c:pt idx="1080">
                  <c:v>Jul 05, 2022</c:v>
                </c:pt>
                <c:pt idx="1081">
                  <c:v>Jul 01, 2022</c:v>
                </c:pt>
                <c:pt idx="1082">
                  <c:v>Jun 30, 2022</c:v>
                </c:pt>
                <c:pt idx="1083">
                  <c:v>Jun 29, 2022</c:v>
                </c:pt>
                <c:pt idx="1084">
                  <c:v>Jun 28, 2022</c:v>
                </c:pt>
                <c:pt idx="1085">
                  <c:v>Jun 27, 2022</c:v>
                </c:pt>
                <c:pt idx="1086">
                  <c:v>Jun 24, 2022</c:v>
                </c:pt>
                <c:pt idx="1087">
                  <c:v>Jun 23, 2022</c:v>
                </c:pt>
                <c:pt idx="1088">
                  <c:v>Jun 22, 2022</c:v>
                </c:pt>
                <c:pt idx="1089">
                  <c:v>Jun 21, 2022</c:v>
                </c:pt>
                <c:pt idx="1090">
                  <c:v>Jun 17, 2022</c:v>
                </c:pt>
                <c:pt idx="1091">
                  <c:v>Jun 16, 2022</c:v>
                </c:pt>
                <c:pt idx="1092">
                  <c:v>Jun 15, 2022</c:v>
                </c:pt>
                <c:pt idx="1093">
                  <c:v>Jun 14, 2022</c:v>
                </c:pt>
                <c:pt idx="1094">
                  <c:v>Jun 13, 2022</c:v>
                </c:pt>
                <c:pt idx="1095">
                  <c:v>Jun 10, 2022</c:v>
                </c:pt>
                <c:pt idx="1096">
                  <c:v>Jun 09, 2022</c:v>
                </c:pt>
                <c:pt idx="1097">
                  <c:v>Jun 08, 2022</c:v>
                </c:pt>
                <c:pt idx="1098">
                  <c:v>Jun 07, 2022</c:v>
                </c:pt>
                <c:pt idx="1099">
                  <c:v>Jun 06, 2022</c:v>
                </c:pt>
                <c:pt idx="1100">
                  <c:v>Jun 03, 2022</c:v>
                </c:pt>
                <c:pt idx="1101">
                  <c:v>Jun 02, 2022</c:v>
                </c:pt>
                <c:pt idx="1102">
                  <c:v>Jun 01, 2022</c:v>
                </c:pt>
                <c:pt idx="1103">
                  <c:v>May 31, 2022</c:v>
                </c:pt>
                <c:pt idx="1104">
                  <c:v>May 27, 2022</c:v>
                </c:pt>
                <c:pt idx="1105">
                  <c:v>May 26, 2022</c:v>
                </c:pt>
                <c:pt idx="1106">
                  <c:v>May 25, 2022</c:v>
                </c:pt>
                <c:pt idx="1107">
                  <c:v>May 24, 2022</c:v>
                </c:pt>
                <c:pt idx="1108">
                  <c:v>May 23, 2022</c:v>
                </c:pt>
                <c:pt idx="1109">
                  <c:v>May 20, 2022</c:v>
                </c:pt>
                <c:pt idx="1110">
                  <c:v>May 19, 2022</c:v>
                </c:pt>
                <c:pt idx="1111">
                  <c:v>May 18, 2022</c:v>
                </c:pt>
                <c:pt idx="1112">
                  <c:v>May 17, 2022</c:v>
                </c:pt>
                <c:pt idx="1113">
                  <c:v>May 16, 2022</c:v>
                </c:pt>
                <c:pt idx="1114">
                  <c:v>May 13, 2022</c:v>
                </c:pt>
                <c:pt idx="1115">
                  <c:v>May 12, 2022</c:v>
                </c:pt>
                <c:pt idx="1116">
                  <c:v>May 11, 2022</c:v>
                </c:pt>
                <c:pt idx="1117">
                  <c:v>May 10, 2022</c:v>
                </c:pt>
                <c:pt idx="1118">
                  <c:v>May 09, 2022</c:v>
                </c:pt>
                <c:pt idx="1119">
                  <c:v>May 06, 2022</c:v>
                </c:pt>
                <c:pt idx="1120">
                  <c:v>May 05, 2022</c:v>
                </c:pt>
                <c:pt idx="1121">
                  <c:v>May 04, 2022</c:v>
                </c:pt>
                <c:pt idx="1122">
                  <c:v>May 03, 2022</c:v>
                </c:pt>
                <c:pt idx="1123">
                  <c:v>May 02, 2022</c:v>
                </c:pt>
                <c:pt idx="1124">
                  <c:v>Apr 29, 2022</c:v>
                </c:pt>
                <c:pt idx="1125">
                  <c:v>Apr 28, 2022</c:v>
                </c:pt>
                <c:pt idx="1126">
                  <c:v>Apr 27, 2022</c:v>
                </c:pt>
                <c:pt idx="1127">
                  <c:v>Apr 26, 2022</c:v>
                </c:pt>
                <c:pt idx="1128">
                  <c:v>Apr 25, 2022</c:v>
                </c:pt>
                <c:pt idx="1129">
                  <c:v>Apr 22, 2022</c:v>
                </c:pt>
                <c:pt idx="1130">
                  <c:v>Apr 21, 2022</c:v>
                </c:pt>
                <c:pt idx="1131">
                  <c:v>Apr 20, 2022</c:v>
                </c:pt>
                <c:pt idx="1132">
                  <c:v>Apr 19, 2022</c:v>
                </c:pt>
                <c:pt idx="1133">
                  <c:v>Apr 18, 2022</c:v>
                </c:pt>
                <c:pt idx="1134">
                  <c:v>Apr 14, 2022</c:v>
                </c:pt>
                <c:pt idx="1135">
                  <c:v>Apr 13, 2022</c:v>
                </c:pt>
                <c:pt idx="1136">
                  <c:v>Apr 12, 2022</c:v>
                </c:pt>
                <c:pt idx="1137">
                  <c:v>Apr 11, 2022</c:v>
                </c:pt>
                <c:pt idx="1138">
                  <c:v>Apr 08, 2022</c:v>
                </c:pt>
                <c:pt idx="1139">
                  <c:v>Apr 07, 2022</c:v>
                </c:pt>
                <c:pt idx="1140">
                  <c:v>Apr 06, 2022</c:v>
                </c:pt>
                <c:pt idx="1141">
                  <c:v>Apr 05, 2022</c:v>
                </c:pt>
                <c:pt idx="1142">
                  <c:v>Apr 04, 2022</c:v>
                </c:pt>
                <c:pt idx="1143">
                  <c:v>Apr 01, 2022</c:v>
                </c:pt>
                <c:pt idx="1144">
                  <c:v>Mar 31, 2022</c:v>
                </c:pt>
                <c:pt idx="1145">
                  <c:v>Mar 30, 2022</c:v>
                </c:pt>
                <c:pt idx="1146">
                  <c:v>Mar 29, 2022</c:v>
                </c:pt>
                <c:pt idx="1147">
                  <c:v>Mar 28, 2022</c:v>
                </c:pt>
                <c:pt idx="1148">
                  <c:v>Mar 25, 2022</c:v>
                </c:pt>
                <c:pt idx="1149">
                  <c:v>Mar 24, 2022</c:v>
                </c:pt>
                <c:pt idx="1150">
                  <c:v>Mar 23, 2022</c:v>
                </c:pt>
                <c:pt idx="1151">
                  <c:v>Mar 22, 2022</c:v>
                </c:pt>
                <c:pt idx="1152">
                  <c:v>Mar 21, 2022</c:v>
                </c:pt>
                <c:pt idx="1153">
                  <c:v>Mar 18, 2022</c:v>
                </c:pt>
                <c:pt idx="1154">
                  <c:v>Mar 17, 2022</c:v>
                </c:pt>
                <c:pt idx="1155">
                  <c:v>Mar 16, 2022</c:v>
                </c:pt>
                <c:pt idx="1156">
                  <c:v>Mar 15, 2022</c:v>
                </c:pt>
                <c:pt idx="1157">
                  <c:v>Mar 14, 2022</c:v>
                </c:pt>
                <c:pt idx="1158">
                  <c:v>Mar 11, 2022</c:v>
                </c:pt>
                <c:pt idx="1159">
                  <c:v>Mar 10, 2022</c:v>
                </c:pt>
                <c:pt idx="1160">
                  <c:v>Mar 09, 2022</c:v>
                </c:pt>
                <c:pt idx="1161">
                  <c:v>Mar 08, 2022</c:v>
                </c:pt>
                <c:pt idx="1162">
                  <c:v>Mar 07, 2022</c:v>
                </c:pt>
                <c:pt idx="1163">
                  <c:v>Mar 04, 2022</c:v>
                </c:pt>
                <c:pt idx="1164">
                  <c:v>Mar 03, 2022</c:v>
                </c:pt>
                <c:pt idx="1165">
                  <c:v>Mar 02, 2022</c:v>
                </c:pt>
                <c:pt idx="1166">
                  <c:v>Mar 01, 2022</c:v>
                </c:pt>
                <c:pt idx="1167">
                  <c:v>Feb 28, 2022</c:v>
                </c:pt>
                <c:pt idx="1168">
                  <c:v>Feb 25, 2022</c:v>
                </c:pt>
                <c:pt idx="1169">
                  <c:v>Feb 24, 2022</c:v>
                </c:pt>
                <c:pt idx="1170">
                  <c:v>Feb 23, 2022</c:v>
                </c:pt>
                <c:pt idx="1171">
                  <c:v>Feb 22, 2022</c:v>
                </c:pt>
                <c:pt idx="1172">
                  <c:v>Feb 18, 2022</c:v>
                </c:pt>
                <c:pt idx="1173">
                  <c:v>Feb 17, 2022</c:v>
                </c:pt>
                <c:pt idx="1174">
                  <c:v>Feb 16, 2022</c:v>
                </c:pt>
                <c:pt idx="1175">
                  <c:v>Feb 15, 2022</c:v>
                </c:pt>
                <c:pt idx="1176">
                  <c:v>Feb 14, 2022</c:v>
                </c:pt>
                <c:pt idx="1177">
                  <c:v>Feb 11, 2022</c:v>
                </c:pt>
                <c:pt idx="1178">
                  <c:v>Feb 10, 2022</c:v>
                </c:pt>
                <c:pt idx="1179">
                  <c:v>Feb 09, 2022</c:v>
                </c:pt>
                <c:pt idx="1180">
                  <c:v>Feb 08, 2022</c:v>
                </c:pt>
                <c:pt idx="1181">
                  <c:v>Feb 07, 2022</c:v>
                </c:pt>
                <c:pt idx="1182">
                  <c:v>Feb 04, 2022</c:v>
                </c:pt>
                <c:pt idx="1183">
                  <c:v>Feb 03, 2022</c:v>
                </c:pt>
                <c:pt idx="1184">
                  <c:v>Feb 02, 2022</c:v>
                </c:pt>
                <c:pt idx="1185">
                  <c:v>Feb 01, 2022</c:v>
                </c:pt>
                <c:pt idx="1186">
                  <c:v>Jan 31, 2022</c:v>
                </c:pt>
                <c:pt idx="1187">
                  <c:v>Jan 28, 2022</c:v>
                </c:pt>
                <c:pt idx="1188">
                  <c:v>Jan 27, 2022</c:v>
                </c:pt>
                <c:pt idx="1189">
                  <c:v>Jan 26, 2022</c:v>
                </c:pt>
                <c:pt idx="1190">
                  <c:v>Jan 25, 2022</c:v>
                </c:pt>
                <c:pt idx="1191">
                  <c:v>Jan 24, 2022</c:v>
                </c:pt>
                <c:pt idx="1192">
                  <c:v>Jan 21, 2022</c:v>
                </c:pt>
                <c:pt idx="1193">
                  <c:v>Jan 20, 2022</c:v>
                </c:pt>
                <c:pt idx="1194">
                  <c:v>Jan 19, 2022</c:v>
                </c:pt>
                <c:pt idx="1195">
                  <c:v>Jan 18, 2022</c:v>
                </c:pt>
                <c:pt idx="1196">
                  <c:v>Jan 14, 2022</c:v>
                </c:pt>
                <c:pt idx="1197">
                  <c:v>Jan 13, 2022</c:v>
                </c:pt>
                <c:pt idx="1198">
                  <c:v>Jan 12, 2022</c:v>
                </c:pt>
                <c:pt idx="1199">
                  <c:v>Jan 11, 2022</c:v>
                </c:pt>
                <c:pt idx="1200">
                  <c:v>Jan 10, 2022</c:v>
                </c:pt>
                <c:pt idx="1201">
                  <c:v>Jan 07, 2022</c:v>
                </c:pt>
                <c:pt idx="1202">
                  <c:v>Jan 06, 2022</c:v>
                </c:pt>
                <c:pt idx="1203">
                  <c:v>Jan 05, 2022</c:v>
                </c:pt>
                <c:pt idx="1204">
                  <c:v>Jan 04, 2022</c:v>
                </c:pt>
                <c:pt idx="1205">
                  <c:v>Jan 03, 2022</c:v>
                </c:pt>
                <c:pt idx="1206">
                  <c:v>Dec 31, 2021</c:v>
                </c:pt>
                <c:pt idx="1207">
                  <c:v>Dec 30, 2021</c:v>
                </c:pt>
                <c:pt idx="1208">
                  <c:v>Dec 29, 2021</c:v>
                </c:pt>
                <c:pt idx="1209">
                  <c:v>Dec 28, 2021</c:v>
                </c:pt>
                <c:pt idx="1210">
                  <c:v>Dec 27, 2021</c:v>
                </c:pt>
                <c:pt idx="1211">
                  <c:v>Dec 23, 2021</c:v>
                </c:pt>
                <c:pt idx="1212">
                  <c:v>Dec 22, 2021</c:v>
                </c:pt>
                <c:pt idx="1213">
                  <c:v>Dec 21, 2021</c:v>
                </c:pt>
                <c:pt idx="1214">
                  <c:v>Dec 20, 2021</c:v>
                </c:pt>
                <c:pt idx="1215">
                  <c:v>Dec 17, 2021</c:v>
                </c:pt>
                <c:pt idx="1216">
                  <c:v>Dec 16, 2021</c:v>
                </c:pt>
                <c:pt idx="1217">
                  <c:v>Dec 15, 2021</c:v>
                </c:pt>
                <c:pt idx="1218">
                  <c:v>Dec 14, 2021</c:v>
                </c:pt>
                <c:pt idx="1219">
                  <c:v>Dec 13, 2021</c:v>
                </c:pt>
                <c:pt idx="1220">
                  <c:v>Dec 10, 2021</c:v>
                </c:pt>
                <c:pt idx="1221">
                  <c:v>Dec 09, 2021</c:v>
                </c:pt>
                <c:pt idx="1222">
                  <c:v>Dec 08, 2021</c:v>
                </c:pt>
                <c:pt idx="1223">
                  <c:v>Dec 07, 2021</c:v>
                </c:pt>
                <c:pt idx="1224">
                  <c:v>Dec 06, 2021</c:v>
                </c:pt>
                <c:pt idx="1225">
                  <c:v>Dec 03, 2021</c:v>
                </c:pt>
                <c:pt idx="1226">
                  <c:v>Dec 02, 2021</c:v>
                </c:pt>
                <c:pt idx="1227">
                  <c:v>Dec 01, 2021</c:v>
                </c:pt>
                <c:pt idx="1228">
                  <c:v>Nov 30, 2021</c:v>
                </c:pt>
                <c:pt idx="1229">
                  <c:v>Nov 29, 2021</c:v>
                </c:pt>
                <c:pt idx="1230">
                  <c:v>Nov 26, 2021</c:v>
                </c:pt>
                <c:pt idx="1231">
                  <c:v>Nov 24, 2021</c:v>
                </c:pt>
                <c:pt idx="1232">
                  <c:v>Nov 23, 2021</c:v>
                </c:pt>
                <c:pt idx="1233">
                  <c:v>Nov 22, 2021</c:v>
                </c:pt>
                <c:pt idx="1234">
                  <c:v>Nov 19, 2021</c:v>
                </c:pt>
                <c:pt idx="1235">
                  <c:v>Nov 18, 2021</c:v>
                </c:pt>
                <c:pt idx="1236">
                  <c:v>Nov 17, 2021</c:v>
                </c:pt>
                <c:pt idx="1237">
                  <c:v>Nov 16, 2021</c:v>
                </c:pt>
                <c:pt idx="1238">
                  <c:v>Nov 15, 2021</c:v>
                </c:pt>
                <c:pt idx="1239">
                  <c:v>Nov 12, 2021</c:v>
                </c:pt>
                <c:pt idx="1240">
                  <c:v>Nov 11, 2021</c:v>
                </c:pt>
                <c:pt idx="1241">
                  <c:v>Nov 10, 2021</c:v>
                </c:pt>
                <c:pt idx="1242">
                  <c:v>Nov 09, 2021</c:v>
                </c:pt>
                <c:pt idx="1243">
                  <c:v>Nov 08, 2021</c:v>
                </c:pt>
                <c:pt idx="1244">
                  <c:v>Nov 05, 2021</c:v>
                </c:pt>
                <c:pt idx="1245">
                  <c:v>Nov 04, 2021</c:v>
                </c:pt>
                <c:pt idx="1246">
                  <c:v>Nov 03, 2021</c:v>
                </c:pt>
                <c:pt idx="1247">
                  <c:v>Nov 02, 2021</c:v>
                </c:pt>
                <c:pt idx="1248">
                  <c:v>Nov 01, 2021</c:v>
                </c:pt>
                <c:pt idx="1249">
                  <c:v>Oct 29, 2021</c:v>
                </c:pt>
                <c:pt idx="1250">
                  <c:v>Oct 28, 2021</c:v>
                </c:pt>
                <c:pt idx="1251">
                  <c:v>Oct 27, 2021</c:v>
                </c:pt>
                <c:pt idx="1252">
                  <c:v>Oct 26, 2021</c:v>
                </c:pt>
                <c:pt idx="1253">
                  <c:v>Oct 25, 2021</c:v>
                </c:pt>
              </c:strCache>
            </c:strRef>
          </c:cat>
          <c:val>
            <c:numRef>
              <c:f>'Input Sheet'!$O$4:$O$1257</c:f>
              <c:numCache>
                <c:formatCode>General</c:formatCode>
                <c:ptCount val="1254"/>
                <c:pt idx="0">
                  <c:v>22668585</c:v>
                </c:pt>
                <c:pt idx="1">
                  <c:v>22042900</c:v>
                </c:pt>
                <c:pt idx="2">
                  <c:v>22799200</c:v>
                </c:pt>
                <c:pt idx="3">
                  <c:v>20804200</c:v>
                </c:pt>
                <c:pt idx="4">
                  <c:v>17932300</c:v>
                </c:pt>
                <c:pt idx="5">
                  <c:v>29560200</c:v>
                </c:pt>
                <c:pt idx="6">
                  <c:v>14209400</c:v>
                </c:pt>
                <c:pt idx="7">
                  <c:v>25564500</c:v>
                </c:pt>
                <c:pt idx="8">
                  <c:v>13025600</c:v>
                </c:pt>
                <c:pt idx="9">
                  <c:v>12902100</c:v>
                </c:pt>
                <c:pt idx="10">
                  <c:v>31359300</c:v>
                </c:pt>
                <c:pt idx="11">
                  <c:v>28397400</c:v>
                </c:pt>
                <c:pt idx="12">
                  <c:v>20107800</c:v>
                </c:pt>
                <c:pt idx="13">
                  <c:v>17223000</c:v>
                </c:pt>
                <c:pt idx="14">
                  <c:v>19592500</c:v>
                </c:pt>
                <c:pt idx="15">
                  <c:v>38330500</c:v>
                </c:pt>
                <c:pt idx="16">
                  <c:v>20322700</c:v>
                </c:pt>
                <c:pt idx="17">
                  <c:v>14285700</c:v>
                </c:pt>
                <c:pt idx="18">
                  <c:v>13014600</c:v>
                </c:pt>
                <c:pt idx="19">
                  <c:v>17570900</c:v>
                </c:pt>
                <c:pt idx="20">
                  <c:v>14511200</c:v>
                </c:pt>
                <c:pt idx="21">
                  <c:v>17357500</c:v>
                </c:pt>
                <c:pt idx="22">
                  <c:v>17671200</c:v>
                </c:pt>
                <c:pt idx="23">
                  <c:v>9680900</c:v>
                </c:pt>
                <c:pt idx="24">
                  <c:v>17157100</c:v>
                </c:pt>
                <c:pt idx="25">
                  <c:v>9199200</c:v>
                </c:pt>
                <c:pt idx="26">
                  <c:v>11497600</c:v>
                </c:pt>
                <c:pt idx="27">
                  <c:v>17333900</c:v>
                </c:pt>
                <c:pt idx="28">
                  <c:v>24835300</c:v>
                </c:pt>
                <c:pt idx="29">
                  <c:v>16797600</c:v>
                </c:pt>
                <c:pt idx="30">
                  <c:v>14030500</c:v>
                </c:pt>
                <c:pt idx="31">
                  <c:v>17975200</c:v>
                </c:pt>
                <c:pt idx="32">
                  <c:v>20180800</c:v>
                </c:pt>
                <c:pt idx="33">
                  <c:v>19837900</c:v>
                </c:pt>
                <c:pt idx="34">
                  <c:v>11957100</c:v>
                </c:pt>
                <c:pt idx="35">
                  <c:v>11007700</c:v>
                </c:pt>
                <c:pt idx="36">
                  <c:v>16393700</c:v>
                </c:pt>
                <c:pt idx="37">
                  <c:v>14547900</c:v>
                </c:pt>
                <c:pt idx="38">
                  <c:v>11604300</c:v>
                </c:pt>
                <c:pt idx="39">
                  <c:v>17711800</c:v>
                </c:pt>
                <c:pt idx="40">
                  <c:v>6728000</c:v>
                </c:pt>
                <c:pt idx="41">
                  <c:v>8604700</c:v>
                </c:pt>
                <c:pt idx="42">
                  <c:v>15911000</c:v>
                </c:pt>
                <c:pt idx="43">
                  <c:v>16035200</c:v>
                </c:pt>
                <c:pt idx="44">
                  <c:v>14693100</c:v>
                </c:pt>
                <c:pt idx="45">
                  <c:v>21522300</c:v>
                </c:pt>
                <c:pt idx="46">
                  <c:v>19065200</c:v>
                </c:pt>
                <c:pt idx="47">
                  <c:v>15418500</c:v>
                </c:pt>
                <c:pt idx="48">
                  <c:v>11033200</c:v>
                </c:pt>
                <c:pt idx="49">
                  <c:v>15555300</c:v>
                </c:pt>
                <c:pt idx="50">
                  <c:v>16074700</c:v>
                </c:pt>
                <c:pt idx="51">
                  <c:v>14448800</c:v>
                </c:pt>
                <c:pt idx="52">
                  <c:v>12604300</c:v>
                </c:pt>
                <c:pt idx="53">
                  <c:v>15272100</c:v>
                </c:pt>
                <c:pt idx="54">
                  <c:v>33115000</c:v>
                </c:pt>
                <c:pt idx="55">
                  <c:v>22906700</c:v>
                </c:pt>
                <c:pt idx="56">
                  <c:v>19825900</c:v>
                </c:pt>
                <c:pt idx="57">
                  <c:v>30556300</c:v>
                </c:pt>
                <c:pt idx="58">
                  <c:v>18091400</c:v>
                </c:pt>
                <c:pt idx="59">
                  <c:v>20245200</c:v>
                </c:pt>
                <c:pt idx="60">
                  <c:v>30088300</c:v>
                </c:pt>
                <c:pt idx="61">
                  <c:v>41732500</c:v>
                </c:pt>
                <c:pt idx="62">
                  <c:v>47793100</c:v>
                </c:pt>
                <c:pt idx="63">
                  <c:v>29071800</c:v>
                </c:pt>
                <c:pt idx="64">
                  <c:v>39061000</c:v>
                </c:pt>
                <c:pt idx="65">
                  <c:v>29623500</c:v>
                </c:pt>
                <c:pt idx="66">
                  <c:v>16905900</c:v>
                </c:pt>
                <c:pt idx="67">
                  <c:v>22350400</c:v>
                </c:pt>
                <c:pt idx="68">
                  <c:v>18944400</c:v>
                </c:pt>
                <c:pt idx="69">
                  <c:v>30549100</c:v>
                </c:pt>
                <c:pt idx="70">
                  <c:v>28665800</c:v>
                </c:pt>
                <c:pt idx="71">
                  <c:v>23874900</c:v>
                </c:pt>
                <c:pt idx="72">
                  <c:v>26638300</c:v>
                </c:pt>
                <c:pt idx="73">
                  <c:v>15888800</c:v>
                </c:pt>
                <c:pt idx="74">
                  <c:v>12176700</c:v>
                </c:pt>
                <c:pt idx="75">
                  <c:v>44311900</c:v>
                </c:pt>
                <c:pt idx="76">
                  <c:v>18506800</c:v>
                </c:pt>
                <c:pt idx="77">
                  <c:v>17356200</c:v>
                </c:pt>
                <c:pt idx="78">
                  <c:v>20504600</c:v>
                </c:pt>
                <c:pt idx="79">
                  <c:v>28803500</c:v>
                </c:pt>
                <c:pt idx="80">
                  <c:v>18011400</c:v>
                </c:pt>
                <c:pt idx="81">
                  <c:v>17432700</c:v>
                </c:pt>
                <c:pt idx="82">
                  <c:v>17504500</c:v>
                </c:pt>
                <c:pt idx="83">
                  <c:v>28691300</c:v>
                </c:pt>
                <c:pt idx="84">
                  <c:v>22637100</c:v>
                </c:pt>
                <c:pt idx="85">
                  <c:v>34590100</c:v>
                </c:pt>
                <c:pt idx="86">
                  <c:v>33480500</c:v>
                </c:pt>
                <c:pt idx="87">
                  <c:v>63561800</c:v>
                </c:pt>
                <c:pt idx="88">
                  <c:v>32500100</c:v>
                </c:pt>
                <c:pt idx="89">
                  <c:v>17804800</c:v>
                </c:pt>
                <c:pt idx="90">
                  <c:v>15029000</c:v>
                </c:pt>
                <c:pt idx="91">
                  <c:v>7443300</c:v>
                </c:pt>
                <c:pt idx="92">
                  <c:v>10272500</c:v>
                </c:pt>
                <c:pt idx="93">
                  <c:v>11298600</c:v>
                </c:pt>
                <c:pt idx="94">
                  <c:v>10546600</c:v>
                </c:pt>
                <c:pt idx="95">
                  <c:v>12375000</c:v>
                </c:pt>
                <c:pt idx="96">
                  <c:v>8239600</c:v>
                </c:pt>
                <c:pt idx="97">
                  <c:v>14882500</c:v>
                </c:pt>
                <c:pt idx="98">
                  <c:v>17725700</c:v>
                </c:pt>
                <c:pt idx="99">
                  <c:v>23013900</c:v>
                </c:pt>
                <c:pt idx="100">
                  <c:v>34182100</c:v>
                </c:pt>
                <c:pt idx="101">
                  <c:v>27699800</c:v>
                </c:pt>
                <c:pt idx="102">
                  <c:v>33405700</c:v>
                </c:pt>
                <c:pt idx="103">
                  <c:v>15036500</c:v>
                </c:pt>
                <c:pt idx="104">
                  <c:v>22361400</c:v>
                </c:pt>
                <c:pt idx="105">
                  <c:v>19027200</c:v>
                </c:pt>
                <c:pt idx="106">
                  <c:v>17329800</c:v>
                </c:pt>
                <c:pt idx="107">
                  <c:v>28776000</c:v>
                </c:pt>
                <c:pt idx="108">
                  <c:v>22702700</c:v>
                </c:pt>
                <c:pt idx="109">
                  <c:v>22950900</c:v>
                </c:pt>
                <c:pt idx="110">
                  <c:v>18788100</c:v>
                </c:pt>
                <c:pt idx="111">
                  <c:v>11782300</c:v>
                </c:pt>
                <c:pt idx="112">
                  <c:v>12549500</c:v>
                </c:pt>
                <c:pt idx="113">
                  <c:v>10114300</c:v>
                </c:pt>
                <c:pt idx="114">
                  <c:v>11768600</c:v>
                </c:pt>
                <c:pt idx="115">
                  <c:v>12856600</c:v>
                </c:pt>
                <c:pt idx="116">
                  <c:v>11742600</c:v>
                </c:pt>
                <c:pt idx="117">
                  <c:v>16179400</c:v>
                </c:pt>
                <c:pt idx="118">
                  <c:v>10423300</c:v>
                </c:pt>
                <c:pt idx="119">
                  <c:v>11735400</c:v>
                </c:pt>
                <c:pt idx="120">
                  <c:v>8389800</c:v>
                </c:pt>
                <c:pt idx="121">
                  <c:v>13167800</c:v>
                </c:pt>
                <c:pt idx="122">
                  <c:v>14906600</c:v>
                </c:pt>
                <c:pt idx="123">
                  <c:v>18627200</c:v>
                </c:pt>
                <c:pt idx="124">
                  <c:v>20410400</c:v>
                </c:pt>
                <c:pt idx="125">
                  <c:v>22912100</c:v>
                </c:pt>
                <c:pt idx="126">
                  <c:v>33431700</c:v>
                </c:pt>
                <c:pt idx="127">
                  <c:v>21799500</c:v>
                </c:pt>
                <c:pt idx="128">
                  <c:v>19462600</c:v>
                </c:pt>
                <c:pt idx="129">
                  <c:v>13034400</c:v>
                </c:pt>
                <c:pt idx="130">
                  <c:v>14210800</c:v>
                </c:pt>
                <c:pt idx="131">
                  <c:v>16461800</c:v>
                </c:pt>
                <c:pt idx="132">
                  <c:v>16260500</c:v>
                </c:pt>
                <c:pt idx="133">
                  <c:v>14719900</c:v>
                </c:pt>
                <c:pt idx="134">
                  <c:v>15023700</c:v>
                </c:pt>
                <c:pt idx="135">
                  <c:v>19339800</c:v>
                </c:pt>
                <c:pt idx="136">
                  <c:v>21081000</c:v>
                </c:pt>
                <c:pt idx="137">
                  <c:v>13072700</c:v>
                </c:pt>
                <c:pt idx="138">
                  <c:v>17202300</c:v>
                </c:pt>
                <c:pt idx="139">
                  <c:v>9093000</c:v>
                </c:pt>
                <c:pt idx="140">
                  <c:v>11172000</c:v>
                </c:pt>
                <c:pt idx="141">
                  <c:v>14046400</c:v>
                </c:pt>
                <c:pt idx="142">
                  <c:v>16621100</c:v>
                </c:pt>
                <c:pt idx="143">
                  <c:v>10980700</c:v>
                </c:pt>
                <c:pt idx="144">
                  <c:v>11866900</c:v>
                </c:pt>
                <c:pt idx="145">
                  <c:v>8750500</c:v>
                </c:pt>
                <c:pt idx="146">
                  <c:v>11348100</c:v>
                </c:pt>
                <c:pt idx="147">
                  <c:v>11069900</c:v>
                </c:pt>
                <c:pt idx="148">
                  <c:v>15983100</c:v>
                </c:pt>
                <c:pt idx="149">
                  <c:v>100979500</c:v>
                </c:pt>
                <c:pt idx="150">
                  <c:v>24317200</c:v>
                </c:pt>
                <c:pt idx="151">
                  <c:v>25447600</c:v>
                </c:pt>
                <c:pt idx="152">
                  <c:v>22008800</c:v>
                </c:pt>
                <c:pt idx="153">
                  <c:v>22523200</c:v>
                </c:pt>
                <c:pt idx="154">
                  <c:v>10456500</c:v>
                </c:pt>
                <c:pt idx="155">
                  <c:v>16372600</c:v>
                </c:pt>
                <c:pt idx="156">
                  <c:v>15353300</c:v>
                </c:pt>
                <c:pt idx="157">
                  <c:v>17286900</c:v>
                </c:pt>
                <c:pt idx="158">
                  <c:v>14572800</c:v>
                </c:pt>
                <c:pt idx="159">
                  <c:v>15217400</c:v>
                </c:pt>
                <c:pt idx="160">
                  <c:v>14782300</c:v>
                </c:pt>
                <c:pt idx="161">
                  <c:v>20009500</c:v>
                </c:pt>
                <c:pt idx="162">
                  <c:v>11463100</c:v>
                </c:pt>
                <c:pt idx="163">
                  <c:v>10539300</c:v>
                </c:pt>
                <c:pt idx="164">
                  <c:v>16921500</c:v>
                </c:pt>
                <c:pt idx="165">
                  <c:v>19283300</c:v>
                </c:pt>
                <c:pt idx="166">
                  <c:v>28804500</c:v>
                </c:pt>
                <c:pt idx="167">
                  <c:v>25141200</c:v>
                </c:pt>
                <c:pt idx="168">
                  <c:v>23772100</c:v>
                </c:pt>
                <c:pt idx="169">
                  <c:v>15845900</c:v>
                </c:pt>
                <c:pt idx="170">
                  <c:v>18068200</c:v>
                </c:pt>
                <c:pt idx="171">
                  <c:v>14666600</c:v>
                </c:pt>
                <c:pt idx="172">
                  <c:v>23069500</c:v>
                </c:pt>
                <c:pt idx="173">
                  <c:v>19838300</c:v>
                </c:pt>
                <c:pt idx="174">
                  <c:v>32387500</c:v>
                </c:pt>
                <c:pt idx="175">
                  <c:v>12472900</c:v>
                </c:pt>
                <c:pt idx="176">
                  <c:v>9978100</c:v>
                </c:pt>
                <c:pt idx="177">
                  <c:v>10278200</c:v>
                </c:pt>
                <c:pt idx="178">
                  <c:v>14622500</c:v>
                </c:pt>
                <c:pt idx="179">
                  <c:v>13642800</c:v>
                </c:pt>
                <c:pt idx="180">
                  <c:v>32385600</c:v>
                </c:pt>
                <c:pt idx="181">
                  <c:v>29449200</c:v>
                </c:pt>
                <c:pt idx="182">
                  <c:v>14203800</c:v>
                </c:pt>
                <c:pt idx="183">
                  <c:v>17190500</c:v>
                </c:pt>
                <c:pt idx="184">
                  <c:v>15133900</c:v>
                </c:pt>
                <c:pt idx="185">
                  <c:v>8729200</c:v>
                </c:pt>
                <c:pt idx="186">
                  <c:v>7960200</c:v>
                </c:pt>
                <c:pt idx="187">
                  <c:v>5162400</c:v>
                </c:pt>
                <c:pt idx="188">
                  <c:v>4347600</c:v>
                </c:pt>
                <c:pt idx="189">
                  <c:v>7346300</c:v>
                </c:pt>
                <c:pt idx="190">
                  <c:v>9311900</c:v>
                </c:pt>
                <c:pt idx="191">
                  <c:v>8885400</c:v>
                </c:pt>
                <c:pt idx="192">
                  <c:v>12792700</c:v>
                </c:pt>
                <c:pt idx="193">
                  <c:v>19077800</c:v>
                </c:pt>
                <c:pt idx="194">
                  <c:v>37606900</c:v>
                </c:pt>
                <c:pt idx="195">
                  <c:v>19913500</c:v>
                </c:pt>
                <c:pt idx="196">
                  <c:v>12811600</c:v>
                </c:pt>
                <c:pt idx="197">
                  <c:v>6356300</c:v>
                </c:pt>
                <c:pt idx="198">
                  <c:v>7461600</c:v>
                </c:pt>
                <c:pt idx="199">
                  <c:v>8960000</c:v>
                </c:pt>
                <c:pt idx="200">
                  <c:v>11906900</c:v>
                </c:pt>
                <c:pt idx="201">
                  <c:v>16098800</c:v>
                </c:pt>
                <c:pt idx="202">
                  <c:v>8327700</c:v>
                </c:pt>
                <c:pt idx="203">
                  <c:v>4524100</c:v>
                </c:pt>
                <c:pt idx="204">
                  <c:v>6867400</c:v>
                </c:pt>
                <c:pt idx="205">
                  <c:v>6075600</c:v>
                </c:pt>
                <c:pt idx="206">
                  <c:v>6204000</c:v>
                </c:pt>
                <c:pt idx="207">
                  <c:v>13262500</c:v>
                </c:pt>
                <c:pt idx="208">
                  <c:v>13291700</c:v>
                </c:pt>
                <c:pt idx="209">
                  <c:v>23938800</c:v>
                </c:pt>
                <c:pt idx="210">
                  <c:v>118705800</c:v>
                </c:pt>
                <c:pt idx="211">
                  <c:v>29526500</c:v>
                </c:pt>
                <c:pt idx="212">
                  <c:v>15974900</c:v>
                </c:pt>
                <c:pt idx="213">
                  <c:v>14058800</c:v>
                </c:pt>
                <c:pt idx="214">
                  <c:v>8091200</c:v>
                </c:pt>
                <c:pt idx="215">
                  <c:v>7955900</c:v>
                </c:pt>
                <c:pt idx="216">
                  <c:v>12986500</c:v>
                </c:pt>
                <c:pt idx="217">
                  <c:v>10143600</c:v>
                </c:pt>
                <c:pt idx="218">
                  <c:v>16529000</c:v>
                </c:pt>
                <c:pt idx="219">
                  <c:v>7209500</c:v>
                </c:pt>
                <c:pt idx="220">
                  <c:v>9198300</c:v>
                </c:pt>
                <c:pt idx="221">
                  <c:v>18299700</c:v>
                </c:pt>
                <c:pt idx="222">
                  <c:v>7412700</c:v>
                </c:pt>
                <c:pt idx="223">
                  <c:v>6642800</c:v>
                </c:pt>
                <c:pt idx="224">
                  <c:v>5508400</c:v>
                </c:pt>
                <c:pt idx="225">
                  <c:v>3688900</c:v>
                </c:pt>
                <c:pt idx="226">
                  <c:v>8260000</c:v>
                </c:pt>
                <c:pt idx="227">
                  <c:v>10433200</c:v>
                </c:pt>
                <c:pt idx="228">
                  <c:v>12775000</c:v>
                </c:pt>
                <c:pt idx="229">
                  <c:v>16657000</c:v>
                </c:pt>
                <c:pt idx="230">
                  <c:v>12455000</c:v>
                </c:pt>
                <c:pt idx="231">
                  <c:v>7807700</c:v>
                </c:pt>
                <c:pt idx="232">
                  <c:v>14371300</c:v>
                </c:pt>
                <c:pt idx="233">
                  <c:v>10426600</c:v>
                </c:pt>
                <c:pt idx="234">
                  <c:v>11248600</c:v>
                </c:pt>
                <c:pt idx="235">
                  <c:v>10304900</c:v>
                </c:pt>
                <c:pt idx="236">
                  <c:v>10919500</c:v>
                </c:pt>
                <c:pt idx="237">
                  <c:v>9370300</c:v>
                </c:pt>
                <c:pt idx="238">
                  <c:v>9889900</c:v>
                </c:pt>
                <c:pt idx="239">
                  <c:v>8094500</c:v>
                </c:pt>
                <c:pt idx="240">
                  <c:v>10341600</c:v>
                </c:pt>
                <c:pt idx="241">
                  <c:v>9322900</c:v>
                </c:pt>
                <c:pt idx="242">
                  <c:v>10752700</c:v>
                </c:pt>
                <c:pt idx="243">
                  <c:v>12273800</c:v>
                </c:pt>
                <c:pt idx="244">
                  <c:v>13459400</c:v>
                </c:pt>
                <c:pt idx="245">
                  <c:v>14127400</c:v>
                </c:pt>
                <c:pt idx="246">
                  <c:v>13848200</c:v>
                </c:pt>
                <c:pt idx="247">
                  <c:v>15833300</c:v>
                </c:pt>
                <c:pt idx="248">
                  <c:v>11499700</c:v>
                </c:pt>
                <c:pt idx="249">
                  <c:v>8492500</c:v>
                </c:pt>
                <c:pt idx="250">
                  <c:v>14138800</c:v>
                </c:pt>
                <c:pt idx="251">
                  <c:v>23013100</c:v>
                </c:pt>
                <c:pt idx="252">
                  <c:v>24526800</c:v>
                </c:pt>
                <c:pt idx="253">
                  <c:v>19872900</c:v>
                </c:pt>
                <c:pt idx="254">
                  <c:v>12874600</c:v>
                </c:pt>
                <c:pt idx="255">
                  <c:v>30758900</c:v>
                </c:pt>
                <c:pt idx="256">
                  <c:v>23613300</c:v>
                </c:pt>
                <c:pt idx="257">
                  <c:v>19181600</c:v>
                </c:pt>
                <c:pt idx="258">
                  <c:v>9959800</c:v>
                </c:pt>
                <c:pt idx="259">
                  <c:v>15132700</c:v>
                </c:pt>
                <c:pt idx="260">
                  <c:v>21105900</c:v>
                </c:pt>
                <c:pt idx="261">
                  <c:v>13231300</c:v>
                </c:pt>
                <c:pt idx="262">
                  <c:v>15178500</c:v>
                </c:pt>
                <c:pt idx="263">
                  <c:v>21090500</c:v>
                </c:pt>
                <c:pt idx="264">
                  <c:v>15110100</c:v>
                </c:pt>
                <c:pt idx="265">
                  <c:v>13738800</c:v>
                </c:pt>
                <c:pt idx="266">
                  <c:v>15899200</c:v>
                </c:pt>
                <c:pt idx="267">
                  <c:v>13331200</c:v>
                </c:pt>
                <c:pt idx="268">
                  <c:v>19370300</c:v>
                </c:pt>
                <c:pt idx="269">
                  <c:v>19463500</c:v>
                </c:pt>
                <c:pt idx="270">
                  <c:v>17831200</c:v>
                </c:pt>
                <c:pt idx="271">
                  <c:v>17049600</c:v>
                </c:pt>
                <c:pt idx="272">
                  <c:v>11524400</c:v>
                </c:pt>
                <c:pt idx="273">
                  <c:v>14994200</c:v>
                </c:pt>
                <c:pt idx="274">
                  <c:v>54720200</c:v>
                </c:pt>
                <c:pt idx="275">
                  <c:v>13245800</c:v>
                </c:pt>
                <c:pt idx="276">
                  <c:v>32050800</c:v>
                </c:pt>
                <c:pt idx="277">
                  <c:v>17749400</c:v>
                </c:pt>
                <c:pt idx="278">
                  <c:v>18852800</c:v>
                </c:pt>
                <c:pt idx="279">
                  <c:v>12966900</c:v>
                </c:pt>
                <c:pt idx="280">
                  <c:v>30237600</c:v>
                </c:pt>
                <c:pt idx="281">
                  <c:v>17812800</c:v>
                </c:pt>
                <c:pt idx="282">
                  <c:v>14879900</c:v>
                </c:pt>
                <c:pt idx="283">
                  <c:v>25547900</c:v>
                </c:pt>
                <c:pt idx="284">
                  <c:v>23404000</c:v>
                </c:pt>
                <c:pt idx="285">
                  <c:v>15167700</c:v>
                </c:pt>
                <c:pt idx="286">
                  <c:v>19263600</c:v>
                </c:pt>
                <c:pt idx="287">
                  <c:v>13503100</c:v>
                </c:pt>
                <c:pt idx="288">
                  <c:v>17333200</c:v>
                </c:pt>
                <c:pt idx="289">
                  <c:v>28336300</c:v>
                </c:pt>
                <c:pt idx="290">
                  <c:v>10264900</c:v>
                </c:pt>
                <c:pt idx="291">
                  <c:v>14770200</c:v>
                </c:pt>
                <c:pt idx="292">
                  <c:v>17187400</c:v>
                </c:pt>
                <c:pt idx="293">
                  <c:v>33953400</c:v>
                </c:pt>
                <c:pt idx="294">
                  <c:v>19974100</c:v>
                </c:pt>
                <c:pt idx="295">
                  <c:v>22949600</c:v>
                </c:pt>
                <c:pt idx="296">
                  <c:v>18923300</c:v>
                </c:pt>
                <c:pt idx="297">
                  <c:v>11116100</c:v>
                </c:pt>
                <c:pt idx="298">
                  <c:v>9000900</c:v>
                </c:pt>
                <c:pt idx="299">
                  <c:v>18675100</c:v>
                </c:pt>
                <c:pt idx="300">
                  <c:v>27608700</c:v>
                </c:pt>
                <c:pt idx="301">
                  <c:v>18403100</c:v>
                </c:pt>
                <c:pt idx="302">
                  <c:v>20161800</c:v>
                </c:pt>
                <c:pt idx="303">
                  <c:v>13909900</c:v>
                </c:pt>
                <c:pt idx="304">
                  <c:v>19616500</c:v>
                </c:pt>
                <c:pt idx="305">
                  <c:v>16992500</c:v>
                </c:pt>
                <c:pt idx="306">
                  <c:v>22539900</c:v>
                </c:pt>
                <c:pt idx="307">
                  <c:v>18306000</c:v>
                </c:pt>
                <c:pt idx="308">
                  <c:v>20078400</c:v>
                </c:pt>
                <c:pt idx="309">
                  <c:v>15926400</c:v>
                </c:pt>
                <c:pt idx="310">
                  <c:v>13278800</c:v>
                </c:pt>
                <c:pt idx="311">
                  <c:v>11563700</c:v>
                </c:pt>
                <c:pt idx="312">
                  <c:v>21715200</c:v>
                </c:pt>
                <c:pt idx="313">
                  <c:v>19087800</c:v>
                </c:pt>
                <c:pt idx="314">
                  <c:v>14675700</c:v>
                </c:pt>
                <c:pt idx="315">
                  <c:v>24739700</c:v>
                </c:pt>
                <c:pt idx="316">
                  <c:v>18870500</c:v>
                </c:pt>
                <c:pt idx="317">
                  <c:v>11469300</c:v>
                </c:pt>
                <c:pt idx="318">
                  <c:v>9706800</c:v>
                </c:pt>
                <c:pt idx="319">
                  <c:v>13528000</c:v>
                </c:pt>
                <c:pt idx="320">
                  <c:v>15715300</c:v>
                </c:pt>
                <c:pt idx="321">
                  <c:v>14013600</c:v>
                </c:pt>
                <c:pt idx="322">
                  <c:v>14495200</c:v>
                </c:pt>
                <c:pt idx="323">
                  <c:v>16461200</c:v>
                </c:pt>
                <c:pt idx="324">
                  <c:v>27407300</c:v>
                </c:pt>
                <c:pt idx="325">
                  <c:v>13092800</c:v>
                </c:pt>
                <c:pt idx="326">
                  <c:v>10832400</c:v>
                </c:pt>
                <c:pt idx="327">
                  <c:v>8790400</c:v>
                </c:pt>
                <c:pt idx="328">
                  <c:v>4267300</c:v>
                </c:pt>
                <c:pt idx="329">
                  <c:v>9428300</c:v>
                </c:pt>
                <c:pt idx="330">
                  <c:v>15010100</c:v>
                </c:pt>
                <c:pt idx="331">
                  <c:v>12743100</c:v>
                </c:pt>
                <c:pt idx="332">
                  <c:v>13502100</c:v>
                </c:pt>
                <c:pt idx="333">
                  <c:v>14327700</c:v>
                </c:pt>
                <c:pt idx="334">
                  <c:v>10846500</c:v>
                </c:pt>
                <c:pt idx="335">
                  <c:v>8763700</c:v>
                </c:pt>
                <c:pt idx="336">
                  <c:v>15272800</c:v>
                </c:pt>
                <c:pt idx="337">
                  <c:v>37327100</c:v>
                </c:pt>
                <c:pt idx="338">
                  <c:v>10915900</c:v>
                </c:pt>
                <c:pt idx="339">
                  <c:v>10128900</c:v>
                </c:pt>
                <c:pt idx="340">
                  <c:v>9604100</c:v>
                </c:pt>
                <c:pt idx="341">
                  <c:v>10471900</c:v>
                </c:pt>
                <c:pt idx="342">
                  <c:v>11362600</c:v>
                </c:pt>
                <c:pt idx="343">
                  <c:v>15531200</c:v>
                </c:pt>
                <c:pt idx="344">
                  <c:v>9545800</c:v>
                </c:pt>
                <c:pt idx="345">
                  <c:v>5386700</c:v>
                </c:pt>
                <c:pt idx="346">
                  <c:v>6425900</c:v>
                </c:pt>
                <c:pt idx="347">
                  <c:v>9590900</c:v>
                </c:pt>
                <c:pt idx="348">
                  <c:v>7541700</c:v>
                </c:pt>
                <c:pt idx="349">
                  <c:v>11219600</c:v>
                </c:pt>
                <c:pt idx="350">
                  <c:v>8475400</c:v>
                </c:pt>
                <c:pt idx="351">
                  <c:v>12638500</c:v>
                </c:pt>
                <c:pt idx="352">
                  <c:v>8526600</c:v>
                </c:pt>
                <c:pt idx="353">
                  <c:v>6625900</c:v>
                </c:pt>
                <c:pt idx="354">
                  <c:v>9014400</c:v>
                </c:pt>
                <c:pt idx="355">
                  <c:v>10086500</c:v>
                </c:pt>
                <c:pt idx="356">
                  <c:v>8345000</c:v>
                </c:pt>
                <c:pt idx="357">
                  <c:v>7863200</c:v>
                </c:pt>
                <c:pt idx="358">
                  <c:v>7065500</c:v>
                </c:pt>
                <c:pt idx="359">
                  <c:v>9394400</c:v>
                </c:pt>
                <c:pt idx="360">
                  <c:v>12914100</c:v>
                </c:pt>
                <c:pt idx="361">
                  <c:v>8079100</c:v>
                </c:pt>
                <c:pt idx="362">
                  <c:v>8648200</c:v>
                </c:pt>
                <c:pt idx="363">
                  <c:v>8599700</c:v>
                </c:pt>
                <c:pt idx="364">
                  <c:v>16249500</c:v>
                </c:pt>
                <c:pt idx="365">
                  <c:v>8642400</c:v>
                </c:pt>
                <c:pt idx="366">
                  <c:v>11433300</c:v>
                </c:pt>
                <c:pt idx="367">
                  <c:v>5479000</c:v>
                </c:pt>
                <c:pt idx="368">
                  <c:v>8333400</c:v>
                </c:pt>
                <c:pt idx="369">
                  <c:v>5659500</c:v>
                </c:pt>
                <c:pt idx="370">
                  <c:v>8940500</c:v>
                </c:pt>
                <c:pt idx="371">
                  <c:v>7752700</c:v>
                </c:pt>
                <c:pt idx="372">
                  <c:v>7085500</c:v>
                </c:pt>
                <c:pt idx="373">
                  <c:v>7769600</c:v>
                </c:pt>
                <c:pt idx="374">
                  <c:v>7546900</c:v>
                </c:pt>
                <c:pt idx="375">
                  <c:v>7574000</c:v>
                </c:pt>
                <c:pt idx="376">
                  <c:v>10165700</c:v>
                </c:pt>
                <c:pt idx="377">
                  <c:v>12569300</c:v>
                </c:pt>
                <c:pt idx="378">
                  <c:v>10459300</c:v>
                </c:pt>
                <c:pt idx="379">
                  <c:v>20614300</c:v>
                </c:pt>
                <c:pt idx="380">
                  <c:v>20714100</c:v>
                </c:pt>
                <c:pt idx="381">
                  <c:v>21244700</c:v>
                </c:pt>
                <c:pt idx="382">
                  <c:v>16826200</c:v>
                </c:pt>
                <c:pt idx="383">
                  <c:v>20142000</c:v>
                </c:pt>
                <c:pt idx="384">
                  <c:v>15133500</c:v>
                </c:pt>
                <c:pt idx="385">
                  <c:v>25884800</c:v>
                </c:pt>
                <c:pt idx="386">
                  <c:v>20797800</c:v>
                </c:pt>
                <c:pt idx="387">
                  <c:v>12944700</c:v>
                </c:pt>
                <c:pt idx="388">
                  <c:v>23309900</c:v>
                </c:pt>
                <c:pt idx="389">
                  <c:v>19389000</c:v>
                </c:pt>
                <c:pt idx="390">
                  <c:v>16271300</c:v>
                </c:pt>
                <c:pt idx="391">
                  <c:v>9782300</c:v>
                </c:pt>
                <c:pt idx="392">
                  <c:v>13574900</c:v>
                </c:pt>
                <c:pt idx="393">
                  <c:v>12408200</c:v>
                </c:pt>
                <c:pt idx="394">
                  <c:v>7866100</c:v>
                </c:pt>
                <c:pt idx="395">
                  <c:v>6249500</c:v>
                </c:pt>
                <c:pt idx="396">
                  <c:v>7391100</c:v>
                </c:pt>
                <c:pt idx="397">
                  <c:v>11605900</c:v>
                </c:pt>
                <c:pt idx="398">
                  <c:v>7515800</c:v>
                </c:pt>
                <c:pt idx="399">
                  <c:v>18677600</c:v>
                </c:pt>
                <c:pt idx="400">
                  <c:v>19376100</c:v>
                </c:pt>
                <c:pt idx="401">
                  <c:v>9710800</c:v>
                </c:pt>
                <c:pt idx="402">
                  <c:v>13070400</c:v>
                </c:pt>
                <c:pt idx="403">
                  <c:v>10044500</c:v>
                </c:pt>
                <c:pt idx="404">
                  <c:v>7767300</c:v>
                </c:pt>
                <c:pt idx="405">
                  <c:v>10913500</c:v>
                </c:pt>
                <c:pt idx="406">
                  <c:v>15292400</c:v>
                </c:pt>
                <c:pt idx="407">
                  <c:v>17695000</c:v>
                </c:pt>
                <c:pt idx="408">
                  <c:v>14185200</c:v>
                </c:pt>
                <c:pt idx="409">
                  <c:v>15923200</c:v>
                </c:pt>
                <c:pt idx="410">
                  <c:v>11306000</c:v>
                </c:pt>
                <c:pt idx="411">
                  <c:v>12466000</c:v>
                </c:pt>
                <c:pt idx="412">
                  <c:v>13778200</c:v>
                </c:pt>
                <c:pt idx="413">
                  <c:v>9916000</c:v>
                </c:pt>
                <c:pt idx="414">
                  <c:v>17385600</c:v>
                </c:pt>
                <c:pt idx="415">
                  <c:v>10206600</c:v>
                </c:pt>
                <c:pt idx="416">
                  <c:v>9233300</c:v>
                </c:pt>
                <c:pt idx="417">
                  <c:v>9215000</c:v>
                </c:pt>
                <c:pt idx="418">
                  <c:v>12509400</c:v>
                </c:pt>
                <c:pt idx="419">
                  <c:v>13778200</c:v>
                </c:pt>
                <c:pt idx="420">
                  <c:v>10776600</c:v>
                </c:pt>
                <c:pt idx="421">
                  <c:v>11414600</c:v>
                </c:pt>
                <c:pt idx="422">
                  <c:v>10779700</c:v>
                </c:pt>
                <c:pt idx="423">
                  <c:v>7038100</c:v>
                </c:pt>
                <c:pt idx="424">
                  <c:v>9916700</c:v>
                </c:pt>
                <c:pt idx="425">
                  <c:v>5914200</c:v>
                </c:pt>
                <c:pt idx="426">
                  <c:v>8557800</c:v>
                </c:pt>
                <c:pt idx="427">
                  <c:v>9249900</c:v>
                </c:pt>
                <c:pt idx="428">
                  <c:v>9618000</c:v>
                </c:pt>
                <c:pt idx="429">
                  <c:v>9375200</c:v>
                </c:pt>
                <c:pt idx="430">
                  <c:v>9910900</c:v>
                </c:pt>
                <c:pt idx="431">
                  <c:v>9778200</c:v>
                </c:pt>
                <c:pt idx="432">
                  <c:v>10983000</c:v>
                </c:pt>
                <c:pt idx="433">
                  <c:v>9751700</c:v>
                </c:pt>
                <c:pt idx="434">
                  <c:v>6800600</c:v>
                </c:pt>
                <c:pt idx="435">
                  <c:v>8351400</c:v>
                </c:pt>
                <c:pt idx="436">
                  <c:v>14719300</c:v>
                </c:pt>
                <c:pt idx="437">
                  <c:v>9588900</c:v>
                </c:pt>
                <c:pt idx="438">
                  <c:v>7612600</c:v>
                </c:pt>
                <c:pt idx="439">
                  <c:v>10751800</c:v>
                </c:pt>
                <c:pt idx="440">
                  <c:v>9311600</c:v>
                </c:pt>
                <c:pt idx="441">
                  <c:v>18004300</c:v>
                </c:pt>
                <c:pt idx="442">
                  <c:v>13512700</c:v>
                </c:pt>
                <c:pt idx="443">
                  <c:v>22922700</c:v>
                </c:pt>
                <c:pt idx="444">
                  <c:v>9229900</c:v>
                </c:pt>
                <c:pt idx="445">
                  <c:v>13923400</c:v>
                </c:pt>
                <c:pt idx="446">
                  <c:v>11561800</c:v>
                </c:pt>
                <c:pt idx="447">
                  <c:v>7409000</c:v>
                </c:pt>
                <c:pt idx="448">
                  <c:v>6199700</c:v>
                </c:pt>
                <c:pt idx="449">
                  <c:v>5150400</c:v>
                </c:pt>
                <c:pt idx="450">
                  <c:v>4862600</c:v>
                </c:pt>
                <c:pt idx="451">
                  <c:v>3810700</c:v>
                </c:pt>
                <c:pt idx="452">
                  <c:v>6556200</c:v>
                </c:pt>
                <c:pt idx="453">
                  <c:v>2304300</c:v>
                </c:pt>
                <c:pt idx="454">
                  <c:v>4830800</c:v>
                </c:pt>
                <c:pt idx="455">
                  <c:v>4339900</c:v>
                </c:pt>
                <c:pt idx="456">
                  <c:v>3440300</c:v>
                </c:pt>
                <c:pt idx="457">
                  <c:v>2051600</c:v>
                </c:pt>
                <c:pt idx="458">
                  <c:v>3622600</c:v>
                </c:pt>
                <c:pt idx="459">
                  <c:v>12356700</c:v>
                </c:pt>
                <c:pt idx="460">
                  <c:v>9178400</c:v>
                </c:pt>
                <c:pt idx="461">
                  <c:v>6071000</c:v>
                </c:pt>
                <c:pt idx="462">
                  <c:v>3890600</c:v>
                </c:pt>
                <c:pt idx="463">
                  <c:v>9862100</c:v>
                </c:pt>
                <c:pt idx="464">
                  <c:v>4443500</c:v>
                </c:pt>
                <c:pt idx="465">
                  <c:v>5750900</c:v>
                </c:pt>
                <c:pt idx="466">
                  <c:v>6193400</c:v>
                </c:pt>
                <c:pt idx="467">
                  <c:v>6600900</c:v>
                </c:pt>
                <c:pt idx="468">
                  <c:v>6292000</c:v>
                </c:pt>
                <c:pt idx="469">
                  <c:v>4709600</c:v>
                </c:pt>
                <c:pt idx="470">
                  <c:v>5984600</c:v>
                </c:pt>
                <c:pt idx="471">
                  <c:v>5866400</c:v>
                </c:pt>
                <c:pt idx="472">
                  <c:v>8215700</c:v>
                </c:pt>
                <c:pt idx="473">
                  <c:v>5836200</c:v>
                </c:pt>
                <c:pt idx="474">
                  <c:v>5620900</c:v>
                </c:pt>
                <c:pt idx="475">
                  <c:v>9141100</c:v>
                </c:pt>
                <c:pt idx="476">
                  <c:v>7339500</c:v>
                </c:pt>
                <c:pt idx="477">
                  <c:v>11805800</c:v>
                </c:pt>
                <c:pt idx="478">
                  <c:v>8678600</c:v>
                </c:pt>
                <c:pt idx="479">
                  <c:v>6121500</c:v>
                </c:pt>
                <c:pt idx="480">
                  <c:v>7812600</c:v>
                </c:pt>
                <c:pt idx="481">
                  <c:v>6033100</c:v>
                </c:pt>
                <c:pt idx="482">
                  <c:v>4816400</c:v>
                </c:pt>
                <c:pt idx="483">
                  <c:v>7650200</c:v>
                </c:pt>
                <c:pt idx="484">
                  <c:v>6169200</c:v>
                </c:pt>
                <c:pt idx="485">
                  <c:v>5432100</c:v>
                </c:pt>
                <c:pt idx="486">
                  <c:v>3848800</c:v>
                </c:pt>
                <c:pt idx="487">
                  <c:v>6092100</c:v>
                </c:pt>
                <c:pt idx="488">
                  <c:v>7743000</c:v>
                </c:pt>
                <c:pt idx="489">
                  <c:v>12341100</c:v>
                </c:pt>
                <c:pt idx="490">
                  <c:v>17779900</c:v>
                </c:pt>
                <c:pt idx="491">
                  <c:v>9558400</c:v>
                </c:pt>
                <c:pt idx="492">
                  <c:v>11936900</c:v>
                </c:pt>
                <c:pt idx="493">
                  <c:v>9285500</c:v>
                </c:pt>
                <c:pt idx="494">
                  <c:v>8615100</c:v>
                </c:pt>
                <c:pt idx="495">
                  <c:v>8486700</c:v>
                </c:pt>
                <c:pt idx="496">
                  <c:v>8789300</c:v>
                </c:pt>
                <c:pt idx="497">
                  <c:v>3887200</c:v>
                </c:pt>
                <c:pt idx="498">
                  <c:v>6572800</c:v>
                </c:pt>
                <c:pt idx="499">
                  <c:v>7199600</c:v>
                </c:pt>
                <c:pt idx="500">
                  <c:v>4532000</c:v>
                </c:pt>
                <c:pt idx="501">
                  <c:v>5733800</c:v>
                </c:pt>
                <c:pt idx="502">
                  <c:v>10411900</c:v>
                </c:pt>
                <c:pt idx="503">
                  <c:v>11307600</c:v>
                </c:pt>
                <c:pt idx="504">
                  <c:v>16539000</c:v>
                </c:pt>
                <c:pt idx="505">
                  <c:v>13868500</c:v>
                </c:pt>
                <c:pt idx="506">
                  <c:v>10562700</c:v>
                </c:pt>
                <c:pt idx="507">
                  <c:v>7100000</c:v>
                </c:pt>
                <c:pt idx="508">
                  <c:v>5065600</c:v>
                </c:pt>
                <c:pt idx="509">
                  <c:v>7665900</c:v>
                </c:pt>
                <c:pt idx="510">
                  <c:v>4269500</c:v>
                </c:pt>
                <c:pt idx="511">
                  <c:v>7722500</c:v>
                </c:pt>
                <c:pt idx="512">
                  <c:v>7549400</c:v>
                </c:pt>
                <c:pt idx="513">
                  <c:v>9261000</c:v>
                </c:pt>
                <c:pt idx="514">
                  <c:v>7816800</c:v>
                </c:pt>
                <c:pt idx="515">
                  <c:v>5273100</c:v>
                </c:pt>
                <c:pt idx="516">
                  <c:v>8366500</c:v>
                </c:pt>
                <c:pt idx="517">
                  <c:v>11576900</c:v>
                </c:pt>
                <c:pt idx="518">
                  <c:v>9702000</c:v>
                </c:pt>
                <c:pt idx="519">
                  <c:v>10927900</c:v>
                </c:pt>
                <c:pt idx="520">
                  <c:v>9151500</c:v>
                </c:pt>
                <c:pt idx="521">
                  <c:v>7015300</c:v>
                </c:pt>
                <c:pt idx="522">
                  <c:v>4900300</c:v>
                </c:pt>
                <c:pt idx="523">
                  <c:v>21841100</c:v>
                </c:pt>
                <c:pt idx="524">
                  <c:v>6281100</c:v>
                </c:pt>
                <c:pt idx="525">
                  <c:v>7051700</c:v>
                </c:pt>
                <c:pt idx="526">
                  <c:v>10352700</c:v>
                </c:pt>
                <c:pt idx="527">
                  <c:v>6747300</c:v>
                </c:pt>
                <c:pt idx="528">
                  <c:v>5273400</c:v>
                </c:pt>
                <c:pt idx="529">
                  <c:v>5643300</c:v>
                </c:pt>
                <c:pt idx="530">
                  <c:v>5590600</c:v>
                </c:pt>
                <c:pt idx="531">
                  <c:v>6484400</c:v>
                </c:pt>
                <c:pt idx="532">
                  <c:v>4585000</c:v>
                </c:pt>
                <c:pt idx="533">
                  <c:v>7517300</c:v>
                </c:pt>
                <c:pt idx="534">
                  <c:v>6270100</c:v>
                </c:pt>
                <c:pt idx="535">
                  <c:v>5558000</c:v>
                </c:pt>
                <c:pt idx="536">
                  <c:v>5793200</c:v>
                </c:pt>
                <c:pt idx="537">
                  <c:v>6375000</c:v>
                </c:pt>
                <c:pt idx="538">
                  <c:v>5756200</c:v>
                </c:pt>
                <c:pt idx="539">
                  <c:v>7492200</c:v>
                </c:pt>
                <c:pt idx="540">
                  <c:v>8258200</c:v>
                </c:pt>
                <c:pt idx="541">
                  <c:v>4569000</c:v>
                </c:pt>
                <c:pt idx="542">
                  <c:v>4428500</c:v>
                </c:pt>
                <c:pt idx="543">
                  <c:v>4273000</c:v>
                </c:pt>
                <c:pt idx="544">
                  <c:v>7843700</c:v>
                </c:pt>
                <c:pt idx="545">
                  <c:v>5588900</c:v>
                </c:pt>
                <c:pt idx="546">
                  <c:v>5276900</c:v>
                </c:pt>
                <c:pt idx="547">
                  <c:v>5219100</c:v>
                </c:pt>
                <c:pt idx="548">
                  <c:v>6838200</c:v>
                </c:pt>
                <c:pt idx="549">
                  <c:v>5350300</c:v>
                </c:pt>
                <c:pt idx="550">
                  <c:v>7691800</c:v>
                </c:pt>
                <c:pt idx="551">
                  <c:v>11669500</c:v>
                </c:pt>
                <c:pt idx="552">
                  <c:v>7794500</c:v>
                </c:pt>
                <c:pt idx="553">
                  <c:v>8243300</c:v>
                </c:pt>
                <c:pt idx="554">
                  <c:v>8944600</c:v>
                </c:pt>
                <c:pt idx="555">
                  <c:v>9996700</c:v>
                </c:pt>
                <c:pt idx="556">
                  <c:v>14844400</c:v>
                </c:pt>
                <c:pt idx="557">
                  <c:v>10940900</c:v>
                </c:pt>
                <c:pt idx="558">
                  <c:v>10759600</c:v>
                </c:pt>
                <c:pt idx="559">
                  <c:v>18250700</c:v>
                </c:pt>
                <c:pt idx="560">
                  <c:v>6682900</c:v>
                </c:pt>
                <c:pt idx="561">
                  <c:v>8940800</c:v>
                </c:pt>
                <c:pt idx="562">
                  <c:v>15980100</c:v>
                </c:pt>
                <c:pt idx="563">
                  <c:v>11403500</c:v>
                </c:pt>
                <c:pt idx="564">
                  <c:v>7859100</c:v>
                </c:pt>
                <c:pt idx="565">
                  <c:v>9992300</c:v>
                </c:pt>
                <c:pt idx="566">
                  <c:v>8459600</c:v>
                </c:pt>
                <c:pt idx="567">
                  <c:v>16443500</c:v>
                </c:pt>
                <c:pt idx="568">
                  <c:v>42176100</c:v>
                </c:pt>
                <c:pt idx="569">
                  <c:v>14389200</c:v>
                </c:pt>
                <c:pt idx="570">
                  <c:v>7137500</c:v>
                </c:pt>
                <c:pt idx="571">
                  <c:v>11641700</c:v>
                </c:pt>
                <c:pt idx="572">
                  <c:v>10583500</c:v>
                </c:pt>
                <c:pt idx="573">
                  <c:v>14459300</c:v>
                </c:pt>
                <c:pt idx="574">
                  <c:v>16768700</c:v>
                </c:pt>
                <c:pt idx="575">
                  <c:v>12586700</c:v>
                </c:pt>
                <c:pt idx="576">
                  <c:v>10910900</c:v>
                </c:pt>
                <c:pt idx="577">
                  <c:v>7709600</c:v>
                </c:pt>
                <c:pt idx="578">
                  <c:v>7252400</c:v>
                </c:pt>
                <c:pt idx="579">
                  <c:v>10531700</c:v>
                </c:pt>
                <c:pt idx="580">
                  <c:v>8064200</c:v>
                </c:pt>
                <c:pt idx="581">
                  <c:v>9520300</c:v>
                </c:pt>
                <c:pt idx="582">
                  <c:v>8949300</c:v>
                </c:pt>
                <c:pt idx="583">
                  <c:v>8693400</c:v>
                </c:pt>
                <c:pt idx="584">
                  <c:v>8733100</c:v>
                </c:pt>
                <c:pt idx="585">
                  <c:v>5758800</c:v>
                </c:pt>
                <c:pt idx="586">
                  <c:v>22822100</c:v>
                </c:pt>
                <c:pt idx="587">
                  <c:v>17345600</c:v>
                </c:pt>
                <c:pt idx="588">
                  <c:v>10828100</c:v>
                </c:pt>
                <c:pt idx="589">
                  <c:v>6348700</c:v>
                </c:pt>
                <c:pt idx="590">
                  <c:v>6694600</c:v>
                </c:pt>
                <c:pt idx="591">
                  <c:v>6851000</c:v>
                </c:pt>
                <c:pt idx="592">
                  <c:v>6033900</c:v>
                </c:pt>
                <c:pt idx="593">
                  <c:v>5756500</c:v>
                </c:pt>
                <c:pt idx="594">
                  <c:v>6404300</c:v>
                </c:pt>
                <c:pt idx="595">
                  <c:v>11158200</c:v>
                </c:pt>
                <c:pt idx="596">
                  <c:v>7386000</c:v>
                </c:pt>
                <c:pt idx="597">
                  <c:v>7513200</c:v>
                </c:pt>
                <c:pt idx="598">
                  <c:v>8822800</c:v>
                </c:pt>
                <c:pt idx="599">
                  <c:v>8585300</c:v>
                </c:pt>
                <c:pt idx="600">
                  <c:v>14253800</c:v>
                </c:pt>
                <c:pt idx="601">
                  <c:v>11351200</c:v>
                </c:pt>
                <c:pt idx="602">
                  <c:v>8563800</c:v>
                </c:pt>
                <c:pt idx="603">
                  <c:v>11508000</c:v>
                </c:pt>
                <c:pt idx="604">
                  <c:v>9241000</c:v>
                </c:pt>
                <c:pt idx="605">
                  <c:v>9249300</c:v>
                </c:pt>
                <c:pt idx="606">
                  <c:v>8385600</c:v>
                </c:pt>
                <c:pt idx="607">
                  <c:v>7889700</c:v>
                </c:pt>
                <c:pt idx="608">
                  <c:v>6096100</c:v>
                </c:pt>
                <c:pt idx="609">
                  <c:v>7986000</c:v>
                </c:pt>
                <c:pt idx="610">
                  <c:v>10753400</c:v>
                </c:pt>
                <c:pt idx="611">
                  <c:v>4019700</c:v>
                </c:pt>
                <c:pt idx="612">
                  <c:v>9395500</c:v>
                </c:pt>
                <c:pt idx="613">
                  <c:v>5923300</c:v>
                </c:pt>
                <c:pt idx="614">
                  <c:v>10340700</c:v>
                </c:pt>
                <c:pt idx="615">
                  <c:v>12308400</c:v>
                </c:pt>
                <c:pt idx="616">
                  <c:v>4739100</c:v>
                </c:pt>
                <c:pt idx="617">
                  <c:v>8843200</c:v>
                </c:pt>
                <c:pt idx="618">
                  <c:v>4209700</c:v>
                </c:pt>
                <c:pt idx="619">
                  <c:v>4035300</c:v>
                </c:pt>
                <c:pt idx="620">
                  <c:v>8716700</c:v>
                </c:pt>
                <c:pt idx="621">
                  <c:v>6966200</c:v>
                </c:pt>
                <c:pt idx="622">
                  <c:v>11349100</c:v>
                </c:pt>
                <c:pt idx="623">
                  <c:v>7426500</c:v>
                </c:pt>
                <c:pt idx="624">
                  <c:v>8845000</c:v>
                </c:pt>
                <c:pt idx="625">
                  <c:v>10657300</c:v>
                </c:pt>
                <c:pt idx="626">
                  <c:v>10685000</c:v>
                </c:pt>
                <c:pt idx="627">
                  <c:v>8832400</c:v>
                </c:pt>
                <c:pt idx="628">
                  <c:v>19944700</c:v>
                </c:pt>
                <c:pt idx="629">
                  <c:v>16182300</c:v>
                </c:pt>
                <c:pt idx="630">
                  <c:v>31702900</c:v>
                </c:pt>
                <c:pt idx="631">
                  <c:v>17034100</c:v>
                </c:pt>
                <c:pt idx="632">
                  <c:v>13033300</c:v>
                </c:pt>
                <c:pt idx="633">
                  <c:v>11374300</c:v>
                </c:pt>
                <c:pt idx="634">
                  <c:v>17657700</c:v>
                </c:pt>
                <c:pt idx="635">
                  <c:v>13389200</c:v>
                </c:pt>
                <c:pt idx="636">
                  <c:v>11553000</c:v>
                </c:pt>
                <c:pt idx="637">
                  <c:v>13467900</c:v>
                </c:pt>
                <c:pt idx="638">
                  <c:v>8716600</c:v>
                </c:pt>
                <c:pt idx="639">
                  <c:v>5967200</c:v>
                </c:pt>
                <c:pt idx="640">
                  <c:v>12716500</c:v>
                </c:pt>
                <c:pt idx="641">
                  <c:v>8871400</c:v>
                </c:pt>
                <c:pt idx="642">
                  <c:v>12687000</c:v>
                </c:pt>
                <c:pt idx="643">
                  <c:v>14601600</c:v>
                </c:pt>
                <c:pt idx="644">
                  <c:v>7019600</c:v>
                </c:pt>
                <c:pt idx="645">
                  <c:v>6074600</c:v>
                </c:pt>
                <c:pt idx="646">
                  <c:v>10500900</c:v>
                </c:pt>
                <c:pt idx="647">
                  <c:v>12454500</c:v>
                </c:pt>
                <c:pt idx="648">
                  <c:v>15028500</c:v>
                </c:pt>
                <c:pt idx="649">
                  <c:v>22905000</c:v>
                </c:pt>
                <c:pt idx="650">
                  <c:v>9677300</c:v>
                </c:pt>
                <c:pt idx="651">
                  <c:v>9561000</c:v>
                </c:pt>
                <c:pt idx="652">
                  <c:v>6324200</c:v>
                </c:pt>
                <c:pt idx="653">
                  <c:v>13296100</c:v>
                </c:pt>
                <c:pt idx="654">
                  <c:v>8476900</c:v>
                </c:pt>
                <c:pt idx="655">
                  <c:v>7171000</c:v>
                </c:pt>
                <c:pt idx="656">
                  <c:v>11415900</c:v>
                </c:pt>
                <c:pt idx="657">
                  <c:v>8544100</c:v>
                </c:pt>
                <c:pt idx="658">
                  <c:v>8183300</c:v>
                </c:pt>
                <c:pt idx="659">
                  <c:v>11084100</c:v>
                </c:pt>
                <c:pt idx="660">
                  <c:v>9226500</c:v>
                </c:pt>
                <c:pt idx="661">
                  <c:v>7522600</c:v>
                </c:pt>
                <c:pt idx="662">
                  <c:v>6821800</c:v>
                </c:pt>
                <c:pt idx="663">
                  <c:v>6151800</c:v>
                </c:pt>
                <c:pt idx="664">
                  <c:v>6256900</c:v>
                </c:pt>
                <c:pt idx="665">
                  <c:v>4344500</c:v>
                </c:pt>
                <c:pt idx="666">
                  <c:v>2751500</c:v>
                </c:pt>
                <c:pt idx="667">
                  <c:v>5145700</c:v>
                </c:pt>
                <c:pt idx="668">
                  <c:v>4228200</c:v>
                </c:pt>
                <c:pt idx="669">
                  <c:v>6590200</c:v>
                </c:pt>
                <c:pt idx="670">
                  <c:v>6191500</c:v>
                </c:pt>
                <c:pt idx="671">
                  <c:v>7587200</c:v>
                </c:pt>
                <c:pt idx="672">
                  <c:v>5516600</c:v>
                </c:pt>
                <c:pt idx="673">
                  <c:v>5247500</c:v>
                </c:pt>
                <c:pt idx="674">
                  <c:v>7591100</c:v>
                </c:pt>
                <c:pt idx="675">
                  <c:v>6914100</c:v>
                </c:pt>
                <c:pt idx="676">
                  <c:v>4253200</c:v>
                </c:pt>
                <c:pt idx="677">
                  <c:v>5895300</c:v>
                </c:pt>
                <c:pt idx="678">
                  <c:v>6885700</c:v>
                </c:pt>
                <c:pt idx="679">
                  <c:v>5739100</c:v>
                </c:pt>
                <c:pt idx="680">
                  <c:v>7549400</c:v>
                </c:pt>
                <c:pt idx="681">
                  <c:v>3604800</c:v>
                </c:pt>
                <c:pt idx="682">
                  <c:v>6117900</c:v>
                </c:pt>
                <c:pt idx="683">
                  <c:v>8251300</c:v>
                </c:pt>
                <c:pt idx="684">
                  <c:v>6594300</c:v>
                </c:pt>
                <c:pt idx="685">
                  <c:v>6409700</c:v>
                </c:pt>
                <c:pt idx="686">
                  <c:v>5283800</c:v>
                </c:pt>
                <c:pt idx="687">
                  <c:v>5696300</c:v>
                </c:pt>
                <c:pt idx="688">
                  <c:v>7290500</c:v>
                </c:pt>
                <c:pt idx="689">
                  <c:v>10476100</c:v>
                </c:pt>
                <c:pt idx="690">
                  <c:v>8984900</c:v>
                </c:pt>
                <c:pt idx="691">
                  <c:v>5823300</c:v>
                </c:pt>
                <c:pt idx="692">
                  <c:v>7921000</c:v>
                </c:pt>
                <c:pt idx="693">
                  <c:v>9891800</c:v>
                </c:pt>
                <c:pt idx="694">
                  <c:v>11273100</c:v>
                </c:pt>
                <c:pt idx="695">
                  <c:v>13410000</c:v>
                </c:pt>
                <c:pt idx="696">
                  <c:v>21182400</c:v>
                </c:pt>
                <c:pt idx="697">
                  <c:v>17927300</c:v>
                </c:pt>
                <c:pt idx="698">
                  <c:v>13572600</c:v>
                </c:pt>
                <c:pt idx="699">
                  <c:v>6106100</c:v>
                </c:pt>
                <c:pt idx="700">
                  <c:v>7538600</c:v>
                </c:pt>
                <c:pt idx="701">
                  <c:v>10479200</c:v>
                </c:pt>
                <c:pt idx="702">
                  <c:v>6707600</c:v>
                </c:pt>
                <c:pt idx="703">
                  <c:v>12408800</c:v>
                </c:pt>
                <c:pt idx="704">
                  <c:v>8963600</c:v>
                </c:pt>
                <c:pt idx="705">
                  <c:v>2864800</c:v>
                </c:pt>
                <c:pt idx="706">
                  <c:v>3308700</c:v>
                </c:pt>
                <c:pt idx="707">
                  <c:v>4338000</c:v>
                </c:pt>
                <c:pt idx="708">
                  <c:v>3866200</c:v>
                </c:pt>
                <c:pt idx="709">
                  <c:v>7018100</c:v>
                </c:pt>
                <c:pt idx="710">
                  <c:v>7763900</c:v>
                </c:pt>
                <c:pt idx="711">
                  <c:v>6181000</c:v>
                </c:pt>
                <c:pt idx="712">
                  <c:v>5257800</c:v>
                </c:pt>
                <c:pt idx="713">
                  <c:v>4898200</c:v>
                </c:pt>
                <c:pt idx="714">
                  <c:v>8262300</c:v>
                </c:pt>
                <c:pt idx="715">
                  <c:v>14029200</c:v>
                </c:pt>
                <c:pt idx="716">
                  <c:v>9025600</c:v>
                </c:pt>
                <c:pt idx="717">
                  <c:v>5521000</c:v>
                </c:pt>
                <c:pt idx="718">
                  <c:v>8516800</c:v>
                </c:pt>
                <c:pt idx="719">
                  <c:v>4581100</c:v>
                </c:pt>
                <c:pt idx="720">
                  <c:v>3340000</c:v>
                </c:pt>
                <c:pt idx="721">
                  <c:v>6891300</c:v>
                </c:pt>
                <c:pt idx="722">
                  <c:v>5016100</c:v>
                </c:pt>
                <c:pt idx="723">
                  <c:v>5588600</c:v>
                </c:pt>
                <c:pt idx="724">
                  <c:v>4766000</c:v>
                </c:pt>
                <c:pt idx="725">
                  <c:v>5541400</c:v>
                </c:pt>
                <c:pt idx="726">
                  <c:v>6039100</c:v>
                </c:pt>
                <c:pt idx="727">
                  <c:v>6783900</c:v>
                </c:pt>
                <c:pt idx="728">
                  <c:v>3757400</c:v>
                </c:pt>
                <c:pt idx="729">
                  <c:v>2743400</c:v>
                </c:pt>
                <c:pt idx="730">
                  <c:v>5435700</c:v>
                </c:pt>
                <c:pt idx="731">
                  <c:v>4702200</c:v>
                </c:pt>
                <c:pt idx="732">
                  <c:v>5052400</c:v>
                </c:pt>
                <c:pt idx="733">
                  <c:v>4249400</c:v>
                </c:pt>
                <c:pt idx="734">
                  <c:v>5859600</c:v>
                </c:pt>
                <c:pt idx="735">
                  <c:v>10004100</c:v>
                </c:pt>
                <c:pt idx="736">
                  <c:v>6902000</c:v>
                </c:pt>
                <c:pt idx="737">
                  <c:v>4579800</c:v>
                </c:pt>
                <c:pt idx="738">
                  <c:v>5099500</c:v>
                </c:pt>
                <c:pt idx="739">
                  <c:v>7329500</c:v>
                </c:pt>
                <c:pt idx="740">
                  <c:v>3314000</c:v>
                </c:pt>
                <c:pt idx="741">
                  <c:v>2875500</c:v>
                </c:pt>
                <c:pt idx="742">
                  <c:v>3979000</c:v>
                </c:pt>
                <c:pt idx="743">
                  <c:v>8674200</c:v>
                </c:pt>
                <c:pt idx="744">
                  <c:v>9262500</c:v>
                </c:pt>
                <c:pt idx="745">
                  <c:v>5943300</c:v>
                </c:pt>
                <c:pt idx="746">
                  <c:v>4663500</c:v>
                </c:pt>
                <c:pt idx="747">
                  <c:v>5559700</c:v>
                </c:pt>
                <c:pt idx="748">
                  <c:v>5591700</c:v>
                </c:pt>
                <c:pt idx="749">
                  <c:v>6991300</c:v>
                </c:pt>
                <c:pt idx="750">
                  <c:v>4727100</c:v>
                </c:pt>
                <c:pt idx="751">
                  <c:v>5602500</c:v>
                </c:pt>
                <c:pt idx="752">
                  <c:v>8505800</c:v>
                </c:pt>
                <c:pt idx="753">
                  <c:v>5910200</c:v>
                </c:pt>
                <c:pt idx="754">
                  <c:v>4830900</c:v>
                </c:pt>
                <c:pt idx="755">
                  <c:v>6115500</c:v>
                </c:pt>
                <c:pt idx="756">
                  <c:v>7210500</c:v>
                </c:pt>
                <c:pt idx="757">
                  <c:v>7474100</c:v>
                </c:pt>
                <c:pt idx="758">
                  <c:v>13208800</c:v>
                </c:pt>
                <c:pt idx="759">
                  <c:v>26816400</c:v>
                </c:pt>
                <c:pt idx="760">
                  <c:v>15897100</c:v>
                </c:pt>
                <c:pt idx="761">
                  <c:v>11060900</c:v>
                </c:pt>
                <c:pt idx="762">
                  <c:v>8642700</c:v>
                </c:pt>
                <c:pt idx="763">
                  <c:v>5476600</c:v>
                </c:pt>
                <c:pt idx="764">
                  <c:v>5069500</c:v>
                </c:pt>
                <c:pt idx="765">
                  <c:v>7318800</c:v>
                </c:pt>
                <c:pt idx="766">
                  <c:v>6775000</c:v>
                </c:pt>
                <c:pt idx="767">
                  <c:v>4529900</c:v>
                </c:pt>
                <c:pt idx="768">
                  <c:v>9559900</c:v>
                </c:pt>
                <c:pt idx="769">
                  <c:v>18047500</c:v>
                </c:pt>
                <c:pt idx="770">
                  <c:v>10292100</c:v>
                </c:pt>
                <c:pt idx="771">
                  <c:v>5946500</c:v>
                </c:pt>
                <c:pt idx="772">
                  <c:v>4992900</c:v>
                </c:pt>
                <c:pt idx="773">
                  <c:v>5319300</c:v>
                </c:pt>
                <c:pt idx="774">
                  <c:v>5630200</c:v>
                </c:pt>
                <c:pt idx="775">
                  <c:v>4888100</c:v>
                </c:pt>
                <c:pt idx="776">
                  <c:v>3171400</c:v>
                </c:pt>
                <c:pt idx="777">
                  <c:v>3944300</c:v>
                </c:pt>
                <c:pt idx="778">
                  <c:v>16969900</c:v>
                </c:pt>
                <c:pt idx="779">
                  <c:v>2914100</c:v>
                </c:pt>
                <c:pt idx="780">
                  <c:v>4102400</c:v>
                </c:pt>
                <c:pt idx="781">
                  <c:v>6680000</c:v>
                </c:pt>
                <c:pt idx="782">
                  <c:v>5196600</c:v>
                </c:pt>
                <c:pt idx="783">
                  <c:v>5796800</c:v>
                </c:pt>
                <c:pt idx="784">
                  <c:v>5920700</c:v>
                </c:pt>
                <c:pt idx="785">
                  <c:v>5049300</c:v>
                </c:pt>
                <c:pt idx="786">
                  <c:v>5746400</c:v>
                </c:pt>
                <c:pt idx="787">
                  <c:v>5315100</c:v>
                </c:pt>
                <c:pt idx="788">
                  <c:v>6511500</c:v>
                </c:pt>
                <c:pt idx="789">
                  <c:v>4613400</c:v>
                </c:pt>
                <c:pt idx="790">
                  <c:v>7928100</c:v>
                </c:pt>
                <c:pt idx="791">
                  <c:v>5356600</c:v>
                </c:pt>
                <c:pt idx="792">
                  <c:v>4662000</c:v>
                </c:pt>
                <c:pt idx="793">
                  <c:v>4708800</c:v>
                </c:pt>
                <c:pt idx="794">
                  <c:v>6097000</c:v>
                </c:pt>
                <c:pt idx="795">
                  <c:v>4037600</c:v>
                </c:pt>
                <c:pt idx="796">
                  <c:v>6993300</c:v>
                </c:pt>
                <c:pt idx="797">
                  <c:v>5445600</c:v>
                </c:pt>
                <c:pt idx="798">
                  <c:v>6166600</c:v>
                </c:pt>
                <c:pt idx="799">
                  <c:v>8748900</c:v>
                </c:pt>
                <c:pt idx="800">
                  <c:v>13343900</c:v>
                </c:pt>
                <c:pt idx="801">
                  <c:v>5407200</c:v>
                </c:pt>
                <c:pt idx="802">
                  <c:v>6831100</c:v>
                </c:pt>
                <c:pt idx="803">
                  <c:v>9033300</c:v>
                </c:pt>
                <c:pt idx="804">
                  <c:v>7998100</c:v>
                </c:pt>
                <c:pt idx="805">
                  <c:v>6330600</c:v>
                </c:pt>
                <c:pt idx="806">
                  <c:v>5533700</c:v>
                </c:pt>
                <c:pt idx="807">
                  <c:v>7013000</c:v>
                </c:pt>
                <c:pt idx="808">
                  <c:v>10134400</c:v>
                </c:pt>
                <c:pt idx="809">
                  <c:v>11896400</c:v>
                </c:pt>
                <c:pt idx="810">
                  <c:v>7462200</c:v>
                </c:pt>
                <c:pt idx="811">
                  <c:v>6604000</c:v>
                </c:pt>
                <c:pt idx="812">
                  <c:v>9072200</c:v>
                </c:pt>
                <c:pt idx="813">
                  <c:v>11839800</c:v>
                </c:pt>
                <c:pt idx="814">
                  <c:v>10006100</c:v>
                </c:pt>
                <c:pt idx="815">
                  <c:v>7717900</c:v>
                </c:pt>
                <c:pt idx="816">
                  <c:v>10331400</c:v>
                </c:pt>
                <c:pt idx="817">
                  <c:v>15268200</c:v>
                </c:pt>
                <c:pt idx="818">
                  <c:v>39518000</c:v>
                </c:pt>
                <c:pt idx="819">
                  <c:v>21117700</c:v>
                </c:pt>
                <c:pt idx="820">
                  <c:v>25345300</c:v>
                </c:pt>
                <c:pt idx="821">
                  <c:v>12658400</c:v>
                </c:pt>
                <c:pt idx="822">
                  <c:v>11539700</c:v>
                </c:pt>
                <c:pt idx="823">
                  <c:v>13295300</c:v>
                </c:pt>
                <c:pt idx="824">
                  <c:v>7102600</c:v>
                </c:pt>
                <c:pt idx="825">
                  <c:v>7631500</c:v>
                </c:pt>
                <c:pt idx="826">
                  <c:v>6775000</c:v>
                </c:pt>
                <c:pt idx="827">
                  <c:v>5208600</c:v>
                </c:pt>
                <c:pt idx="828">
                  <c:v>6464100</c:v>
                </c:pt>
                <c:pt idx="829">
                  <c:v>13415500</c:v>
                </c:pt>
                <c:pt idx="830">
                  <c:v>7111800</c:v>
                </c:pt>
                <c:pt idx="831">
                  <c:v>12763900</c:v>
                </c:pt>
                <c:pt idx="832">
                  <c:v>7992900</c:v>
                </c:pt>
                <c:pt idx="833">
                  <c:v>7520300</c:v>
                </c:pt>
                <c:pt idx="834">
                  <c:v>7913600</c:v>
                </c:pt>
                <c:pt idx="835">
                  <c:v>8509100</c:v>
                </c:pt>
                <c:pt idx="836">
                  <c:v>8482700</c:v>
                </c:pt>
                <c:pt idx="837">
                  <c:v>11712900</c:v>
                </c:pt>
                <c:pt idx="838">
                  <c:v>15032000</c:v>
                </c:pt>
                <c:pt idx="839">
                  <c:v>7622000</c:v>
                </c:pt>
                <c:pt idx="840">
                  <c:v>18245800</c:v>
                </c:pt>
                <c:pt idx="841">
                  <c:v>9532800</c:v>
                </c:pt>
                <c:pt idx="842">
                  <c:v>15595900</c:v>
                </c:pt>
                <c:pt idx="843">
                  <c:v>5843500</c:v>
                </c:pt>
                <c:pt idx="844">
                  <c:v>9468800</c:v>
                </c:pt>
                <c:pt idx="845">
                  <c:v>8376100</c:v>
                </c:pt>
                <c:pt idx="846">
                  <c:v>10270800</c:v>
                </c:pt>
                <c:pt idx="847">
                  <c:v>7357300</c:v>
                </c:pt>
                <c:pt idx="848">
                  <c:v>12480900</c:v>
                </c:pt>
                <c:pt idx="849">
                  <c:v>14055500</c:v>
                </c:pt>
                <c:pt idx="850">
                  <c:v>7581500</c:v>
                </c:pt>
                <c:pt idx="851">
                  <c:v>7995900</c:v>
                </c:pt>
                <c:pt idx="852">
                  <c:v>9041000</c:v>
                </c:pt>
                <c:pt idx="853">
                  <c:v>6573500</c:v>
                </c:pt>
                <c:pt idx="854">
                  <c:v>6331800</c:v>
                </c:pt>
                <c:pt idx="855">
                  <c:v>9303400</c:v>
                </c:pt>
                <c:pt idx="856">
                  <c:v>6913200</c:v>
                </c:pt>
                <c:pt idx="857">
                  <c:v>7113800</c:v>
                </c:pt>
                <c:pt idx="858">
                  <c:v>10336400</c:v>
                </c:pt>
                <c:pt idx="859">
                  <c:v>7375200</c:v>
                </c:pt>
                <c:pt idx="860">
                  <c:v>9384700</c:v>
                </c:pt>
                <c:pt idx="861">
                  <c:v>7723900</c:v>
                </c:pt>
                <c:pt idx="862">
                  <c:v>13214600</c:v>
                </c:pt>
                <c:pt idx="863">
                  <c:v>8921200</c:v>
                </c:pt>
                <c:pt idx="864">
                  <c:v>10854900</c:v>
                </c:pt>
                <c:pt idx="865">
                  <c:v>15960000</c:v>
                </c:pt>
                <c:pt idx="866">
                  <c:v>15541600</c:v>
                </c:pt>
                <c:pt idx="867">
                  <c:v>12613800</c:v>
                </c:pt>
                <c:pt idx="868">
                  <c:v>12112600</c:v>
                </c:pt>
                <c:pt idx="869">
                  <c:v>11268800</c:v>
                </c:pt>
                <c:pt idx="870">
                  <c:v>12316300</c:v>
                </c:pt>
                <c:pt idx="871">
                  <c:v>9372300</c:v>
                </c:pt>
                <c:pt idx="872">
                  <c:v>10433300</c:v>
                </c:pt>
                <c:pt idx="873">
                  <c:v>7691400</c:v>
                </c:pt>
                <c:pt idx="874">
                  <c:v>11666900</c:v>
                </c:pt>
                <c:pt idx="875">
                  <c:v>11606400</c:v>
                </c:pt>
                <c:pt idx="876">
                  <c:v>11181600</c:v>
                </c:pt>
                <c:pt idx="877">
                  <c:v>14700200</c:v>
                </c:pt>
                <c:pt idx="878">
                  <c:v>11751900</c:v>
                </c:pt>
                <c:pt idx="879">
                  <c:v>6908400</c:v>
                </c:pt>
                <c:pt idx="880">
                  <c:v>16901400</c:v>
                </c:pt>
                <c:pt idx="881">
                  <c:v>19107300</c:v>
                </c:pt>
                <c:pt idx="882">
                  <c:v>20768400</c:v>
                </c:pt>
                <c:pt idx="883">
                  <c:v>17173000</c:v>
                </c:pt>
                <c:pt idx="884">
                  <c:v>26028600</c:v>
                </c:pt>
                <c:pt idx="885">
                  <c:v>40415000</c:v>
                </c:pt>
                <c:pt idx="886">
                  <c:v>16959200</c:v>
                </c:pt>
                <c:pt idx="887">
                  <c:v>11708400</c:v>
                </c:pt>
                <c:pt idx="888">
                  <c:v>9204200</c:v>
                </c:pt>
                <c:pt idx="889">
                  <c:v>6830800</c:v>
                </c:pt>
                <c:pt idx="890">
                  <c:v>5559700</c:v>
                </c:pt>
                <c:pt idx="891">
                  <c:v>7522300</c:v>
                </c:pt>
                <c:pt idx="892">
                  <c:v>8446400</c:v>
                </c:pt>
                <c:pt idx="893">
                  <c:v>8384400</c:v>
                </c:pt>
                <c:pt idx="894">
                  <c:v>6290700</c:v>
                </c:pt>
                <c:pt idx="895">
                  <c:v>7848700</c:v>
                </c:pt>
                <c:pt idx="896">
                  <c:v>9638200</c:v>
                </c:pt>
                <c:pt idx="897">
                  <c:v>11983600</c:v>
                </c:pt>
                <c:pt idx="898">
                  <c:v>6230000</c:v>
                </c:pt>
                <c:pt idx="899">
                  <c:v>14192500</c:v>
                </c:pt>
                <c:pt idx="900">
                  <c:v>8451200</c:v>
                </c:pt>
                <c:pt idx="901">
                  <c:v>13141400</c:v>
                </c:pt>
                <c:pt idx="902">
                  <c:v>9583200</c:v>
                </c:pt>
                <c:pt idx="903">
                  <c:v>15611100</c:v>
                </c:pt>
                <c:pt idx="904">
                  <c:v>7402800</c:v>
                </c:pt>
                <c:pt idx="905">
                  <c:v>14925800</c:v>
                </c:pt>
                <c:pt idx="906">
                  <c:v>7397600</c:v>
                </c:pt>
                <c:pt idx="907">
                  <c:v>13321500</c:v>
                </c:pt>
                <c:pt idx="908">
                  <c:v>6763900</c:v>
                </c:pt>
                <c:pt idx="909">
                  <c:v>6733900</c:v>
                </c:pt>
                <c:pt idx="910">
                  <c:v>4737800</c:v>
                </c:pt>
                <c:pt idx="911">
                  <c:v>5435600</c:v>
                </c:pt>
                <c:pt idx="912">
                  <c:v>7383700</c:v>
                </c:pt>
                <c:pt idx="913">
                  <c:v>6765200</c:v>
                </c:pt>
                <c:pt idx="914">
                  <c:v>6263000</c:v>
                </c:pt>
                <c:pt idx="915">
                  <c:v>4293700</c:v>
                </c:pt>
                <c:pt idx="916">
                  <c:v>7969800</c:v>
                </c:pt>
                <c:pt idx="917">
                  <c:v>6270100</c:v>
                </c:pt>
                <c:pt idx="918">
                  <c:v>11821700</c:v>
                </c:pt>
                <c:pt idx="919">
                  <c:v>7433600</c:v>
                </c:pt>
                <c:pt idx="920">
                  <c:v>7887000</c:v>
                </c:pt>
                <c:pt idx="921">
                  <c:v>11326500</c:v>
                </c:pt>
                <c:pt idx="922">
                  <c:v>5695200</c:v>
                </c:pt>
                <c:pt idx="923">
                  <c:v>6542000</c:v>
                </c:pt>
                <c:pt idx="924">
                  <c:v>8592700</c:v>
                </c:pt>
                <c:pt idx="925">
                  <c:v>6225500</c:v>
                </c:pt>
                <c:pt idx="926">
                  <c:v>5610000</c:v>
                </c:pt>
                <c:pt idx="927">
                  <c:v>11739400</c:v>
                </c:pt>
                <c:pt idx="928">
                  <c:v>4725100</c:v>
                </c:pt>
                <c:pt idx="929">
                  <c:v>5737300</c:v>
                </c:pt>
                <c:pt idx="930">
                  <c:v>6590600</c:v>
                </c:pt>
                <c:pt idx="931">
                  <c:v>7774000</c:v>
                </c:pt>
                <c:pt idx="932">
                  <c:v>5482200</c:v>
                </c:pt>
                <c:pt idx="933">
                  <c:v>10416900</c:v>
                </c:pt>
                <c:pt idx="934">
                  <c:v>7845700</c:v>
                </c:pt>
                <c:pt idx="935">
                  <c:v>7983100</c:v>
                </c:pt>
                <c:pt idx="936">
                  <c:v>8848300</c:v>
                </c:pt>
                <c:pt idx="937">
                  <c:v>5411100</c:v>
                </c:pt>
                <c:pt idx="938">
                  <c:v>6245500</c:v>
                </c:pt>
                <c:pt idx="939">
                  <c:v>8245400</c:v>
                </c:pt>
                <c:pt idx="940">
                  <c:v>7045800</c:v>
                </c:pt>
                <c:pt idx="941">
                  <c:v>4319100</c:v>
                </c:pt>
                <c:pt idx="942">
                  <c:v>6126200</c:v>
                </c:pt>
                <c:pt idx="943">
                  <c:v>4594600</c:v>
                </c:pt>
                <c:pt idx="944">
                  <c:v>6338300</c:v>
                </c:pt>
                <c:pt idx="945">
                  <c:v>7344100</c:v>
                </c:pt>
                <c:pt idx="946">
                  <c:v>10388700</c:v>
                </c:pt>
                <c:pt idx="947">
                  <c:v>10853600</c:v>
                </c:pt>
                <c:pt idx="948">
                  <c:v>9032200</c:v>
                </c:pt>
                <c:pt idx="949">
                  <c:v>9517600</c:v>
                </c:pt>
                <c:pt idx="950">
                  <c:v>10778100</c:v>
                </c:pt>
                <c:pt idx="951">
                  <c:v>8915600</c:v>
                </c:pt>
                <c:pt idx="952">
                  <c:v>6420300</c:v>
                </c:pt>
                <c:pt idx="953">
                  <c:v>10440400</c:v>
                </c:pt>
                <c:pt idx="954">
                  <c:v>11041400</c:v>
                </c:pt>
                <c:pt idx="955">
                  <c:v>4468300</c:v>
                </c:pt>
                <c:pt idx="956">
                  <c:v>4971600</c:v>
                </c:pt>
                <c:pt idx="957">
                  <c:v>5872100</c:v>
                </c:pt>
                <c:pt idx="958">
                  <c:v>4943200</c:v>
                </c:pt>
                <c:pt idx="959">
                  <c:v>3685100</c:v>
                </c:pt>
                <c:pt idx="960">
                  <c:v>7911000</c:v>
                </c:pt>
                <c:pt idx="961">
                  <c:v>4228200</c:v>
                </c:pt>
                <c:pt idx="962">
                  <c:v>6483900</c:v>
                </c:pt>
                <c:pt idx="963">
                  <c:v>10765900</c:v>
                </c:pt>
                <c:pt idx="964">
                  <c:v>15368300</c:v>
                </c:pt>
                <c:pt idx="965">
                  <c:v>6568600</c:v>
                </c:pt>
                <c:pt idx="966">
                  <c:v>7721700</c:v>
                </c:pt>
                <c:pt idx="967">
                  <c:v>13184600</c:v>
                </c:pt>
                <c:pt idx="968">
                  <c:v>6741000</c:v>
                </c:pt>
                <c:pt idx="969">
                  <c:v>12510700</c:v>
                </c:pt>
                <c:pt idx="970">
                  <c:v>6872000</c:v>
                </c:pt>
                <c:pt idx="971">
                  <c:v>8087400</c:v>
                </c:pt>
                <c:pt idx="972">
                  <c:v>11673400</c:v>
                </c:pt>
                <c:pt idx="973">
                  <c:v>7650000</c:v>
                </c:pt>
                <c:pt idx="974">
                  <c:v>5674600</c:v>
                </c:pt>
                <c:pt idx="975">
                  <c:v>5586800</c:v>
                </c:pt>
                <c:pt idx="976">
                  <c:v>6994600</c:v>
                </c:pt>
                <c:pt idx="977">
                  <c:v>5516500</c:v>
                </c:pt>
                <c:pt idx="978">
                  <c:v>4043200</c:v>
                </c:pt>
                <c:pt idx="979">
                  <c:v>3161100</c:v>
                </c:pt>
                <c:pt idx="980">
                  <c:v>3328100</c:v>
                </c:pt>
                <c:pt idx="981">
                  <c:v>4605400</c:v>
                </c:pt>
                <c:pt idx="982">
                  <c:v>7430300</c:v>
                </c:pt>
                <c:pt idx="983">
                  <c:v>2744300</c:v>
                </c:pt>
                <c:pt idx="984">
                  <c:v>4115500</c:v>
                </c:pt>
                <c:pt idx="985">
                  <c:v>4740800</c:v>
                </c:pt>
                <c:pt idx="986">
                  <c:v>5136400</c:v>
                </c:pt>
                <c:pt idx="987">
                  <c:v>5670300</c:v>
                </c:pt>
                <c:pt idx="988">
                  <c:v>6249900</c:v>
                </c:pt>
                <c:pt idx="989">
                  <c:v>9282800</c:v>
                </c:pt>
                <c:pt idx="990">
                  <c:v>10196200</c:v>
                </c:pt>
                <c:pt idx="991">
                  <c:v>6187600</c:v>
                </c:pt>
                <c:pt idx="992">
                  <c:v>6280400</c:v>
                </c:pt>
                <c:pt idx="993">
                  <c:v>10899800</c:v>
                </c:pt>
                <c:pt idx="994">
                  <c:v>11328700</c:v>
                </c:pt>
                <c:pt idx="995">
                  <c:v>6370600</c:v>
                </c:pt>
                <c:pt idx="996">
                  <c:v>5474700</c:v>
                </c:pt>
                <c:pt idx="997">
                  <c:v>8585500</c:v>
                </c:pt>
                <c:pt idx="998">
                  <c:v>8698000</c:v>
                </c:pt>
                <c:pt idx="999">
                  <c:v>7597000</c:v>
                </c:pt>
                <c:pt idx="1000">
                  <c:v>7555000</c:v>
                </c:pt>
                <c:pt idx="1001">
                  <c:v>5701200</c:v>
                </c:pt>
                <c:pt idx="1002">
                  <c:v>9595200</c:v>
                </c:pt>
                <c:pt idx="1003">
                  <c:v>7393300</c:v>
                </c:pt>
                <c:pt idx="1004">
                  <c:v>8674600</c:v>
                </c:pt>
                <c:pt idx="1005">
                  <c:v>6284000</c:v>
                </c:pt>
                <c:pt idx="1006">
                  <c:v>7630100</c:v>
                </c:pt>
                <c:pt idx="1007">
                  <c:v>9800800</c:v>
                </c:pt>
                <c:pt idx="1008">
                  <c:v>13607400</c:v>
                </c:pt>
                <c:pt idx="1009">
                  <c:v>16478500</c:v>
                </c:pt>
                <c:pt idx="1010">
                  <c:v>11642700</c:v>
                </c:pt>
                <c:pt idx="1011">
                  <c:v>12839500</c:v>
                </c:pt>
                <c:pt idx="1012">
                  <c:v>23349600</c:v>
                </c:pt>
                <c:pt idx="1013">
                  <c:v>14041700</c:v>
                </c:pt>
                <c:pt idx="1014">
                  <c:v>10827300</c:v>
                </c:pt>
                <c:pt idx="1015">
                  <c:v>6090900</c:v>
                </c:pt>
                <c:pt idx="1016">
                  <c:v>8648900</c:v>
                </c:pt>
                <c:pt idx="1017">
                  <c:v>9703100</c:v>
                </c:pt>
                <c:pt idx="1018">
                  <c:v>6245800</c:v>
                </c:pt>
                <c:pt idx="1019">
                  <c:v>6037800</c:v>
                </c:pt>
                <c:pt idx="1020">
                  <c:v>8791800</c:v>
                </c:pt>
                <c:pt idx="1021">
                  <c:v>12443100</c:v>
                </c:pt>
                <c:pt idx="1022">
                  <c:v>10331500</c:v>
                </c:pt>
                <c:pt idx="1023">
                  <c:v>18057100</c:v>
                </c:pt>
                <c:pt idx="1024">
                  <c:v>17899000</c:v>
                </c:pt>
                <c:pt idx="1025">
                  <c:v>10736000</c:v>
                </c:pt>
                <c:pt idx="1026">
                  <c:v>18634300</c:v>
                </c:pt>
                <c:pt idx="1027">
                  <c:v>15219300</c:v>
                </c:pt>
                <c:pt idx="1028">
                  <c:v>42686600</c:v>
                </c:pt>
                <c:pt idx="1029">
                  <c:v>21950100</c:v>
                </c:pt>
                <c:pt idx="1030">
                  <c:v>16757300</c:v>
                </c:pt>
                <c:pt idx="1031">
                  <c:v>15227800</c:v>
                </c:pt>
                <c:pt idx="1032">
                  <c:v>3607400</c:v>
                </c:pt>
                <c:pt idx="1033">
                  <c:v>5513600</c:v>
                </c:pt>
                <c:pt idx="1034">
                  <c:v>3936900</c:v>
                </c:pt>
                <c:pt idx="1035">
                  <c:v>4769300</c:v>
                </c:pt>
                <c:pt idx="1036">
                  <c:v>7158700</c:v>
                </c:pt>
                <c:pt idx="1037">
                  <c:v>5248800</c:v>
                </c:pt>
                <c:pt idx="1038">
                  <c:v>4480300</c:v>
                </c:pt>
                <c:pt idx="1039">
                  <c:v>7419500</c:v>
                </c:pt>
                <c:pt idx="1040">
                  <c:v>6267500</c:v>
                </c:pt>
                <c:pt idx="1041">
                  <c:v>5544000</c:v>
                </c:pt>
                <c:pt idx="1042">
                  <c:v>5710800</c:v>
                </c:pt>
                <c:pt idx="1043">
                  <c:v>3818500</c:v>
                </c:pt>
                <c:pt idx="1044">
                  <c:v>5528700</c:v>
                </c:pt>
                <c:pt idx="1045">
                  <c:v>6669000</c:v>
                </c:pt>
                <c:pt idx="1046">
                  <c:v>9260400</c:v>
                </c:pt>
                <c:pt idx="1047">
                  <c:v>2868500</c:v>
                </c:pt>
                <c:pt idx="1048">
                  <c:v>5370900</c:v>
                </c:pt>
                <c:pt idx="1049">
                  <c:v>10568900</c:v>
                </c:pt>
                <c:pt idx="1050">
                  <c:v>7513200</c:v>
                </c:pt>
                <c:pt idx="1051">
                  <c:v>2987500</c:v>
                </c:pt>
                <c:pt idx="1052">
                  <c:v>4842800</c:v>
                </c:pt>
                <c:pt idx="1053">
                  <c:v>7446900</c:v>
                </c:pt>
                <c:pt idx="1054">
                  <c:v>5828100</c:v>
                </c:pt>
                <c:pt idx="1055">
                  <c:v>5140100</c:v>
                </c:pt>
                <c:pt idx="1056">
                  <c:v>9722500</c:v>
                </c:pt>
                <c:pt idx="1057">
                  <c:v>5790000</c:v>
                </c:pt>
                <c:pt idx="1058">
                  <c:v>8486500</c:v>
                </c:pt>
                <c:pt idx="1059">
                  <c:v>7339100</c:v>
                </c:pt>
                <c:pt idx="1060">
                  <c:v>6613000</c:v>
                </c:pt>
                <c:pt idx="1061">
                  <c:v>8471600</c:v>
                </c:pt>
                <c:pt idx="1062">
                  <c:v>7222000</c:v>
                </c:pt>
                <c:pt idx="1063">
                  <c:v>9660300</c:v>
                </c:pt>
                <c:pt idx="1064">
                  <c:v>9772700</c:v>
                </c:pt>
                <c:pt idx="1065">
                  <c:v>13040200</c:v>
                </c:pt>
                <c:pt idx="1066">
                  <c:v>15146700</c:v>
                </c:pt>
                <c:pt idx="1067">
                  <c:v>9935200</c:v>
                </c:pt>
                <c:pt idx="1068">
                  <c:v>15563600</c:v>
                </c:pt>
                <c:pt idx="1069">
                  <c:v>13431500</c:v>
                </c:pt>
                <c:pt idx="1070">
                  <c:v>5046400</c:v>
                </c:pt>
                <c:pt idx="1071">
                  <c:v>7496500</c:v>
                </c:pt>
                <c:pt idx="1072">
                  <c:v>4846900</c:v>
                </c:pt>
                <c:pt idx="1073">
                  <c:v>6778800</c:v>
                </c:pt>
                <c:pt idx="1074">
                  <c:v>8601800</c:v>
                </c:pt>
                <c:pt idx="1075">
                  <c:v>12463200</c:v>
                </c:pt>
                <c:pt idx="1076">
                  <c:v>7908800</c:v>
                </c:pt>
                <c:pt idx="1077">
                  <c:v>15835100</c:v>
                </c:pt>
                <c:pt idx="1078">
                  <c:v>9675500</c:v>
                </c:pt>
                <c:pt idx="1079">
                  <c:v>8860200</c:v>
                </c:pt>
                <c:pt idx="1080">
                  <c:v>10265200</c:v>
                </c:pt>
                <c:pt idx="1081">
                  <c:v>9066900</c:v>
                </c:pt>
                <c:pt idx="1082">
                  <c:v>10376700</c:v>
                </c:pt>
                <c:pt idx="1083">
                  <c:v>5126600</c:v>
                </c:pt>
                <c:pt idx="1084">
                  <c:v>5168800</c:v>
                </c:pt>
                <c:pt idx="1085">
                  <c:v>8163800</c:v>
                </c:pt>
                <c:pt idx="1086">
                  <c:v>6561500</c:v>
                </c:pt>
                <c:pt idx="1087">
                  <c:v>12097800</c:v>
                </c:pt>
                <c:pt idx="1088">
                  <c:v>12715900</c:v>
                </c:pt>
                <c:pt idx="1089">
                  <c:v>14786000</c:v>
                </c:pt>
                <c:pt idx="1090">
                  <c:v>13242000</c:v>
                </c:pt>
                <c:pt idx="1091">
                  <c:v>5810400</c:v>
                </c:pt>
                <c:pt idx="1092">
                  <c:v>16537200</c:v>
                </c:pt>
                <c:pt idx="1093">
                  <c:v>11567800</c:v>
                </c:pt>
                <c:pt idx="1094">
                  <c:v>9535700</c:v>
                </c:pt>
                <c:pt idx="1095">
                  <c:v>8787000</c:v>
                </c:pt>
                <c:pt idx="1096">
                  <c:v>5958200</c:v>
                </c:pt>
                <c:pt idx="1097">
                  <c:v>3191500</c:v>
                </c:pt>
                <c:pt idx="1098">
                  <c:v>11026400</c:v>
                </c:pt>
                <c:pt idx="1099">
                  <c:v>3917300</c:v>
                </c:pt>
                <c:pt idx="1100">
                  <c:v>9036000</c:v>
                </c:pt>
                <c:pt idx="1101">
                  <c:v>9397700</c:v>
                </c:pt>
                <c:pt idx="1102">
                  <c:v>11631300</c:v>
                </c:pt>
                <c:pt idx="1103">
                  <c:v>14970000</c:v>
                </c:pt>
                <c:pt idx="1104">
                  <c:v>14402900</c:v>
                </c:pt>
                <c:pt idx="1105">
                  <c:v>9116900</c:v>
                </c:pt>
                <c:pt idx="1106">
                  <c:v>19046500</c:v>
                </c:pt>
                <c:pt idx="1107">
                  <c:v>9904800</c:v>
                </c:pt>
                <c:pt idx="1108">
                  <c:v>7451600</c:v>
                </c:pt>
                <c:pt idx="1109">
                  <c:v>6019100</c:v>
                </c:pt>
                <c:pt idx="1110">
                  <c:v>9392800</c:v>
                </c:pt>
                <c:pt idx="1111">
                  <c:v>10672000</c:v>
                </c:pt>
                <c:pt idx="1112">
                  <c:v>7184600</c:v>
                </c:pt>
                <c:pt idx="1113">
                  <c:v>11057600</c:v>
                </c:pt>
                <c:pt idx="1114">
                  <c:v>14033500</c:v>
                </c:pt>
                <c:pt idx="1115">
                  <c:v>13434100</c:v>
                </c:pt>
                <c:pt idx="1116">
                  <c:v>8503200</c:v>
                </c:pt>
                <c:pt idx="1117">
                  <c:v>18342600</c:v>
                </c:pt>
                <c:pt idx="1118">
                  <c:v>14538200</c:v>
                </c:pt>
                <c:pt idx="1119">
                  <c:v>6615300</c:v>
                </c:pt>
                <c:pt idx="1120">
                  <c:v>9577100</c:v>
                </c:pt>
                <c:pt idx="1121">
                  <c:v>7519400</c:v>
                </c:pt>
                <c:pt idx="1122">
                  <c:v>7716800</c:v>
                </c:pt>
                <c:pt idx="1123">
                  <c:v>15073900</c:v>
                </c:pt>
                <c:pt idx="1124">
                  <c:v>12325100</c:v>
                </c:pt>
                <c:pt idx="1125">
                  <c:v>24229100</c:v>
                </c:pt>
                <c:pt idx="1126">
                  <c:v>9754100</c:v>
                </c:pt>
                <c:pt idx="1127">
                  <c:v>13027100</c:v>
                </c:pt>
                <c:pt idx="1128">
                  <c:v>8778400</c:v>
                </c:pt>
                <c:pt idx="1129">
                  <c:v>11983400</c:v>
                </c:pt>
                <c:pt idx="1130">
                  <c:v>21840600</c:v>
                </c:pt>
                <c:pt idx="1131">
                  <c:v>10019600</c:v>
                </c:pt>
                <c:pt idx="1132">
                  <c:v>16645300</c:v>
                </c:pt>
                <c:pt idx="1133">
                  <c:v>11998300</c:v>
                </c:pt>
                <c:pt idx="1134">
                  <c:v>17199800</c:v>
                </c:pt>
                <c:pt idx="1135">
                  <c:v>20145500</c:v>
                </c:pt>
                <c:pt idx="1136">
                  <c:v>11642600</c:v>
                </c:pt>
                <c:pt idx="1137">
                  <c:v>6641500</c:v>
                </c:pt>
                <c:pt idx="1138">
                  <c:v>5583400</c:v>
                </c:pt>
                <c:pt idx="1139">
                  <c:v>8337400</c:v>
                </c:pt>
                <c:pt idx="1140">
                  <c:v>12373700</c:v>
                </c:pt>
                <c:pt idx="1141">
                  <c:v>6293000</c:v>
                </c:pt>
                <c:pt idx="1142">
                  <c:v>12357900</c:v>
                </c:pt>
                <c:pt idx="1143">
                  <c:v>14712000</c:v>
                </c:pt>
                <c:pt idx="1144">
                  <c:v>7849500</c:v>
                </c:pt>
                <c:pt idx="1145">
                  <c:v>6945500</c:v>
                </c:pt>
                <c:pt idx="1146">
                  <c:v>3817200</c:v>
                </c:pt>
                <c:pt idx="1147">
                  <c:v>2834400</c:v>
                </c:pt>
                <c:pt idx="1148">
                  <c:v>3365400</c:v>
                </c:pt>
                <c:pt idx="1149">
                  <c:v>3594400</c:v>
                </c:pt>
                <c:pt idx="1150">
                  <c:v>9022300</c:v>
                </c:pt>
                <c:pt idx="1151">
                  <c:v>5367300</c:v>
                </c:pt>
                <c:pt idx="1152">
                  <c:v>8200800</c:v>
                </c:pt>
                <c:pt idx="1153">
                  <c:v>29035600</c:v>
                </c:pt>
                <c:pt idx="1154">
                  <c:v>14814900</c:v>
                </c:pt>
                <c:pt idx="1155">
                  <c:v>12327300</c:v>
                </c:pt>
                <c:pt idx="1156">
                  <c:v>9186200</c:v>
                </c:pt>
                <c:pt idx="1157">
                  <c:v>13945300</c:v>
                </c:pt>
                <c:pt idx="1158">
                  <c:v>7892800</c:v>
                </c:pt>
                <c:pt idx="1159">
                  <c:v>7789000</c:v>
                </c:pt>
                <c:pt idx="1160">
                  <c:v>10599200</c:v>
                </c:pt>
                <c:pt idx="1161">
                  <c:v>20426800</c:v>
                </c:pt>
                <c:pt idx="1162">
                  <c:v>14195100</c:v>
                </c:pt>
                <c:pt idx="1163">
                  <c:v>13424500</c:v>
                </c:pt>
                <c:pt idx="1164">
                  <c:v>7023600</c:v>
                </c:pt>
                <c:pt idx="1165">
                  <c:v>8749500</c:v>
                </c:pt>
                <c:pt idx="1166">
                  <c:v>6930300</c:v>
                </c:pt>
                <c:pt idx="1167">
                  <c:v>6965700</c:v>
                </c:pt>
                <c:pt idx="1168">
                  <c:v>8269300</c:v>
                </c:pt>
                <c:pt idx="1169">
                  <c:v>21155100</c:v>
                </c:pt>
                <c:pt idx="1170">
                  <c:v>8420000</c:v>
                </c:pt>
                <c:pt idx="1171">
                  <c:v>17268300</c:v>
                </c:pt>
                <c:pt idx="1172">
                  <c:v>8932700</c:v>
                </c:pt>
                <c:pt idx="1173">
                  <c:v>8470200</c:v>
                </c:pt>
                <c:pt idx="1174">
                  <c:v>6605000</c:v>
                </c:pt>
                <c:pt idx="1175">
                  <c:v>9976200</c:v>
                </c:pt>
                <c:pt idx="1176">
                  <c:v>6502900</c:v>
                </c:pt>
                <c:pt idx="1177">
                  <c:v>7761500</c:v>
                </c:pt>
                <c:pt idx="1178">
                  <c:v>10600800</c:v>
                </c:pt>
                <c:pt idx="1179">
                  <c:v>7472800</c:v>
                </c:pt>
                <c:pt idx="1180">
                  <c:v>21190900</c:v>
                </c:pt>
                <c:pt idx="1181">
                  <c:v>15889900</c:v>
                </c:pt>
                <c:pt idx="1182">
                  <c:v>18253100</c:v>
                </c:pt>
                <c:pt idx="1183">
                  <c:v>12135000</c:v>
                </c:pt>
                <c:pt idx="1184">
                  <c:v>9033400</c:v>
                </c:pt>
                <c:pt idx="1185">
                  <c:v>10309700</c:v>
                </c:pt>
                <c:pt idx="1186">
                  <c:v>5686800</c:v>
                </c:pt>
                <c:pt idx="1187">
                  <c:v>15420200</c:v>
                </c:pt>
                <c:pt idx="1188">
                  <c:v>17086900</c:v>
                </c:pt>
                <c:pt idx="1189">
                  <c:v>11662800</c:v>
                </c:pt>
                <c:pt idx="1190">
                  <c:v>9588100</c:v>
                </c:pt>
                <c:pt idx="1191">
                  <c:v>18128000</c:v>
                </c:pt>
                <c:pt idx="1192">
                  <c:v>13813600</c:v>
                </c:pt>
                <c:pt idx="1193">
                  <c:v>19417500</c:v>
                </c:pt>
                <c:pt idx="1194">
                  <c:v>13756100</c:v>
                </c:pt>
                <c:pt idx="1195">
                  <c:v>6915000</c:v>
                </c:pt>
                <c:pt idx="1196">
                  <c:v>11294700</c:v>
                </c:pt>
                <c:pt idx="1197">
                  <c:v>20147500</c:v>
                </c:pt>
                <c:pt idx="1198">
                  <c:v>15578800</c:v>
                </c:pt>
                <c:pt idx="1199">
                  <c:v>9883900</c:v>
                </c:pt>
                <c:pt idx="1200">
                  <c:v>10032000</c:v>
                </c:pt>
                <c:pt idx="1201">
                  <c:v>6596500</c:v>
                </c:pt>
                <c:pt idx="1202">
                  <c:v>11523300</c:v>
                </c:pt>
                <c:pt idx="1203">
                  <c:v>8881400</c:v>
                </c:pt>
                <c:pt idx="1204">
                  <c:v>8180900</c:v>
                </c:pt>
                <c:pt idx="1205">
                  <c:v>4526700</c:v>
                </c:pt>
                <c:pt idx="1206">
                  <c:v>3009700</c:v>
                </c:pt>
                <c:pt idx="1207">
                  <c:v>2293900</c:v>
                </c:pt>
                <c:pt idx="1208">
                  <c:v>2330400</c:v>
                </c:pt>
                <c:pt idx="1209">
                  <c:v>3405800</c:v>
                </c:pt>
                <c:pt idx="1210">
                  <c:v>3527200</c:v>
                </c:pt>
                <c:pt idx="1211">
                  <c:v>2488600</c:v>
                </c:pt>
                <c:pt idx="1212">
                  <c:v>6968800</c:v>
                </c:pt>
                <c:pt idx="1213">
                  <c:v>3750300</c:v>
                </c:pt>
                <c:pt idx="1214">
                  <c:v>4031000</c:v>
                </c:pt>
                <c:pt idx="1215">
                  <c:v>6517000</c:v>
                </c:pt>
                <c:pt idx="1216">
                  <c:v>11307500</c:v>
                </c:pt>
                <c:pt idx="1217">
                  <c:v>6836200</c:v>
                </c:pt>
                <c:pt idx="1218">
                  <c:v>5253200</c:v>
                </c:pt>
                <c:pt idx="1219">
                  <c:v>4551600</c:v>
                </c:pt>
                <c:pt idx="1220">
                  <c:v>4001300</c:v>
                </c:pt>
                <c:pt idx="1221">
                  <c:v>4480800</c:v>
                </c:pt>
                <c:pt idx="1222">
                  <c:v>5193700</c:v>
                </c:pt>
                <c:pt idx="1223">
                  <c:v>8397300</c:v>
                </c:pt>
                <c:pt idx="1224">
                  <c:v>6857200</c:v>
                </c:pt>
                <c:pt idx="1225">
                  <c:v>6754900</c:v>
                </c:pt>
                <c:pt idx="1226">
                  <c:v>9337500</c:v>
                </c:pt>
                <c:pt idx="1227">
                  <c:v>6696100</c:v>
                </c:pt>
                <c:pt idx="1228">
                  <c:v>8744700</c:v>
                </c:pt>
                <c:pt idx="1229">
                  <c:v>9943000</c:v>
                </c:pt>
                <c:pt idx="1230">
                  <c:v>3527600</c:v>
                </c:pt>
                <c:pt idx="1231">
                  <c:v>3992100</c:v>
                </c:pt>
                <c:pt idx="1232">
                  <c:v>8496200</c:v>
                </c:pt>
                <c:pt idx="1233">
                  <c:v>12581200</c:v>
                </c:pt>
                <c:pt idx="1234">
                  <c:v>3084000</c:v>
                </c:pt>
                <c:pt idx="1235">
                  <c:v>6453500</c:v>
                </c:pt>
                <c:pt idx="1236">
                  <c:v>5177900</c:v>
                </c:pt>
                <c:pt idx="1237">
                  <c:v>8389100</c:v>
                </c:pt>
                <c:pt idx="1238">
                  <c:v>3667100</c:v>
                </c:pt>
                <c:pt idx="1239">
                  <c:v>5304700</c:v>
                </c:pt>
                <c:pt idx="1240">
                  <c:v>3639400</c:v>
                </c:pt>
                <c:pt idx="1241">
                  <c:v>6060200</c:v>
                </c:pt>
                <c:pt idx="1242">
                  <c:v>5532100</c:v>
                </c:pt>
                <c:pt idx="1243">
                  <c:v>6848800</c:v>
                </c:pt>
                <c:pt idx="1244">
                  <c:v>4723100</c:v>
                </c:pt>
                <c:pt idx="1245">
                  <c:v>4077600</c:v>
                </c:pt>
                <c:pt idx="1246">
                  <c:v>7089200</c:v>
                </c:pt>
                <c:pt idx="1247">
                  <c:v>3786300</c:v>
                </c:pt>
                <c:pt idx="1248">
                  <c:v>4766500</c:v>
                </c:pt>
                <c:pt idx="1249">
                  <c:v>5688100</c:v>
                </c:pt>
                <c:pt idx="1250">
                  <c:v>6915000</c:v>
                </c:pt>
                <c:pt idx="1251">
                  <c:v>17484500</c:v>
                </c:pt>
                <c:pt idx="1252">
                  <c:v>5844600</c:v>
                </c:pt>
                <c:pt idx="1253">
                  <c:v>10860000</c:v>
                </c:pt>
              </c:numCache>
            </c:numRef>
          </c:val>
          <c:extLst>
            <c:ext xmlns:c16="http://schemas.microsoft.com/office/drawing/2014/chart" uri="{C3380CC4-5D6E-409C-BE32-E72D297353CC}">
              <c16:uniqueId val="{00000000-4C2D-4973-8E36-B409680ACAE3}"/>
            </c:ext>
          </c:extLst>
        </c:ser>
        <c:dLbls>
          <c:showLegendKey val="0"/>
          <c:showVal val="0"/>
          <c:showCatName val="0"/>
          <c:showSerName val="0"/>
          <c:showPercent val="0"/>
          <c:showBubbleSize val="0"/>
        </c:dLbls>
        <c:axId val="1845699248"/>
        <c:axId val="1845698768"/>
      </c:areaChart>
      <c:catAx>
        <c:axId val="1845699248"/>
        <c:scaling>
          <c:orientation val="minMax"/>
        </c:scaling>
        <c:delete val="0"/>
        <c:axPos val="b"/>
        <c:numFmt formatCode="yyyy" sourceLinked="0"/>
        <c:majorTickMark val="out"/>
        <c:minorTickMark val="none"/>
        <c:tickLblPos val="nextTo"/>
        <c:spPr>
          <a:noFill/>
          <a:ln w="9525" cap="flat" cmpd="sng" algn="ctr">
            <a:noFill/>
            <a:round/>
          </a:ln>
          <a:effectLst/>
        </c:spPr>
        <c:txPr>
          <a:bodyPr rot="-36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698768"/>
        <c:crosses val="autoZero"/>
        <c:auto val="1"/>
        <c:lblAlgn val="ctr"/>
        <c:lblOffset val="100"/>
        <c:noMultiLvlLbl val="0"/>
      </c:catAx>
      <c:valAx>
        <c:axId val="1845698768"/>
        <c:scaling>
          <c:orientation val="minMax"/>
          <c:max val="100000000"/>
          <c:min val="1000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699248"/>
        <c:crosses val="autoZero"/>
        <c:crossBetween val="midCat"/>
      </c:valAx>
      <c:spPr>
        <a:noFill/>
        <a:ln>
          <a:noFill/>
        </a:ln>
        <a:effectLst/>
      </c:spPr>
    </c:plotArea>
    <c:plotVisOnly val="1"/>
    <c:dispBlanksAs val="zero"/>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70C0"/>
            </a:solidFill>
            <a:ln>
              <a:noFill/>
            </a:ln>
            <a:effectLst/>
          </c:spPr>
          <c:invertIfNegative val="0"/>
          <c:dPt>
            <c:idx val="0"/>
            <c:invertIfNegative val="1"/>
            <c:bubble3D val="0"/>
            <c:spPr>
              <a:solidFill>
                <a:srgbClr val="002060"/>
              </a:solidFill>
              <a:ln>
                <a:noFill/>
              </a:ln>
              <a:effectLst/>
            </c:spPr>
            <c:extLst>
              <c:ext xmlns:c16="http://schemas.microsoft.com/office/drawing/2014/chart" uri="{C3380CC4-5D6E-409C-BE32-E72D297353CC}">
                <c16:uniqueId val="{00000001-CAF1-4CD0-AA67-864C1709F611}"/>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CAF1-4CD0-AA67-864C1709F611}"/>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CAF1-4CD0-AA67-864C1709F611}"/>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CAF1-4CD0-AA67-864C1709F6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 Sheet'!$B$24:$B$28</c:f>
              <c:strCache>
                <c:ptCount val="5"/>
                <c:pt idx="0">
                  <c:v>Promoters </c:v>
                </c:pt>
                <c:pt idx="1">
                  <c:v>FIIs</c:v>
                </c:pt>
                <c:pt idx="2">
                  <c:v>DIIs </c:v>
                </c:pt>
                <c:pt idx="3">
                  <c:v>Public</c:v>
                </c:pt>
                <c:pt idx="4">
                  <c:v>Government</c:v>
                </c:pt>
              </c:strCache>
            </c:strRef>
          </c:cat>
          <c:val>
            <c:numRef>
              <c:f>'Input Sheet'!$C$24:$C$28</c:f>
              <c:numCache>
                <c:formatCode>0.00%</c:formatCode>
                <c:ptCount val="5"/>
                <c:pt idx="0">
                  <c:v>0.13900000000000001</c:v>
                </c:pt>
                <c:pt idx="1">
                  <c:v>0.27439999999999998</c:v>
                </c:pt>
                <c:pt idx="2">
                  <c:v>0.42659999999999998</c:v>
                </c:pt>
                <c:pt idx="3">
                  <c:v>0.15590000000000001</c:v>
                </c:pt>
                <c:pt idx="4">
                  <c:v>2.0999999999999999E-3</c:v>
                </c:pt>
              </c:numCache>
            </c:numRef>
          </c:val>
          <c:extLst>
            <c:ext xmlns:c16="http://schemas.microsoft.com/office/drawing/2014/chart" uri="{C3380CC4-5D6E-409C-BE32-E72D297353CC}">
              <c16:uniqueId val="{00000008-CAF1-4CD0-AA67-864C1709F611}"/>
            </c:ext>
          </c:extLst>
        </c:ser>
        <c:dLbls>
          <c:dLblPos val="outEnd"/>
          <c:showLegendKey val="0"/>
          <c:showVal val="1"/>
          <c:showCatName val="0"/>
          <c:showSerName val="0"/>
          <c:showPercent val="0"/>
          <c:showBubbleSize val="0"/>
        </c:dLbls>
        <c:gapWidth val="182"/>
        <c:axId val="1992353456"/>
        <c:axId val="1992364496"/>
      </c:barChart>
      <c:catAx>
        <c:axId val="199235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364496"/>
        <c:crosses val="autoZero"/>
        <c:auto val="1"/>
        <c:lblAlgn val="ctr"/>
        <c:lblOffset val="100"/>
        <c:noMultiLvlLbl val="0"/>
      </c:catAx>
      <c:valAx>
        <c:axId val="1992364496"/>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35345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829615048118988E-2"/>
          <c:y val="5.5555555555555552E-2"/>
          <c:w val="0.90286351706036749"/>
          <c:h val="0.66218321668124813"/>
        </c:manualLayout>
      </c:layout>
      <c:lineChart>
        <c:grouping val="standard"/>
        <c:varyColors val="0"/>
        <c:ser>
          <c:idx val="0"/>
          <c:order val="0"/>
          <c:tx>
            <c:strRef>
              <c:f>'Input Sheet'!$N$3</c:f>
              <c:strCache>
                <c:ptCount val="1"/>
                <c:pt idx="0">
                  <c:v>Adj Close</c:v>
                </c:pt>
              </c:strCache>
            </c:strRef>
          </c:tx>
          <c:spPr>
            <a:ln w="28575" cap="rnd">
              <a:solidFill>
                <a:schemeClr val="accent1"/>
              </a:solidFill>
              <a:round/>
            </a:ln>
            <a:effectLst/>
          </c:spPr>
          <c:marker>
            <c:symbol val="none"/>
          </c:marker>
          <c:cat>
            <c:strRef>
              <c:f>'Input Sheet'!$M$4:$M$1257</c:f>
              <c:strCache>
                <c:ptCount val="1254"/>
                <c:pt idx="0">
                  <c:v>Oct 22, 2026</c:v>
                </c:pt>
                <c:pt idx="1">
                  <c:v>Oct 21, 2026</c:v>
                </c:pt>
                <c:pt idx="2">
                  <c:v>Oct 20, 2026</c:v>
                </c:pt>
                <c:pt idx="3">
                  <c:v>Oct 19, 2026</c:v>
                </c:pt>
                <c:pt idx="4">
                  <c:v>Oct 16, 2026</c:v>
                </c:pt>
                <c:pt idx="5">
                  <c:v>Oct 15, 2026</c:v>
                </c:pt>
                <c:pt idx="6">
                  <c:v>Oct 14, 2026</c:v>
                </c:pt>
                <c:pt idx="7">
                  <c:v>Oct 13, 2026</c:v>
                </c:pt>
                <c:pt idx="8">
                  <c:v>Oct 12, 2026</c:v>
                </c:pt>
                <c:pt idx="9">
                  <c:v>Oct 09, 2026</c:v>
                </c:pt>
                <c:pt idx="10">
                  <c:v>Oct 08, 2026</c:v>
                </c:pt>
                <c:pt idx="11">
                  <c:v>Oct 07, 2026</c:v>
                </c:pt>
                <c:pt idx="12">
                  <c:v>Oct 06, 2026</c:v>
                </c:pt>
                <c:pt idx="13">
                  <c:v>Oct 05, 2026</c:v>
                </c:pt>
                <c:pt idx="14">
                  <c:v>Oct 02, 2026</c:v>
                </c:pt>
                <c:pt idx="15">
                  <c:v>Oct 01, 2026</c:v>
                </c:pt>
                <c:pt idx="16">
                  <c:v>Sep 30, 2026</c:v>
                </c:pt>
                <c:pt idx="17">
                  <c:v>Sep 29, 2026</c:v>
                </c:pt>
                <c:pt idx="18">
                  <c:v>Sep 28, 2026</c:v>
                </c:pt>
                <c:pt idx="19">
                  <c:v>Sep 25, 2026</c:v>
                </c:pt>
                <c:pt idx="20">
                  <c:v>Sep 24, 2026</c:v>
                </c:pt>
                <c:pt idx="21">
                  <c:v>Sep 23, 2026</c:v>
                </c:pt>
                <c:pt idx="22">
                  <c:v>Sep 22, 2026</c:v>
                </c:pt>
                <c:pt idx="23">
                  <c:v>Sep 21, 2026</c:v>
                </c:pt>
                <c:pt idx="24">
                  <c:v>Sep 18, 2026</c:v>
                </c:pt>
                <c:pt idx="25">
                  <c:v>Sep 17, 2026</c:v>
                </c:pt>
                <c:pt idx="26">
                  <c:v>Sep 16, 2026</c:v>
                </c:pt>
                <c:pt idx="27">
                  <c:v>Sep 15, 2026</c:v>
                </c:pt>
                <c:pt idx="28">
                  <c:v>Sep 14, 2026</c:v>
                </c:pt>
                <c:pt idx="29">
                  <c:v>Sep 11, 2026</c:v>
                </c:pt>
                <c:pt idx="30">
                  <c:v>Sep 10, 2026</c:v>
                </c:pt>
                <c:pt idx="31">
                  <c:v>Sep 09, 2026</c:v>
                </c:pt>
                <c:pt idx="32">
                  <c:v>Sep 08, 2026</c:v>
                </c:pt>
                <c:pt idx="33">
                  <c:v>Sep 04, 2026</c:v>
                </c:pt>
                <c:pt idx="34">
                  <c:v>Sep 03, 2026</c:v>
                </c:pt>
                <c:pt idx="35">
                  <c:v>Sep 02, 2026</c:v>
                </c:pt>
                <c:pt idx="36">
                  <c:v>Sep 01, 2026</c:v>
                </c:pt>
                <c:pt idx="37">
                  <c:v>Aug 31, 2026</c:v>
                </c:pt>
                <c:pt idx="38">
                  <c:v>Aug 28, 2026</c:v>
                </c:pt>
                <c:pt idx="39">
                  <c:v>Aug 27, 2026</c:v>
                </c:pt>
                <c:pt idx="40">
                  <c:v>Aug 26, 2026</c:v>
                </c:pt>
                <c:pt idx="41">
                  <c:v>Aug 25, 2026</c:v>
                </c:pt>
                <c:pt idx="42">
                  <c:v>Aug 24, 2026</c:v>
                </c:pt>
                <c:pt idx="43">
                  <c:v>Aug 21, 2026</c:v>
                </c:pt>
                <c:pt idx="44">
                  <c:v>Aug 20, 2026</c:v>
                </c:pt>
                <c:pt idx="45">
                  <c:v>Aug 19, 2026</c:v>
                </c:pt>
                <c:pt idx="46">
                  <c:v>Aug 18, 2026</c:v>
                </c:pt>
                <c:pt idx="47">
                  <c:v>Aug 17, 2026</c:v>
                </c:pt>
                <c:pt idx="48">
                  <c:v>Aug 14, 2026</c:v>
                </c:pt>
                <c:pt idx="49">
                  <c:v>Aug 13, 2026</c:v>
                </c:pt>
                <c:pt idx="50">
                  <c:v>Aug 12, 2026</c:v>
                </c:pt>
                <c:pt idx="51">
                  <c:v>Aug 11, 2026</c:v>
                </c:pt>
                <c:pt idx="52">
                  <c:v>Aug 10, 2026</c:v>
                </c:pt>
                <c:pt idx="53">
                  <c:v>Aug 07, 2026</c:v>
                </c:pt>
                <c:pt idx="54">
                  <c:v>Aug 06, 2026</c:v>
                </c:pt>
                <c:pt idx="55">
                  <c:v>Aug 05, 2026</c:v>
                </c:pt>
                <c:pt idx="56">
                  <c:v>Aug 04, 2026</c:v>
                </c:pt>
                <c:pt idx="57">
                  <c:v>Aug 03, 2026</c:v>
                </c:pt>
                <c:pt idx="58">
                  <c:v>Jul 31, 2026</c:v>
                </c:pt>
                <c:pt idx="59">
                  <c:v>Jul 30, 2026</c:v>
                </c:pt>
                <c:pt idx="60">
                  <c:v>Jul 29, 2026</c:v>
                </c:pt>
                <c:pt idx="61">
                  <c:v>Jul 28, 2026</c:v>
                </c:pt>
                <c:pt idx="62">
                  <c:v>Jul 27, 2026</c:v>
                </c:pt>
                <c:pt idx="63">
                  <c:v>Jul 24, 2026</c:v>
                </c:pt>
                <c:pt idx="64">
                  <c:v>Jul 23, 2026</c:v>
                </c:pt>
                <c:pt idx="65">
                  <c:v>Jul 22, 2026</c:v>
                </c:pt>
                <c:pt idx="66">
                  <c:v>Jul 21, 2026</c:v>
                </c:pt>
                <c:pt idx="67">
                  <c:v>Jul 20, 2026</c:v>
                </c:pt>
                <c:pt idx="68">
                  <c:v>Jul 17, 2026</c:v>
                </c:pt>
                <c:pt idx="69">
                  <c:v>Jul 16, 2026</c:v>
                </c:pt>
                <c:pt idx="70">
                  <c:v>Jul 15, 2026</c:v>
                </c:pt>
                <c:pt idx="71">
                  <c:v>Jul 14, 2026</c:v>
                </c:pt>
                <c:pt idx="72">
                  <c:v>Jul 13, 2026</c:v>
                </c:pt>
                <c:pt idx="73">
                  <c:v>Jul 10, 2026</c:v>
                </c:pt>
                <c:pt idx="74">
                  <c:v>Jul 09, 2026</c:v>
                </c:pt>
                <c:pt idx="75">
                  <c:v>Jul 08, 2026</c:v>
                </c:pt>
                <c:pt idx="76">
                  <c:v>Jul 07, 2026</c:v>
                </c:pt>
                <c:pt idx="77">
                  <c:v>Jul 06, 2026</c:v>
                </c:pt>
                <c:pt idx="78">
                  <c:v>Jul 02, 2026</c:v>
                </c:pt>
                <c:pt idx="79">
                  <c:v>Jul 01, 2026</c:v>
                </c:pt>
                <c:pt idx="80">
                  <c:v>Jun 30, 2026</c:v>
                </c:pt>
                <c:pt idx="81">
                  <c:v>Jun 29, 2026</c:v>
                </c:pt>
                <c:pt idx="82">
                  <c:v>Jun 26, 2026</c:v>
                </c:pt>
                <c:pt idx="83">
                  <c:v>Jun 25, 2026</c:v>
                </c:pt>
                <c:pt idx="84">
                  <c:v>Jun 24, 2026</c:v>
                </c:pt>
                <c:pt idx="85">
                  <c:v>Jun 23, 2026</c:v>
                </c:pt>
                <c:pt idx="86">
                  <c:v>Jun 22, 2026</c:v>
                </c:pt>
                <c:pt idx="87">
                  <c:v>Jun 18, 2026</c:v>
                </c:pt>
                <c:pt idx="88">
                  <c:v>Jun 17, 2026</c:v>
                </c:pt>
                <c:pt idx="89">
                  <c:v>Jun 16, 2026</c:v>
                </c:pt>
                <c:pt idx="90">
                  <c:v>Jun 15, 2026</c:v>
                </c:pt>
                <c:pt idx="91">
                  <c:v>Jun 12, 2026</c:v>
                </c:pt>
                <c:pt idx="92">
                  <c:v>Jun 11, 2026</c:v>
                </c:pt>
                <c:pt idx="93">
                  <c:v>Jun 10, 2026</c:v>
                </c:pt>
                <c:pt idx="94">
                  <c:v>Jun 09, 2026</c:v>
                </c:pt>
                <c:pt idx="95">
                  <c:v>Jun 08, 2026</c:v>
                </c:pt>
                <c:pt idx="96">
                  <c:v>Jun 05, 2026</c:v>
                </c:pt>
                <c:pt idx="97">
                  <c:v>Jun 04, 2026</c:v>
                </c:pt>
                <c:pt idx="98">
                  <c:v>Jun 03, 2026</c:v>
                </c:pt>
                <c:pt idx="99">
                  <c:v>Jun 02, 2026</c:v>
                </c:pt>
                <c:pt idx="100">
                  <c:v>Jun 01, 2026</c:v>
                </c:pt>
                <c:pt idx="101">
                  <c:v>May 29, 2026</c:v>
                </c:pt>
                <c:pt idx="102">
                  <c:v>May 28, 2026</c:v>
                </c:pt>
                <c:pt idx="103">
                  <c:v>May 27, 2026</c:v>
                </c:pt>
                <c:pt idx="104">
                  <c:v>May 26, 2026</c:v>
                </c:pt>
                <c:pt idx="105">
                  <c:v>May 22, 2026</c:v>
                </c:pt>
                <c:pt idx="106">
                  <c:v>May 21, 2026</c:v>
                </c:pt>
                <c:pt idx="107">
                  <c:v>May 20, 2026</c:v>
                </c:pt>
                <c:pt idx="108">
                  <c:v>May 19, 2026</c:v>
                </c:pt>
                <c:pt idx="109">
                  <c:v>May 18, 2026</c:v>
                </c:pt>
                <c:pt idx="110">
                  <c:v>May 15, 2026</c:v>
                </c:pt>
                <c:pt idx="111">
                  <c:v>May 14, 2026</c:v>
                </c:pt>
                <c:pt idx="112">
                  <c:v>May 13, 2026</c:v>
                </c:pt>
                <c:pt idx="113">
                  <c:v>May 12, 2026</c:v>
                </c:pt>
                <c:pt idx="114">
                  <c:v>May 11, 2026</c:v>
                </c:pt>
                <c:pt idx="115">
                  <c:v>May 08, 2026</c:v>
                </c:pt>
                <c:pt idx="116">
                  <c:v>May 07, 2026</c:v>
                </c:pt>
                <c:pt idx="117">
                  <c:v>May 06, 2026</c:v>
                </c:pt>
                <c:pt idx="118">
                  <c:v>May 05, 2026</c:v>
                </c:pt>
                <c:pt idx="119">
                  <c:v>May 04, 2026</c:v>
                </c:pt>
                <c:pt idx="120">
                  <c:v>May 01, 2026</c:v>
                </c:pt>
                <c:pt idx="121">
                  <c:v>Apr 30, 2026</c:v>
                </c:pt>
                <c:pt idx="122">
                  <c:v>Apr 29, 2026</c:v>
                </c:pt>
                <c:pt idx="123">
                  <c:v>Apr 28, 2026</c:v>
                </c:pt>
                <c:pt idx="124">
                  <c:v>Apr 27, 2026</c:v>
                </c:pt>
                <c:pt idx="125">
                  <c:v>Apr 24, 2026</c:v>
                </c:pt>
                <c:pt idx="126">
                  <c:v>Apr 23, 2026</c:v>
                </c:pt>
                <c:pt idx="127">
                  <c:v>Apr 22, 2026</c:v>
                </c:pt>
                <c:pt idx="128">
                  <c:v>Apr 21, 2026</c:v>
                </c:pt>
                <c:pt idx="129">
                  <c:v>Apr 20, 2026</c:v>
                </c:pt>
                <c:pt idx="130">
                  <c:v>Apr 17, 2026</c:v>
                </c:pt>
                <c:pt idx="131">
                  <c:v>Apr 16, 2026</c:v>
                </c:pt>
                <c:pt idx="132">
                  <c:v>Apr 15, 2026</c:v>
                </c:pt>
                <c:pt idx="133">
                  <c:v>Apr 14, 2026</c:v>
                </c:pt>
                <c:pt idx="134">
                  <c:v>Apr 13, 2026</c:v>
                </c:pt>
                <c:pt idx="135">
                  <c:v>Apr 10, 2026</c:v>
                </c:pt>
                <c:pt idx="136">
                  <c:v>Apr 09, 2026</c:v>
                </c:pt>
                <c:pt idx="137">
                  <c:v>Apr 08, 2026</c:v>
                </c:pt>
                <c:pt idx="138">
                  <c:v>Apr 07, 2026</c:v>
                </c:pt>
                <c:pt idx="139">
                  <c:v>Apr 06, 2026</c:v>
                </c:pt>
                <c:pt idx="140">
                  <c:v>Apr 02, 2026</c:v>
                </c:pt>
                <c:pt idx="141">
                  <c:v>Apr 01, 2026</c:v>
                </c:pt>
                <c:pt idx="142">
                  <c:v>Mar 31, 2026</c:v>
                </c:pt>
                <c:pt idx="143">
                  <c:v>Mar 30, 2026</c:v>
                </c:pt>
                <c:pt idx="144">
                  <c:v>Mar 27, 2026</c:v>
                </c:pt>
                <c:pt idx="145">
                  <c:v>Mar 26, 2026</c:v>
                </c:pt>
                <c:pt idx="146">
                  <c:v>Mar 25, 2026</c:v>
                </c:pt>
                <c:pt idx="147">
                  <c:v>Mar 24, 2026</c:v>
                </c:pt>
                <c:pt idx="148">
                  <c:v>Mar 23, 2026</c:v>
                </c:pt>
                <c:pt idx="149">
                  <c:v>Mar 20, 2026</c:v>
                </c:pt>
                <c:pt idx="150">
                  <c:v>Mar 19, 2026</c:v>
                </c:pt>
                <c:pt idx="151">
                  <c:v>Mar 18, 2026</c:v>
                </c:pt>
                <c:pt idx="152">
                  <c:v>Mar 17, 2026</c:v>
                </c:pt>
                <c:pt idx="153">
                  <c:v>Mar 16, 2026</c:v>
                </c:pt>
                <c:pt idx="154">
                  <c:v>Mar 13, 2026</c:v>
                </c:pt>
                <c:pt idx="155">
                  <c:v>Mar 12, 2026</c:v>
                </c:pt>
                <c:pt idx="156">
                  <c:v>Mar 11, 2026</c:v>
                </c:pt>
                <c:pt idx="157">
                  <c:v>Mar 10, 2026</c:v>
                </c:pt>
                <c:pt idx="158">
                  <c:v>Mar 09, 2026</c:v>
                </c:pt>
                <c:pt idx="159">
                  <c:v>Mar 06, 2026</c:v>
                </c:pt>
                <c:pt idx="160">
                  <c:v>Mar 05, 2026</c:v>
                </c:pt>
                <c:pt idx="161">
                  <c:v>Mar 04, 2026</c:v>
                </c:pt>
                <c:pt idx="162">
                  <c:v>Mar 03, 2026</c:v>
                </c:pt>
                <c:pt idx="163">
                  <c:v>Mar 02, 2026</c:v>
                </c:pt>
                <c:pt idx="164">
                  <c:v>Feb 27, 2026</c:v>
                </c:pt>
                <c:pt idx="165">
                  <c:v>Feb 26, 2026</c:v>
                </c:pt>
                <c:pt idx="166">
                  <c:v>Feb 25, 2026</c:v>
                </c:pt>
                <c:pt idx="167">
                  <c:v>Feb 24, 2026</c:v>
                </c:pt>
                <c:pt idx="168">
                  <c:v>Feb 23, 2026</c:v>
                </c:pt>
                <c:pt idx="169">
                  <c:v>Feb 20, 2026</c:v>
                </c:pt>
                <c:pt idx="170">
                  <c:v>Feb 19, 2026</c:v>
                </c:pt>
                <c:pt idx="171">
                  <c:v>Feb 18, 2026</c:v>
                </c:pt>
                <c:pt idx="172">
                  <c:v>Feb 17, 2026</c:v>
                </c:pt>
                <c:pt idx="173">
                  <c:v>Feb 13, 2026</c:v>
                </c:pt>
                <c:pt idx="174">
                  <c:v>Feb 12, 2026</c:v>
                </c:pt>
                <c:pt idx="175">
                  <c:v>Feb 11, 2026</c:v>
                </c:pt>
                <c:pt idx="176">
                  <c:v>Feb 10, 2026</c:v>
                </c:pt>
                <c:pt idx="177">
                  <c:v>Feb 09, 2026</c:v>
                </c:pt>
                <c:pt idx="178">
                  <c:v>Feb 06, 2026</c:v>
                </c:pt>
                <c:pt idx="179">
                  <c:v>Feb 05, 2026</c:v>
                </c:pt>
                <c:pt idx="180">
                  <c:v>Feb 04, 2026</c:v>
                </c:pt>
                <c:pt idx="181">
                  <c:v>Feb 03, 2026</c:v>
                </c:pt>
                <c:pt idx="182">
                  <c:v>Feb 02, 2026</c:v>
                </c:pt>
                <c:pt idx="183">
                  <c:v>Jan 30, 2026</c:v>
                </c:pt>
                <c:pt idx="184">
                  <c:v>Jan 29, 2026</c:v>
                </c:pt>
                <c:pt idx="185">
                  <c:v>Jan 28, 2026</c:v>
                </c:pt>
                <c:pt idx="186">
                  <c:v>Jan 27, 2026</c:v>
                </c:pt>
                <c:pt idx="187">
                  <c:v>Jan 26, 2026</c:v>
                </c:pt>
                <c:pt idx="188">
                  <c:v>Jan 23, 2026</c:v>
                </c:pt>
                <c:pt idx="189">
                  <c:v>Jan 22, 2026</c:v>
                </c:pt>
                <c:pt idx="190">
                  <c:v>Jan 21, 2026</c:v>
                </c:pt>
                <c:pt idx="191">
                  <c:v>Jan 20, 2026</c:v>
                </c:pt>
                <c:pt idx="192">
                  <c:v>Jan 16, 2026</c:v>
                </c:pt>
                <c:pt idx="193">
                  <c:v>Jan 15, 2026</c:v>
                </c:pt>
                <c:pt idx="194">
                  <c:v>Jan 14, 2026</c:v>
                </c:pt>
                <c:pt idx="195">
                  <c:v>Jan 13, 2026</c:v>
                </c:pt>
                <c:pt idx="196">
                  <c:v>Jan 12, 2026</c:v>
                </c:pt>
                <c:pt idx="197">
                  <c:v>Jan 09, 2026</c:v>
                </c:pt>
                <c:pt idx="198">
                  <c:v>Jan 08, 2026</c:v>
                </c:pt>
                <c:pt idx="199">
                  <c:v>Jan 07, 2026</c:v>
                </c:pt>
                <c:pt idx="200">
                  <c:v>Jan 06, 2026</c:v>
                </c:pt>
                <c:pt idx="201">
                  <c:v>Jan 05, 2026</c:v>
                </c:pt>
                <c:pt idx="202">
                  <c:v>Jan 02, 2026</c:v>
                </c:pt>
                <c:pt idx="203">
                  <c:v>Dec 31, 2025</c:v>
                </c:pt>
                <c:pt idx="204">
                  <c:v>Dec 30, 2025</c:v>
                </c:pt>
                <c:pt idx="205">
                  <c:v>Dec 29, 2025</c:v>
                </c:pt>
                <c:pt idx="206">
                  <c:v>Dec 26, 2025</c:v>
                </c:pt>
                <c:pt idx="207">
                  <c:v>Dec 24, 2025</c:v>
                </c:pt>
                <c:pt idx="208">
                  <c:v>Dec 23, 2025</c:v>
                </c:pt>
                <c:pt idx="209">
                  <c:v>Dec 22, 2025</c:v>
                </c:pt>
                <c:pt idx="210">
                  <c:v>Dec 19, 2025</c:v>
                </c:pt>
                <c:pt idx="211">
                  <c:v>Dec 18, 2025</c:v>
                </c:pt>
                <c:pt idx="212">
                  <c:v>Dec 17, 2025</c:v>
                </c:pt>
                <c:pt idx="213">
                  <c:v>Dec 16, 2025</c:v>
                </c:pt>
                <c:pt idx="214">
                  <c:v>Dec 15, 2025</c:v>
                </c:pt>
                <c:pt idx="215">
                  <c:v>Dec 12, 2025</c:v>
                </c:pt>
                <c:pt idx="216">
                  <c:v>Dec 11, 2025</c:v>
                </c:pt>
                <c:pt idx="217">
                  <c:v>Dec 10, 2025</c:v>
                </c:pt>
                <c:pt idx="218">
                  <c:v>Dec 09, 2025</c:v>
                </c:pt>
                <c:pt idx="219">
                  <c:v>Dec 08, 2025</c:v>
                </c:pt>
                <c:pt idx="220">
                  <c:v>Dec 05, 2025</c:v>
                </c:pt>
                <c:pt idx="221">
                  <c:v>Dec 04, 2025</c:v>
                </c:pt>
                <c:pt idx="222">
                  <c:v>Dec 03, 2025</c:v>
                </c:pt>
                <c:pt idx="223">
                  <c:v>Dec 02, 2025</c:v>
                </c:pt>
                <c:pt idx="224">
                  <c:v>Dec 01, 2025</c:v>
                </c:pt>
                <c:pt idx="225">
                  <c:v>Nov 28, 2025</c:v>
                </c:pt>
                <c:pt idx="226">
                  <c:v>Nov 26, 2025</c:v>
                </c:pt>
                <c:pt idx="227">
                  <c:v>Nov 25, 2025</c:v>
                </c:pt>
                <c:pt idx="228">
                  <c:v>Nov 24, 2025</c:v>
                </c:pt>
                <c:pt idx="229">
                  <c:v>Nov 21, 2025</c:v>
                </c:pt>
                <c:pt idx="230">
                  <c:v>Nov 20, 2025</c:v>
                </c:pt>
                <c:pt idx="231">
                  <c:v>Nov 19, 2025</c:v>
                </c:pt>
                <c:pt idx="232">
                  <c:v>Nov 18, 2025</c:v>
                </c:pt>
                <c:pt idx="233">
                  <c:v>Nov 17, 2025</c:v>
                </c:pt>
                <c:pt idx="234">
                  <c:v>Nov 14, 2025</c:v>
                </c:pt>
                <c:pt idx="235">
                  <c:v>Nov 13, 2025</c:v>
                </c:pt>
                <c:pt idx="236">
                  <c:v>Nov 12, 2025</c:v>
                </c:pt>
                <c:pt idx="237">
                  <c:v>Nov 11, 2025</c:v>
                </c:pt>
                <c:pt idx="238">
                  <c:v>Nov 10, 2025</c:v>
                </c:pt>
                <c:pt idx="239">
                  <c:v>Nov 07, 2025</c:v>
                </c:pt>
                <c:pt idx="240">
                  <c:v>Nov 06, 2025</c:v>
                </c:pt>
                <c:pt idx="241">
                  <c:v>Nov 05, 2025</c:v>
                </c:pt>
                <c:pt idx="242">
                  <c:v>Nov 04, 2025</c:v>
                </c:pt>
                <c:pt idx="243">
                  <c:v>Nov 03, 2025</c:v>
                </c:pt>
                <c:pt idx="244">
                  <c:v>Oct 31, 2025</c:v>
                </c:pt>
                <c:pt idx="245">
                  <c:v>Oct 30, 2025</c:v>
                </c:pt>
                <c:pt idx="246">
                  <c:v>Oct 29, 2025</c:v>
                </c:pt>
                <c:pt idx="247">
                  <c:v>Oct 28, 2025</c:v>
                </c:pt>
                <c:pt idx="248">
                  <c:v>Oct 27, 2025</c:v>
                </c:pt>
                <c:pt idx="249">
                  <c:v>Oct 24, 2025</c:v>
                </c:pt>
                <c:pt idx="250">
                  <c:v>Oct 23, 2025</c:v>
                </c:pt>
                <c:pt idx="251">
                  <c:v>Oct 22, 2025</c:v>
                </c:pt>
                <c:pt idx="252">
                  <c:v>Oct 21, 2025</c:v>
                </c:pt>
                <c:pt idx="253">
                  <c:v>Oct 20, 2025</c:v>
                </c:pt>
                <c:pt idx="254">
                  <c:v>Oct 17, 2025</c:v>
                </c:pt>
                <c:pt idx="255">
                  <c:v>Oct 16, 2025</c:v>
                </c:pt>
                <c:pt idx="256">
                  <c:v>Oct 15, 2025</c:v>
                </c:pt>
                <c:pt idx="257">
                  <c:v>Oct 14, 2025</c:v>
                </c:pt>
                <c:pt idx="258">
                  <c:v>Oct 13, 2025</c:v>
                </c:pt>
                <c:pt idx="259">
                  <c:v>Oct 10, 2025</c:v>
                </c:pt>
                <c:pt idx="260">
                  <c:v>Oct 09, 2025</c:v>
                </c:pt>
                <c:pt idx="261">
                  <c:v>Oct 08, 2025</c:v>
                </c:pt>
                <c:pt idx="262">
                  <c:v>Oct 07, 2025</c:v>
                </c:pt>
                <c:pt idx="263">
                  <c:v>Oct 06, 2025</c:v>
                </c:pt>
                <c:pt idx="264">
                  <c:v>Oct 03, 2025</c:v>
                </c:pt>
                <c:pt idx="265">
                  <c:v>Oct 02, 2025</c:v>
                </c:pt>
                <c:pt idx="266">
                  <c:v>Oct 01, 2025</c:v>
                </c:pt>
                <c:pt idx="267">
                  <c:v>Sep 30, 2025</c:v>
                </c:pt>
                <c:pt idx="268">
                  <c:v>Sep 29, 2025</c:v>
                </c:pt>
                <c:pt idx="269">
                  <c:v>Sep 26, 2025</c:v>
                </c:pt>
                <c:pt idx="270">
                  <c:v>Sep 25, 2025</c:v>
                </c:pt>
                <c:pt idx="271">
                  <c:v>Sep 24, 2025</c:v>
                </c:pt>
                <c:pt idx="272">
                  <c:v>Sep 23, 2025</c:v>
                </c:pt>
                <c:pt idx="273">
                  <c:v>Sep 22, 2025</c:v>
                </c:pt>
                <c:pt idx="274">
                  <c:v>Sep 19, 2025</c:v>
                </c:pt>
                <c:pt idx="275">
                  <c:v>Sep 18, 2025</c:v>
                </c:pt>
                <c:pt idx="276">
                  <c:v>Sep 17, 2025</c:v>
                </c:pt>
                <c:pt idx="277">
                  <c:v>Sep 16, 2025</c:v>
                </c:pt>
                <c:pt idx="278">
                  <c:v>Sep 15, 2025</c:v>
                </c:pt>
                <c:pt idx="279">
                  <c:v>Sep 12, 2025</c:v>
                </c:pt>
                <c:pt idx="280">
                  <c:v>Sep 11, 2025</c:v>
                </c:pt>
                <c:pt idx="281">
                  <c:v>Sep 10, 2025</c:v>
                </c:pt>
                <c:pt idx="282">
                  <c:v>Sep 09, 2025</c:v>
                </c:pt>
                <c:pt idx="283">
                  <c:v>Sep 08, 2025</c:v>
                </c:pt>
                <c:pt idx="284">
                  <c:v>Sep 05, 2025</c:v>
                </c:pt>
                <c:pt idx="285">
                  <c:v>Sep 04, 2025</c:v>
                </c:pt>
                <c:pt idx="286">
                  <c:v>Sep 03, 2025</c:v>
                </c:pt>
                <c:pt idx="287">
                  <c:v>Sep 02, 2025</c:v>
                </c:pt>
                <c:pt idx="288">
                  <c:v>Aug 29, 2025</c:v>
                </c:pt>
                <c:pt idx="289">
                  <c:v>Aug 28, 2025</c:v>
                </c:pt>
                <c:pt idx="290">
                  <c:v>Aug 27, 2025</c:v>
                </c:pt>
                <c:pt idx="291">
                  <c:v>Aug 26, 2025</c:v>
                </c:pt>
                <c:pt idx="292">
                  <c:v>Aug 25, 2025</c:v>
                </c:pt>
                <c:pt idx="293">
                  <c:v>Aug 22, 2025</c:v>
                </c:pt>
                <c:pt idx="294">
                  <c:v>Aug 21, 2025</c:v>
                </c:pt>
                <c:pt idx="295">
                  <c:v>Aug 20, 2025</c:v>
                </c:pt>
                <c:pt idx="296">
                  <c:v>Aug 19, 2025</c:v>
                </c:pt>
                <c:pt idx="297">
                  <c:v>Aug 18, 2025</c:v>
                </c:pt>
                <c:pt idx="298">
                  <c:v>Aug 15, 2025</c:v>
                </c:pt>
                <c:pt idx="299">
                  <c:v>Aug 14, 2025</c:v>
                </c:pt>
                <c:pt idx="300">
                  <c:v>Aug 13, 2025</c:v>
                </c:pt>
                <c:pt idx="301">
                  <c:v>Aug 12, 2025</c:v>
                </c:pt>
                <c:pt idx="302">
                  <c:v>Aug 11, 2025</c:v>
                </c:pt>
                <c:pt idx="303">
                  <c:v>Aug 08, 2025</c:v>
                </c:pt>
                <c:pt idx="304">
                  <c:v>Aug 07, 2025</c:v>
                </c:pt>
                <c:pt idx="305">
                  <c:v>Aug 06, 2025</c:v>
                </c:pt>
                <c:pt idx="306">
                  <c:v>Aug 05, 2025</c:v>
                </c:pt>
                <c:pt idx="307">
                  <c:v>Aug 04, 2025</c:v>
                </c:pt>
                <c:pt idx="308">
                  <c:v>Aug 01, 2025</c:v>
                </c:pt>
                <c:pt idx="309">
                  <c:v>Jul 31, 2025</c:v>
                </c:pt>
                <c:pt idx="310">
                  <c:v>Jul 30, 2025</c:v>
                </c:pt>
                <c:pt idx="311">
                  <c:v>Jul 29, 2025</c:v>
                </c:pt>
                <c:pt idx="312">
                  <c:v>Jul 28, 2025</c:v>
                </c:pt>
                <c:pt idx="313">
                  <c:v>Jul 25, 2025</c:v>
                </c:pt>
                <c:pt idx="314">
                  <c:v>Jul 24, 2025</c:v>
                </c:pt>
                <c:pt idx="315">
                  <c:v>Jul 23, 2025</c:v>
                </c:pt>
                <c:pt idx="316">
                  <c:v>Jul 22, 2025</c:v>
                </c:pt>
                <c:pt idx="317">
                  <c:v>Jul 21, 2025</c:v>
                </c:pt>
                <c:pt idx="318">
                  <c:v>Jul 18, 2025</c:v>
                </c:pt>
                <c:pt idx="319">
                  <c:v>Jul 17, 2025</c:v>
                </c:pt>
                <c:pt idx="320">
                  <c:v>Jul 16, 2025</c:v>
                </c:pt>
                <c:pt idx="321">
                  <c:v>Jul 15, 2025</c:v>
                </c:pt>
                <c:pt idx="322">
                  <c:v>Jul 14, 2025</c:v>
                </c:pt>
                <c:pt idx="323">
                  <c:v>Jul 11, 2025</c:v>
                </c:pt>
                <c:pt idx="324">
                  <c:v>Jul 10, 2025</c:v>
                </c:pt>
                <c:pt idx="325">
                  <c:v>Jul 09, 2025</c:v>
                </c:pt>
                <c:pt idx="326">
                  <c:v>Jul 08, 2025</c:v>
                </c:pt>
                <c:pt idx="327">
                  <c:v>Jul 07, 2025</c:v>
                </c:pt>
                <c:pt idx="328">
                  <c:v>Jul 03, 2025</c:v>
                </c:pt>
                <c:pt idx="329">
                  <c:v>Jul 02, 2025</c:v>
                </c:pt>
                <c:pt idx="330">
                  <c:v>Jul 01, 2025</c:v>
                </c:pt>
                <c:pt idx="331">
                  <c:v>Jun 30, 2025</c:v>
                </c:pt>
                <c:pt idx="332">
                  <c:v>Jun 27, 2025</c:v>
                </c:pt>
                <c:pt idx="333">
                  <c:v>Jun 26, 2025</c:v>
                </c:pt>
                <c:pt idx="334">
                  <c:v>Jun 25, 2025</c:v>
                </c:pt>
                <c:pt idx="335">
                  <c:v>Jun 24, 2025</c:v>
                </c:pt>
                <c:pt idx="336">
                  <c:v>Jun 23, 2025</c:v>
                </c:pt>
                <c:pt idx="337">
                  <c:v>Jun 20, 2025</c:v>
                </c:pt>
                <c:pt idx="338">
                  <c:v>Jun 18, 2025</c:v>
                </c:pt>
                <c:pt idx="339">
                  <c:v>Jun 17, 2025</c:v>
                </c:pt>
                <c:pt idx="340">
                  <c:v>Jun 16, 2025</c:v>
                </c:pt>
                <c:pt idx="341">
                  <c:v>Jun 13, 2025</c:v>
                </c:pt>
                <c:pt idx="342">
                  <c:v>Jun 12, 2025</c:v>
                </c:pt>
                <c:pt idx="343">
                  <c:v>Jun 11, 2025</c:v>
                </c:pt>
                <c:pt idx="344">
                  <c:v>Jun 10, 2025</c:v>
                </c:pt>
                <c:pt idx="345">
                  <c:v>Jun 09, 2025</c:v>
                </c:pt>
                <c:pt idx="346">
                  <c:v>Jun 06, 2025</c:v>
                </c:pt>
                <c:pt idx="347">
                  <c:v>Jun 05, 2025</c:v>
                </c:pt>
                <c:pt idx="348">
                  <c:v>Jun 04, 2025</c:v>
                </c:pt>
                <c:pt idx="349">
                  <c:v>Jun 03, 2025</c:v>
                </c:pt>
                <c:pt idx="350">
                  <c:v>Jun 02, 2025</c:v>
                </c:pt>
                <c:pt idx="351">
                  <c:v>May 30, 2025</c:v>
                </c:pt>
                <c:pt idx="352">
                  <c:v>May 29, 2025</c:v>
                </c:pt>
                <c:pt idx="353">
                  <c:v>May 28, 2025</c:v>
                </c:pt>
                <c:pt idx="354">
                  <c:v>May 27, 2025</c:v>
                </c:pt>
                <c:pt idx="355">
                  <c:v>May 23, 2025</c:v>
                </c:pt>
                <c:pt idx="356">
                  <c:v>May 22, 2025</c:v>
                </c:pt>
                <c:pt idx="357">
                  <c:v>May 21, 2025</c:v>
                </c:pt>
                <c:pt idx="358">
                  <c:v>May 20, 2025</c:v>
                </c:pt>
                <c:pt idx="359">
                  <c:v>May 19, 2025</c:v>
                </c:pt>
                <c:pt idx="360">
                  <c:v>May 16, 2025</c:v>
                </c:pt>
                <c:pt idx="361">
                  <c:v>May 15, 2025</c:v>
                </c:pt>
                <c:pt idx="362">
                  <c:v>May 14, 2025</c:v>
                </c:pt>
                <c:pt idx="363">
                  <c:v>May 13, 2025</c:v>
                </c:pt>
                <c:pt idx="364">
                  <c:v>May 12, 2025</c:v>
                </c:pt>
                <c:pt idx="365">
                  <c:v>May 09, 2025</c:v>
                </c:pt>
                <c:pt idx="366">
                  <c:v>May 08, 2025</c:v>
                </c:pt>
                <c:pt idx="367">
                  <c:v>May 07, 2025</c:v>
                </c:pt>
                <c:pt idx="368">
                  <c:v>May 06, 2025</c:v>
                </c:pt>
                <c:pt idx="369">
                  <c:v>May 05, 2025</c:v>
                </c:pt>
                <c:pt idx="370">
                  <c:v>May 02, 2025</c:v>
                </c:pt>
                <c:pt idx="371">
                  <c:v>May 01, 2025</c:v>
                </c:pt>
                <c:pt idx="372">
                  <c:v>Apr 30, 2025</c:v>
                </c:pt>
                <c:pt idx="373">
                  <c:v>Apr 29, 2025</c:v>
                </c:pt>
                <c:pt idx="374">
                  <c:v>Apr 28, 2025</c:v>
                </c:pt>
                <c:pt idx="375">
                  <c:v>Apr 25, 2025</c:v>
                </c:pt>
                <c:pt idx="376">
                  <c:v>Apr 24, 2025</c:v>
                </c:pt>
                <c:pt idx="377">
                  <c:v>Apr 23, 2025</c:v>
                </c:pt>
                <c:pt idx="378">
                  <c:v>Apr 22, 2025</c:v>
                </c:pt>
                <c:pt idx="379">
                  <c:v>Apr 21, 2025</c:v>
                </c:pt>
                <c:pt idx="380">
                  <c:v>Apr 17, 2025</c:v>
                </c:pt>
                <c:pt idx="381">
                  <c:v>Apr 16, 2025</c:v>
                </c:pt>
                <c:pt idx="382">
                  <c:v>Apr 15, 2025</c:v>
                </c:pt>
                <c:pt idx="383">
                  <c:v>Apr 14, 2025</c:v>
                </c:pt>
                <c:pt idx="384">
                  <c:v>Apr 11, 2025</c:v>
                </c:pt>
                <c:pt idx="385">
                  <c:v>Apr 10, 2025</c:v>
                </c:pt>
                <c:pt idx="386">
                  <c:v>Apr 09, 2025</c:v>
                </c:pt>
                <c:pt idx="387">
                  <c:v>Apr 08, 2025</c:v>
                </c:pt>
                <c:pt idx="388">
                  <c:v>Apr 07, 2025</c:v>
                </c:pt>
                <c:pt idx="389">
                  <c:v>Apr 04, 2025</c:v>
                </c:pt>
                <c:pt idx="390">
                  <c:v>Apr 03, 2025</c:v>
                </c:pt>
                <c:pt idx="391">
                  <c:v>Apr 02, 2025</c:v>
                </c:pt>
                <c:pt idx="392">
                  <c:v>Apr 01, 2025</c:v>
                </c:pt>
                <c:pt idx="393">
                  <c:v>Mar 31, 2025</c:v>
                </c:pt>
                <c:pt idx="394">
                  <c:v>Mar 28, 2025</c:v>
                </c:pt>
                <c:pt idx="395">
                  <c:v>Mar 27, 2025</c:v>
                </c:pt>
                <c:pt idx="396">
                  <c:v>Mar 26, 2025</c:v>
                </c:pt>
                <c:pt idx="397">
                  <c:v>Mar 25, 2025</c:v>
                </c:pt>
                <c:pt idx="398">
                  <c:v>Mar 24, 2025</c:v>
                </c:pt>
                <c:pt idx="399">
                  <c:v>Mar 21, 2025</c:v>
                </c:pt>
                <c:pt idx="400">
                  <c:v>Mar 20, 2025</c:v>
                </c:pt>
                <c:pt idx="401">
                  <c:v>Mar 19, 2025</c:v>
                </c:pt>
                <c:pt idx="402">
                  <c:v>Mar 18, 2025</c:v>
                </c:pt>
                <c:pt idx="403">
                  <c:v>Mar 17, 2025</c:v>
                </c:pt>
                <c:pt idx="404">
                  <c:v>Mar 14, 2025</c:v>
                </c:pt>
                <c:pt idx="405">
                  <c:v>Mar 13, 2025</c:v>
                </c:pt>
                <c:pt idx="406">
                  <c:v>Mar 12, 2025</c:v>
                </c:pt>
                <c:pt idx="407">
                  <c:v>Mar 11, 2025</c:v>
                </c:pt>
                <c:pt idx="408">
                  <c:v>Mar 10, 2025</c:v>
                </c:pt>
                <c:pt idx="409">
                  <c:v>Mar 07, 2025</c:v>
                </c:pt>
                <c:pt idx="410">
                  <c:v>Mar 06, 2025</c:v>
                </c:pt>
                <c:pt idx="411">
                  <c:v>Mar 05, 2025</c:v>
                </c:pt>
                <c:pt idx="412">
                  <c:v>Mar 04, 2025</c:v>
                </c:pt>
                <c:pt idx="413">
                  <c:v>Mar 03, 2025</c:v>
                </c:pt>
                <c:pt idx="414">
                  <c:v>Feb 28, 2025</c:v>
                </c:pt>
                <c:pt idx="415">
                  <c:v>Feb 27, 2025</c:v>
                </c:pt>
                <c:pt idx="416">
                  <c:v>Feb 26, 2025</c:v>
                </c:pt>
                <c:pt idx="417">
                  <c:v>Feb 25, 2025</c:v>
                </c:pt>
                <c:pt idx="418">
                  <c:v>Feb 24, 2025</c:v>
                </c:pt>
                <c:pt idx="419">
                  <c:v>Feb 21, 2025</c:v>
                </c:pt>
                <c:pt idx="420">
                  <c:v>Feb 20, 2025</c:v>
                </c:pt>
                <c:pt idx="421">
                  <c:v>Feb 19, 2025</c:v>
                </c:pt>
                <c:pt idx="422">
                  <c:v>Feb 18, 2025</c:v>
                </c:pt>
                <c:pt idx="423">
                  <c:v>Feb 14, 2025</c:v>
                </c:pt>
                <c:pt idx="424">
                  <c:v>Feb 13, 2025</c:v>
                </c:pt>
                <c:pt idx="425">
                  <c:v>Feb 12, 2025</c:v>
                </c:pt>
                <c:pt idx="426">
                  <c:v>Feb 11, 2025</c:v>
                </c:pt>
                <c:pt idx="427">
                  <c:v>Feb 10, 2025</c:v>
                </c:pt>
                <c:pt idx="428">
                  <c:v>Feb 07, 2025</c:v>
                </c:pt>
                <c:pt idx="429">
                  <c:v>Feb 06, 2025</c:v>
                </c:pt>
                <c:pt idx="430">
                  <c:v>Feb 05, 2025</c:v>
                </c:pt>
                <c:pt idx="431">
                  <c:v>Feb 04, 2025</c:v>
                </c:pt>
                <c:pt idx="432">
                  <c:v>Feb 03, 2025</c:v>
                </c:pt>
                <c:pt idx="433">
                  <c:v>Jan 31, 2025</c:v>
                </c:pt>
                <c:pt idx="434">
                  <c:v>Jan 30, 2025</c:v>
                </c:pt>
                <c:pt idx="435">
                  <c:v>Jan 29, 2025</c:v>
                </c:pt>
                <c:pt idx="436">
                  <c:v>Jan 28, 2025</c:v>
                </c:pt>
                <c:pt idx="437">
                  <c:v>Jan 27, 2025</c:v>
                </c:pt>
                <c:pt idx="438">
                  <c:v>Jan 24, 2025</c:v>
                </c:pt>
                <c:pt idx="439">
                  <c:v>Jan 23, 2025</c:v>
                </c:pt>
                <c:pt idx="440">
                  <c:v>Jan 22, 2025</c:v>
                </c:pt>
                <c:pt idx="441">
                  <c:v>Jan 21, 2025</c:v>
                </c:pt>
                <c:pt idx="442">
                  <c:v>Jan 17, 2025</c:v>
                </c:pt>
                <c:pt idx="443">
                  <c:v>Jan 16, 2025</c:v>
                </c:pt>
                <c:pt idx="444">
                  <c:v>Jan 15, 2025</c:v>
                </c:pt>
                <c:pt idx="445">
                  <c:v>Jan 14, 2025</c:v>
                </c:pt>
                <c:pt idx="446">
                  <c:v>Jan 13, 2025</c:v>
                </c:pt>
                <c:pt idx="447">
                  <c:v>Jan 10, 2025</c:v>
                </c:pt>
                <c:pt idx="448">
                  <c:v>Jan 08, 2025</c:v>
                </c:pt>
                <c:pt idx="449">
                  <c:v>Jan 07, 2025</c:v>
                </c:pt>
                <c:pt idx="450">
                  <c:v>Jan 06, 2025</c:v>
                </c:pt>
                <c:pt idx="451">
                  <c:v>Jan 03, 2025</c:v>
                </c:pt>
                <c:pt idx="452">
                  <c:v>Jan 02, 2025</c:v>
                </c:pt>
                <c:pt idx="453">
                  <c:v>Dec 31, 2024</c:v>
                </c:pt>
                <c:pt idx="454">
                  <c:v>Dec 30, 2024</c:v>
                </c:pt>
                <c:pt idx="455">
                  <c:v>Dec 27, 2024</c:v>
                </c:pt>
                <c:pt idx="456">
                  <c:v>Dec 26, 2024</c:v>
                </c:pt>
                <c:pt idx="457">
                  <c:v>Dec 24, 2024</c:v>
                </c:pt>
                <c:pt idx="458">
                  <c:v>Dec 23, 2024</c:v>
                </c:pt>
                <c:pt idx="459">
                  <c:v>Dec 20, 2024</c:v>
                </c:pt>
                <c:pt idx="460">
                  <c:v>Dec 19, 2024</c:v>
                </c:pt>
                <c:pt idx="461">
                  <c:v>Dec 18, 2024</c:v>
                </c:pt>
                <c:pt idx="462">
                  <c:v>Dec 17, 2024</c:v>
                </c:pt>
                <c:pt idx="463">
                  <c:v>Dec 16, 2024</c:v>
                </c:pt>
                <c:pt idx="464">
                  <c:v>Dec 13, 2024</c:v>
                </c:pt>
                <c:pt idx="465">
                  <c:v>Dec 12, 2024</c:v>
                </c:pt>
                <c:pt idx="466">
                  <c:v>Dec 11, 2024</c:v>
                </c:pt>
                <c:pt idx="467">
                  <c:v>Dec 10, 2024</c:v>
                </c:pt>
                <c:pt idx="468">
                  <c:v>Dec 09, 2024</c:v>
                </c:pt>
                <c:pt idx="469">
                  <c:v>Dec 06, 2024</c:v>
                </c:pt>
                <c:pt idx="470">
                  <c:v>Dec 05, 2024</c:v>
                </c:pt>
                <c:pt idx="471">
                  <c:v>Dec 04, 2024</c:v>
                </c:pt>
                <c:pt idx="472">
                  <c:v>Dec 03, 2024</c:v>
                </c:pt>
                <c:pt idx="473">
                  <c:v>Dec 02, 2024</c:v>
                </c:pt>
                <c:pt idx="474">
                  <c:v>Nov 29, 2024</c:v>
                </c:pt>
                <c:pt idx="475">
                  <c:v>Nov 27, 2024</c:v>
                </c:pt>
                <c:pt idx="476">
                  <c:v>Nov 26, 2024</c:v>
                </c:pt>
                <c:pt idx="477">
                  <c:v>Nov 25, 2024</c:v>
                </c:pt>
                <c:pt idx="478">
                  <c:v>Nov 22, 2024</c:v>
                </c:pt>
                <c:pt idx="479">
                  <c:v>Nov 21, 2024</c:v>
                </c:pt>
                <c:pt idx="480">
                  <c:v>Nov 20, 2024</c:v>
                </c:pt>
                <c:pt idx="481">
                  <c:v>Nov 19, 2024</c:v>
                </c:pt>
                <c:pt idx="482">
                  <c:v>Nov 18, 2024</c:v>
                </c:pt>
                <c:pt idx="483">
                  <c:v>Nov 15, 2024</c:v>
                </c:pt>
                <c:pt idx="484">
                  <c:v>Nov 14, 2024</c:v>
                </c:pt>
                <c:pt idx="485">
                  <c:v>Nov 13, 2024</c:v>
                </c:pt>
                <c:pt idx="486">
                  <c:v>Nov 12, 2024</c:v>
                </c:pt>
                <c:pt idx="487">
                  <c:v>Nov 11, 2024</c:v>
                </c:pt>
                <c:pt idx="488">
                  <c:v>Nov 08, 2024</c:v>
                </c:pt>
                <c:pt idx="489">
                  <c:v>Nov 07, 2024</c:v>
                </c:pt>
                <c:pt idx="490">
                  <c:v>Nov 06, 2024</c:v>
                </c:pt>
                <c:pt idx="491">
                  <c:v>Nov 05, 2024</c:v>
                </c:pt>
                <c:pt idx="492">
                  <c:v>Nov 04, 2024</c:v>
                </c:pt>
                <c:pt idx="493">
                  <c:v>Nov 01, 2024</c:v>
                </c:pt>
                <c:pt idx="494">
                  <c:v>Oct 31, 2024</c:v>
                </c:pt>
                <c:pt idx="495">
                  <c:v>Oct 30, 2024</c:v>
                </c:pt>
                <c:pt idx="496">
                  <c:v>Oct 29, 2024</c:v>
                </c:pt>
                <c:pt idx="497">
                  <c:v>Oct 28, 2024</c:v>
                </c:pt>
                <c:pt idx="498">
                  <c:v>Oct 25, 2024</c:v>
                </c:pt>
                <c:pt idx="499">
                  <c:v>Oct 24, 2024</c:v>
                </c:pt>
                <c:pt idx="500">
                  <c:v>Oct 23, 2024</c:v>
                </c:pt>
                <c:pt idx="501">
                  <c:v>Oct 22, 2024</c:v>
                </c:pt>
                <c:pt idx="502">
                  <c:v>Oct 21, 2024</c:v>
                </c:pt>
                <c:pt idx="503">
                  <c:v>Oct 18, 2024</c:v>
                </c:pt>
                <c:pt idx="504">
                  <c:v>Oct 17, 2024</c:v>
                </c:pt>
                <c:pt idx="505">
                  <c:v>Oct 16, 2024</c:v>
                </c:pt>
                <c:pt idx="506">
                  <c:v>Oct 15, 2024</c:v>
                </c:pt>
                <c:pt idx="507">
                  <c:v>Oct 14, 2024</c:v>
                </c:pt>
                <c:pt idx="508">
                  <c:v>Oct 11, 2024</c:v>
                </c:pt>
                <c:pt idx="509">
                  <c:v>Oct 10, 2024</c:v>
                </c:pt>
                <c:pt idx="510">
                  <c:v>Oct 09, 2024</c:v>
                </c:pt>
                <c:pt idx="511">
                  <c:v>Oct 08, 2024</c:v>
                </c:pt>
                <c:pt idx="512">
                  <c:v>Oct 07, 2024</c:v>
                </c:pt>
                <c:pt idx="513">
                  <c:v>Oct 04, 2024</c:v>
                </c:pt>
                <c:pt idx="514">
                  <c:v>Oct 03, 2024</c:v>
                </c:pt>
                <c:pt idx="515">
                  <c:v>Oct 02, 2024</c:v>
                </c:pt>
                <c:pt idx="516">
                  <c:v>Oct 01, 2024</c:v>
                </c:pt>
                <c:pt idx="517">
                  <c:v>Sep 30, 2024</c:v>
                </c:pt>
                <c:pt idx="518">
                  <c:v>Sep 27, 2024</c:v>
                </c:pt>
                <c:pt idx="519">
                  <c:v>Sep 26, 2024</c:v>
                </c:pt>
                <c:pt idx="520">
                  <c:v>Sep 25, 2024</c:v>
                </c:pt>
                <c:pt idx="521">
                  <c:v>Sep 24, 2024</c:v>
                </c:pt>
                <c:pt idx="522">
                  <c:v>Sep 23, 2024</c:v>
                </c:pt>
                <c:pt idx="523">
                  <c:v>Sep 20, 2024</c:v>
                </c:pt>
                <c:pt idx="524">
                  <c:v>Sep 19, 2024</c:v>
                </c:pt>
                <c:pt idx="525">
                  <c:v>Sep 18, 2024</c:v>
                </c:pt>
                <c:pt idx="526">
                  <c:v>Sep 17, 2024</c:v>
                </c:pt>
                <c:pt idx="527">
                  <c:v>Sep 16, 2024</c:v>
                </c:pt>
                <c:pt idx="528">
                  <c:v>Sep 13, 2024</c:v>
                </c:pt>
                <c:pt idx="529">
                  <c:v>Sep 12, 2024</c:v>
                </c:pt>
                <c:pt idx="530">
                  <c:v>Sep 11, 2024</c:v>
                </c:pt>
                <c:pt idx="531">
                  <c:v>Sep 10, 2024</c:v>
                </c:pt>
                <c:pt idx="532">
                  <c:v>Sep 09, 2024</c:v>
                </c:pt>
                <c:pt idx="533">
                  <c:v>Sep 06, 2024</c:v>
                </c:pt>
                <c:pt idx="534">
                  <c:v>Sep 05, 2024</c:v>
                </c:pt>
                <c:pt idx="535">
                  <c:v>Sep 04, 2024</c:v>
                </c:pt>
                <c:pt idx="536">
                  <c:v>Sep 03, 2024</c:v>
                </c:pt>
                <c:pt idx="537">
                  <c:v>Aug 30, 2024</c:v>
                </c:pt>
                <c:pt idx="538">
                  <c:v>Aug 29, 2024</c:v>
                </c:pt>
                <c:pt idx="539">
                  <c:v>Aug 28, 2024</c:v>
                </c:pt>
                <c:pt idx="540">
                  <c:v>Aug 27, 2024</c:v>
                </c:pt>
                <c:pt idx="541">
                  <c:v>Aug 26, 2024</c:v>
                </c:pt>
                <c:pt idx="542">
                  <c:v>Aug 23, 2024</c:v>
                </c:pt>
                <c:pt idx="543">
                  <c:v>Aug 22, 2024</c:v>
                </c:pt>
                <c:pt idx="544">
                  <c:v>Aug 21, 2024</c:v>
                </c:pt>
                <c:pt idx="545">
                  <c:v>Aug 20, 2024</c:v>
                </c:pt>
                <c:pt idx="546">
                  <c:v>Aug 19, 2024</c:v>
                </c:pt>
                <c:pt idx="547">
                  <c:v>Aug 16, 2024</c:v>
                </c:pt>
                <c:pt idx="548">
                  <c:v>Aug 15, 2024</c:v>
                </c:pt>
                <c:pt idx="549">
                  <c:v>Aug 14, 2024</c:v>
                </c:pt>
                <c:pt idx="550">
                  <c:v>Aug 13, 2024</c:v>
                </c:pt>
                <c:pt idx="551">
                  <c:v>Aug 12, 2024</c:v>
                </c:pt>
                <c:pt idx="552">
                  <c:v>Aug 09, 2024</c:v>
                </c:pt>
                <c:pt idx="553">
                  <c:v>Aug 08, 2024</c:v>
                </c:pt>
                <c:pt idx="554">
                  <c:v>Aug 07, 2024</c:v>
                </c:pt>
                <c:pt idx="555">
                  <c:v>Aug 06, 2024</c:v>
                </c:pt>
                <c:pt idx="556">
                  <c:v>Aug 05, 2024</c:v>
                </c:pt>
                <c:pt idx="557">
                  <c:v>Aug 02, 2024</c:v>
                </c:pt>
                <c:pt idx="558">
                  <c:v>Aug 01, 2024</c:v>
                </c:pt>
                <c:pt idx="559">
                  <c:v>Jul 31, 2024</c:v>
                </c:pt>
                <c:pt idx="560">
                  <c:v>Jul 30, 2024</c:v>
                </c:pt>
                <c:pt idx="561">
                  <c:v>Jul 29, 2024</c:v>
                </c:pt>
                <c:pt idx="562">
                  <c:v>Jul 26, 2024</c:v>
                </c:pt>
                <c:pt idx="563">
                  <c:v>Jul 25, 2024</c:v>
                </c:pt>
                <c:pt idx="564">
                  <c:v>Jul 24, 2024</c:v>
                </c:pt>
                <c:pt idx="565">
                  <c:v>Jul 23, 2024</c:v>
                </c:pt>
                <c:pt idx="566">
                  <c:v>Jul 22, 2024</c:v>
                </c:pt>
                <c:pt idx="567">
                  <c:v>Jul 19, 2024</c:v>
                </c:pt>
                <c:pt idx="568">
                  <c:v>Jul 18, 2024</c:v>
                </c:pt>
                <c:pt idx="569">
                  <c:v>Jul 17, 2024</c:v>
                </c:pt>
                <c:pt idx="570">
                  <c:v>Jul 16, 2024</c:v>
                </c:pt>
                <c:pt idx="571">
                  <c:v>Jul 15, 2024</c:v>
                </c:pt>
                <c:pt idx="572">
                  <c:v>Jul 12, 2024</c:v>
                </c:pt>
                <c:pt idx="573">
                  <c:v>Jul 11, 2024</c:v>
                </c:pt>
                <c:pt idx="574">
                  <c:v>Jul 10, 2024</c:v>
                </c:pt>
                <c:pt idx="575">
                  <c:v>Jul 09, 2024</c:v>
                </c:pt>
                <c:pt idx="576">
                  <c:v>Jul 08, 2024</c:v>
                </c:pt>
                <c:pt idx="577">
                  <c:v>Jul 05, 2024</c:v>
                </c:pt>
                <c:pt idx="578">
                  <c:v>Jul 03, 2024</c:v>
                </c:pt>
                <c:pt idx="579">
                  <c:v>Jul 02, 2024</c:v>
                </c:pt>
                <c:pt idx="580">
                  <c:v>Jul 01, 2024</c:v>
                </c:pt>
                <c:pt idx="581">
                  <c:v>Jun 28, 2024</c:v>
                </c:pt>
                <c:pt idx="582">
                  <c:v>Jun 27, 2024</c:v>
                </c:pt>
                <c:pt idx="583">
                  <c:v>Jun 26, 2024</c:v>
                </c:pt>
                <c:pt idx="584">
                  <c:v>Jun 25, 2024</c:v>
                </c:pt>
                <c:pt idx="585">
                  <c:v>Jun 24, 2024</c:v>
                </c:pt>
                <c:pt idx="586">
                  <c:v>Jun 21, 2024</c:v>
                </c:pt>
                <c:pt idx="587">
                  <c:v>Jun 20, 2024</c:v>
                </c:pt>
                <c:pt idx="588">
                  <c:v>Jun 18, 2024</c:v>
                </c:pt>
                <c:pt idx="589">
                  <c:v>Jun 17, 2024</c:v>
                </c:pt>
                <c:pt idx="590">
                  <c:v>Jun 14, 2024</c:v>
                </c:pt>
                <c:pt idx="591">
                  <c:v>Jun 13, 2024</c:v>
                </c:pt>
                <c:pt idx="592">
                  <c:v>Jun 12, 2024</c:v>
                </c:pt>
                <c:pt idx="593">
                  <c:v>Jun 11, 2024</c:v>
                </c:pt>
                <c:pt idx="594">
                  <c:v>Jun 10, 2024</c:v>
                </c:pt>
                <c:pt idx="595">
                  <c:v>Jun 07, 2024</c:v>
                </c:pt>
                <c:pt idx="596">
                  <c:v>Jun 06, 2024</c:v>
                </c:pt>
                <c:pt idx="597">
                  <c:v>Jun 05, 2024</c:v>
                </c:pt>
                <c:pt idx="598">
                  <c:v>Jun 04, 2024</c:v>
                </c:pt>
                <c:pt idx="599">
                  <c:v>Jun 03, 2024</c:v>
                </c:pt>
                <c:pt idx="600">
                  <c:v>May 31, 2024</c:v>
                </c:pt>
                <c:pt idx="601">
                  <c:v>May 30, 2024</c:v>
                </c:pt>
                <c:pt idx="602">
                  <c:v>May 29, 2024</c:v>
                </c:pt>
                <c:pt idx="603">
                  <c:v>May 28, 2024</c:v>
                </c:pt>
                <c:pt idx="604">
                  <c:v>May 24, 2024</c:v>
                </c:pt>
                <c:pt idx="605">
                  <c:v>May 23, 2024</c:v>
                </c:pt>
                <c:pt idx="606">
                  <c:v>May 22, 2024</c:v>
                </c:pt>
                <c:pt idx="607">
                  <c:v>May 21, 2024</c:v>
                </c:pt>
                <c:pt idx="608">
                  <c:v>May 20, 2024</c:v>
                </c:pt>
                <c:pt idx="609">
                  <c:v>May 17, 2024</c:v>
                </c:pt>
                <c:pt idx="610">
                  <c:v>May 16, 2024</c:v>
                </c:pt>
                <c:pt idx="611">
                  <c:v>May 15, 2024</c:v>
                </c:pt>
                <c:pt idx="612">
                  <c:v>May 14, 2024</c:v>
                </c:pt>
                <c:pt idx="613">
                  <c:v>May 13, 2024</c:v>
                </c:pt>
                <c:pt idx="614">
                  <c:v>May 10, 2024</c:v>
                </c:pt>
                <c:pt idx="615">
                  <c:v>May 09, 2024</c:v>
                </c:pt>
                <c:pt idx="616">
                  <c:v>May 08, 2024</c:v>
                </c:pt>
                <c:pt idx="617">
                  <c:v>May 07, 2024</c:v>
                </c:pt>
                <c:pt idx="618">
                  <c:v>May 06, 2024</c:v>
                </c:pt>
                <c:pt idx="619">
                  <c:v>May 03, 2024</c:v>
                </c:pt>
                <c:pt idx="620">
                  <c:v>May 02, 2024</c:v>
                </c:pt>
                <c:pt idx="621">
                  <c:v>May 01, 2024</c:v>
                </c:pt>
                <c:pt idx="622">
                  <c:v>Apr 30, 2024</c:v>
                </c:pt>
                <c:pt idx="623">
                  <c:v>Apr 29, 2024</c:v>
                </c:pt>
                <c:pt idx="624">
                  <c:v>Apr 26, 2024</c:v>
                </c:pt>
                <c:pt idx="625">
                  <c:v>Apr 25, 2024</c:v>
                </c:pt>
                <c:pt idx="626">
                  <c:v>Apr 24, 2024</c:v>
                </c:pt>
                <c:pt idx="627">
                  <c:v>Apr 23, 2024</c:v>
                </c:pt>
                <c:pt idx="628">
                  <c:v>Apr 22, 2024</c:v>
                </c:pt>
                <c:pt idx="629">
                  <c:v>Apr 19, 2024</c:v>
                </c:pt>
                <c:pt idx="630">
                  <c:v>Apr 18, 2024</c:v>
                </c:pt>
                <c:pt idx="631">
                  <c:v>Apr 17, 2024</c:v>
                </c:pt>
                <c:pt idx="632">
                  <c:v>Apr 16, 2024</c:v>
                </c:pt>
                <c:pt idx="633">
                  <c:v>Apr 15, 2024</c:v>
                </c:pt>
                <c:pt idx="634">
                  <c:v>Apr 12, 2024</c:v>
                </c:pt>
                <c:pt idx="635">
                  <c:v>Apr 11, 2024</c:v>
                </c:pt>
                <c:pt idx="636">
                  <c:v>Apr 10, 2024</c:v>
                </c:pt>
                <c:pt idx="637">
                  <c:v>Apr 09, 2024</c:v>
                </c:pt>
                <c:pt idx="638">
                  <c:v>Apr 08, 2024</c:v>
                </c:pt>
                <c:pt idx="639">
                  <c:v>Apr 05, 2024</c:v>
                </c:pt>
                <c:pt idx="640">
                  <c:v>Apr 04, 2024</c:v>
                </c:pt>
                <c:pt idx="641">
                  <c:v>Apr 03, 2024</c:v>
                </c:pt>
                <c:pt idx="642">
                  <c:v>Apr 02, 2024</c:v>
                </c:pt>
                <c:pt idx="643">
                  <c:v>Apr 01, 2024</c:v>
                </c:pt>
                <c:pt idx="644">
                  <c:v>Mar 28, 2024</c:v>
                </c:pt>
                <c:pt idx="645">
                  <c:v>Mar 27, 2024</c:v>
                </c:pt>
                <c:pt idx="646">
                  <c:v>Mar 26, 2024</c:v>
                </c:pt>
                <c:pt idx="647">
                  <c:v>Mar 25, 2024</c:v>
                </c:pt>
                <c:pt idx="648">
                  <c:v>Mar 22, 2024</c:v>
                </c:pt>
                <c:pt idx="649">
                  <c:v>Mar 21, 2024</c:v>
                </c:pt>
                <c:pt idx="650">
                  <c:v>Mar 20, 2024</c:v>
                </c:pt>
                <c:pt idx="651">
                  <c:v>Mar 19, 2024</c:v>
                </c:pt>
                <c:pt idx="652">
                  <c:v>Mar 18, 2024</c:v>
                </c:pt>
                <c:pt idx="653">
                  <c:v>Mar 15, 2024</c:v>
                </c:pt>
                <c:pt idx="654">
                  <c:v>Mar 14, 2024</c:v>
                </c:pt>
                <c:pt idx="655">
                  <c:v>Mar 13, 2024</c:v>
                </c:pt>
                <c:pt idx="656">
                  <c:v>Mar 12, 2024</c:v>
                </c:pt>
                <c:pt idx="657">
                  <c:v>Mar 11, 2024</c:v>
                </c:pt>
                <c:pt idx="658">
                  <c:v>Mar 08, 2024</c:v>
                </c:pt>
                <c:pt idx="659">
                  <c:v>Mar 07, 2024</c:v>
                </c:pt>
                <c:pt idx="660">
                  <c:v>Mar 06, 2024</c:v>
                </c:pt>
                <c:pt idx="661">
                  <c:v>Mar 05, 2024</c:v>
                </c:pt>
                <c:pt idx="662">
                  <c:v>Mar 04, 2024</c:v>
                </c:pt>
                <c:pt idx="663">
                  <c:v>Mar 01, 2024</c:v>
                </c:pt>
                <c:pt idx="664">
                  <c:v>Feb 29, 2024</c:v>
                </c:pt>
                <c:pt idx="665">
                  <c:v>Feb 28, 2024</c:v>
                </c:pt>
                <c:pt idx="666">
                  <c:v>Feb 27, 2024</c:v>
                </c:pt>
                <c:pt idx="667">
                  <c:v>Feb 26, 2024</c:v>
                </c:pt>
                <c:pt idx="668">
                  <c:v>Feb 23, 2024</c:v>
                </c:pt>
                <c:pt idx="669">
                  <c:v>Feb 22, 2024</c:v>
                </c:pt>
                <c:pt idx="670">
                  <c:v>Feb 21, 2024</c:v>
                </c:pt>
                <c:pt idx="671">
                  <c:v>Feb 20, 2024</c:v>
                </c:pt>
                <c:pt idx="672">
                  <c:v>Feb 16, 2024</c:v>
                </c:pt>
                <c:pt idx="673">
                  <c:v>Feb 15, 2024</c:v>
                </c:pt>
                <c:pt idx="674">
                  <c:v>Feb 14, 2024</c:v>
                </c:pt>
                <c:pt idx="675">
                  <c:v>Feb 13, 2024</c:v>
                </c:pt>
                <c:pt idx="676">
                  <c:v>Feb 12, 2024</c:v>
                </c:pt>
                <c:pt idx="677">
                  <c:v>Feb 09, 2024</c:v>
                </c:pt>
                <c:pt idx="678">
                  <c:v>Feb 08, 2024</c:v>
                </c:pt>
                <c:pt idx="679">
                  <c:v>Feb 07, 2024</c:v>
                </c:pt>
                <c:pt idx="680">
                  <c:v>Feb 06, 2024</c:v>
                </c:pt>
                <c:pt idx="681">
                  <c:v>Feb 05, 2024</c:v>
                </c:pt>
                <c:pt idx="682">
                  <c:v>Feb 02, 2024</c:v>
                </c:pt>
                <c:pt idx="683">
                  <c:v>Feb 01, 2024</c:v>
                </c:pt>
                <c:pt idx="684">
                  <c:v>Jan 31, 2024</c:v>
                </c:pt>
                <c:pt idx="685">
                  <c:v>Jan 30, 2024</c:v>
                </c:pt>
                <c:pt idx="686">
                  <c:v>Jan 29, 2024</c:v>
                </c:pt>
                <c:pt idx="687">
                  <c:v>Jan 26, 2024</c:v>
                </c:pt>
                <c:pt idx="688">
                  <c:v>Jan 25, 2024</c:v>
                </c:pt>
                <c:pt idx="689">
                  <c:v>Jan 24, 2024</c:v>
                </c:pt>
                <c:pt idx="690">
                  <c:v>Jan 23, 2024</c:v>
                </c:pt>
                <c:pt idx="691">
                  <c:v>Jan 22, 2024</c:v>
                </c:pt>
                <c:pt idx="692">
                  <c:v>Jan 19, 2024</c:v>
                </c:pt>
                <c:pt idx="693">
                  <c:v>Jan 18, 2024</c:v>
                </c:pt>
                <c:pt idx="694">
                  <c:v>Jan 17, 2024</c:v>
                </c:pt>
                <c:pt idx="695">
                  <c:v>Jan 16, 2024</c:v>
                </c:pt>
                <c:pt idx="696">
                  <c:v>Jan 12, 2024</c:v>
                </c:pt>
                <c:pt idx="697">
                  <c:v>Jan 11, 2024</c:v>
                </c:pt>
                <c:pt idx="698">
                  <c:v>Jan 10, 2024</c:v>
                </c:pt>
                <c:pt idx="699">
                  <c:v>Jan 09, 2024</c:v>
                </c:pt>
                <c:pt idx="700">
                  <c:v>Jan 08, 2024</c:v>
                </c:pt>
                <c:pt idx="701">
                  <c:v>Jan 05, 2024</c:v>
                </c:pt>
                <c:pt idx="702">
                  <c:v>Jan 04, 2024</c:v>
                </c:pt>
                <c:pt idx="703">
                  <c:v>Jan 03, 2024</c:v>
                </c:pt>
                <c:pt idx="704">
                  <c:v>Jan 02, 2024</c:v>
                </c:pt>
                <c:pt idx="705">
                  <c:v>Dec 29, 2023</c:v>
                </c:pt>
                <c:pt idx="706">
                  <c:v>Dec 28, 2023</c:v>
                </c:pt>
                <c:pt idx="707">
                  <c:v>Dec 27, 2023</c:v>
                </c:pt>
                <c:pt idx="708">
                  <c:v>Dec 26, 2023</c:v>
                </c:pt>
                <c:pt idx="709">
                  <c:v>Dec 22, 2023</c:v>
                </c:pt>
                <c:pt idx="710">
                  <c:v>Dec 21, 2023</c:v>
                </c:pt>
                <c:pt idx="711">
                  <c:v>Dec 20, 2023</c:v>
                </c:pt>
                <c:pt idx="712">
                  <c:v>Dec 19, 2023</c:v>
                </c:pt>
                <c:pt idx="713">
                  <c:v>Dec 18, 2023</c:v>
                </c:pt>
                <c:pt idx="714">
                  <c:v>Dec 15, 2023</c:v>
                </c:pt>
                <c:pt idx="715">
                  <c:v>Dec 14, 2023</c:v>
                </c:pt>
                <c:pt idx="716">
                  <c:v>Dec 13, 2023</c:v>
                </c:pt>
                <c:pt idx="717">
                  <c:v>Dec 12, 2023</c:v>
                </c:pt>
                <c:pt idx="718">
                  <c:v>Dec 11, 2023</c:v>
                </c:pt>
                <c:pt idx="719">
                  <c:v>Dec 08, 2023</c:v>
                </c:pt>
                <c:pt idx="720">
                  <c:v>Dec 07, 2023</c:v>
                </c:pt>
                <c:pt idx="721">
                  <c:v>Dec 06, 2023</c:v>
                </c:pt>
                <c:pt idx="722">
                  <c:v>Dec 05, 2023</c:v>
                </c:pt>
                <c:pt idx="723">
                  <c:v>Dec 04, 2023</c:v>
                </c:pt>
                <c:pt idx="724">
                  <c:v>Dec 01, 2023</c:v>
                </c:pt>
                <c:pt idx="725">
                  <c:v>Nov 30, 2023</c:v>
                </c:pt>
                <c:pt idx="726">
                  <c:v>Nov 29, 2023</c:v>
                </c:pt>
                <c:pt idx="727">
                  <c:v>Nov 28, 2023</c:v>
                </c:pt>
                <c:pt idx="728">
                  <c:v>Nov 27, 2023</c:v>
                </c:pt>
                <c:pt idx="729">
                  <c:v>Nov 24, 2023</c:v>
                </c:pt>
                <c:pt idx="730">
                  <c:v>Nov 22, 2023</c:v>
                </c:pt>
                <c:pt idx="731">
                  <c:v>Nov 21, 2023</c:v>
                </c:pt>
                <c:pt idx="732">
                  <c:v>Nov 20, 2023</c:v>
                </c:pt>
                <c:pt idx="733">
                  <c:v>Nov 17, 2023</c:v>
                </c:pt>
                <c:pt idx="734">
                  <c:v>Nov 16, 2023</c:v>
                </c:pt>
                <c:pt idx="735">
                  <c:v>Nov 15, 2023</c:v>
                </c:pt>
                <c:pt idx="736">
                  <c:v>Nov 14, 2023</c:v>
                </c:pt>
                <c:pt idx="737">
                  <c:v>Nov 13, 2023</c:v>
                </c:pt>
                <c:pt idx="738">
                  <c:v>Nov 10, 2023</c:v>
                </c:pt>
                <c:pt idx="739">
                  <c:v>Nov 09, 2023</c:v>
                </c:pt>
                <c:pt idx="740">
                  <c:v>Nov 08, 2023</c:v>
                </c:pt>
                <c:pt idx="741">
                  <c:v>Nov 07, 2023</c:v>
                </c:pt>
                <c:pt idx="742">
                  <c:v>Nov 06, 2023</c:v>
                </c:pt>
                <c:pt idx="743">
                  <c:v>Nov 03, 2023</c:v>
                </c:pt>
                <c:pt idx="744">
                  <c:v>Nov 02, 2023</c:v>
                </c:pt>
                <c:pt idx="745">
                  <c:v>Nov 01, 2023</c:v>
                </c:pt>
                <c:pt idx="746">
                  <c:v>Oct 31, 2023</c:v>
                </c:pt>
                <c:pt idx="747">
                  <c:v>Oct 30, 2023</c:v>
                </c:pt>
                <c:pt idx="748">
                  <c:v>Oct 27, 2023</c:v>
                </c:pt>
                <c:pt idx="749">
                  <c:v>Oct 26, 2023</c:v>
                </c:pt>
                <c:pt idx="750">
                  <c:v>Oct 25, 2023</c:v>
                </c:pt>
                <c:pt idx="751">
                  <c:v>Oct 24, 2023</c:v>
                </c:pt>
                <c:pt idx="752">
                  <c:v>Oct 23, 2023</c:v>
                </c:pt>
                <c:pt idx="753">
                  <c:v>Oct 20, 2023</c:v>
                </c:pt>
                <c:pt idx="754">
                  <c:v>Oct 19, 2023</c:v>
                </c:pt>
                <c:pt idx="755">
                  <c:v>Oct 18, 2023</c:v>
                </c:pt>
                <c:pt idx="756">
                  <c:v>Oct 17, 2023</c:v>
                </c:pt>
                <c:pt idx="757">
                  <c:v>Oct 16, 2023</c:v>
                </c:pt>
                <c:pt idx="758">
                  <c:v>Oct 13, 2023</c:v>
                </c:pt>
                <c:pt idx="759">
                  <c:v>Oct 12, 2023</c:v>
                </c:pt>
                <c:pt idx="760">
                  <c:v>Oct 11, 2023</c:v>
                </c:pt>
                <c:pt idx="761">
                  <c:v>Oct 10, 2023</c:v>
                </c:pt>
                <c:pt idx="762">
                  <c:v>Oct 09, 2023</c:v>
                </c:pt>
                <c:pt idx="763">
                  <c:v>Oct 06, 2023</c:v>
                </c:pt>
                <c:pt idx="764">
                  <c:v>Oct 05, 2023</c:v>
                </c:pt>
                <c:pt idx="765">
                  <c:v>Oct 04, 2023</c:v>
                </c:pt>
                <c:pt idx="766">
                  <c:v>Oct 03, 2023</c:v>
                </c:pt>
                <c:pt idx="767">
                  <c:v>Oct 02, 2023</c:v>
                </c:pt>
                <c:pt idx="768">
                  <c:v>Sep 29, 2023</c:v>
                </c:pt>
                <c:pt idx="769">
                  <c:v>Sep 28, 2023</c:v>
                </c:pt>
                <c:pt idx="770">
                  <c:v>Sep 27, 2023</c:v>
                </c:pt>
                <c:pt idx="771">
                  <c:v>Sep 26, 2023</c:v>
                </c:pt>
                <c:pt idx="772">
                  <c:v>Sep 25, 2023</c:v>
                </c:pt>
                <c:pt idx="773">
                  <c:v>Sep 22, 2023</c:v>
                </c:pt>
                <c:pt idx="774">
                  <c:v>Sep 21, 2023</c:v>
                </c:pt>
                <c:pt idx="775">
                  <c:v>Sep 20, 2023</c:v>
                </c:pt>
                <c:pt idx="776">
                  <c:v>Sep 19, 2023</c:v>
                </c:pt>
                <c:pt idx="777">
                  <c:v>Sep 18, 2023</c:v>
                </c:pt>
                <c:pt idx="778">
                  <c:v>Sep 15, 2023</c:v>
                </c:pt>
                <c:pt idx="779">
                  <c:v>Sep 14, 2023</c:v>
                </c:pt>
                <c:pt idx="780">
                  <c:v>Sep 13, 2023</c:v>
                </c:pt>
                <c:pt idx="781">
                  <c:v>Sep 12, 2023</c:v>
                </c:pt>
                <c:pt idx="782">
                  <c:v>Sep 11, 2023</c:v>
                </c:pt>
                <c:pt idx="783">
                  <c:v>Sep 08, 2023</c:v>
                </c:pt>
                <c:pt idx="784">
                  <c:v>Sep 07, 2023</c:v>
                </c:pt>
                <c:pt idx="785">
                  <c:v>Sep 06, 2023</c:v>
                </c:pt>
                <c:pt idx="786">
                  <c:v>Sep 05, 2023</c:v>
                </c:pt>
                <c:pt idx="787">
                  <c:v>Sep 01, 2023</c:v>
                </c:pt>
                <c:pt idx="788">
                  <c:v>Aug 31, 2023</c:v>
                </c:pt>
                <c:pt idx="789">
                  <c:v>Aug 30, 2023</c:v>
                </c:pt>
                <c:pt idx="790">
                  <c:v>Aug 29, 2023</c:v>
                </c:pt>
                <c:pt idx="791">
                  <c:v>Aug 28, 2023</c:v>
                </c:pt>
                <c:pt idx="792">
                  <c:v>Aug 25, 2023</c:v>
                </c:pt>
                <c:pt idx="793">
                  <c:v>Aug 24, 2023</c:v>
                </c:pt>
                <c:pt idx="794">
                  <c:v>Aug 23, 2023</c:v>
                </c:pt>
                <c:pt idx="795">
                  <c:v>Aug 22, 2023</c:v>
                </c:pt>
                <c:pt idx="796">
                  <c:v>Aug 21, 2023</c:v>
                </c:pt>
                <c:pt idx="797">
                  <c:v>Aug 18, 2023</c:v>
                </c:pt>
                <c:pt idx="798">
                  <c:v>Aug 17, 2023</c:v>
                </c:pt>
                <c:pt idx="799">
                  <c:v>Aug 16, 2023</c:v>
                </c:pt>
                <c:pt idx="800">
                  <c:v>Aug 15, 2023</c:v>
                </c:pt>
                <c:pt idx="801">
                  <c:v>Aug 14, 2023</c:v>
                </c:pt>
                <c:pt idx="802">
                  <c:v>Aug 11, 2023</c:v>
                </c:pt>
                <c:pt idx="803">
                  <c:v>Aug 10, 2023</c:v>
                </c:pt>
                <c:pt idx="804">
                  <c:v>Aug 09, 2023</c:v>
                </c:pt>
                <c:pt idx="805">
                  <c:v>Aug 08, 2023</c:v>
                </c:pt>
                <c:pt idx="806">
                  <c:v>Aug 07, 2023</c:v>
                </c:pt>
                <c:pt idx="807">
                  <c:v>Aug 04, 2023</c:v>
                </c:pt>
                <c:pt idx="808">
                  <c:v>Aug 03, 2023</c:v>
                </c:pt>
                <c:pt idx="809">
                  <c:v>Aug 02, 2023</c:v>
                </c:pt>
                <c:pt idx="810">
                  <c:v>Aug 01, 2023</c:v>
                </c:pt>
                <c:pt idx="811">
                  <c:v>Jul 31, 2023</c:v>
                </c:pt>
                <c:pt idx="812">
                  <c:v>Jul 28, 2023</c:v>
                </c:pt>
                <c:pt idx="813">
                  <c:v>Jul 27, 2023</c:v>
                </c:pt>
                <c:pt idx="814">
                  <c:v>Jul 26, 2023</c:v>
                </c:pt>
                <c:pt idx="815">
                  <c:v>Jul 25, 2023</c:v>
                </c:pt>
                <c:pt idx="816">
                  <c:v>Jul 24, 2023</c:v>
                </c:pt>
                <c:pt idx="817">
                  <c:v>Jul 21, 2023</c:v>
                </c:pt>
                <c:pt idx="818">
                  <c:v>Jul 20, 2023</c:v>
                </c:pt>
                <c:pt idx="819">
                  <c:v>Jul 19, 2023</c:v>
                </c:pt>
                <c:pt idx="820">
                  <c:v>Jul 18, 2023</c:v>
                </c:pt>
                <c:pt idx="821">
                  <c:v>Jul 17, 2023</c:v>
                </c:pt>
                <c:pt idx="822">
                  <c:v>Jul 14, 2023</c:v>
                </c:pt>
                <c:pt idx="823">
                  <c:v>Jul 13, 2023</c:v>
                </c:pt>
                <c:pt idx="824">
                  <c:v>Jul 12, 2023</c:v>
                </c:pt>
                <c:pt idx="825">
                  <c:v>Jul 11, 2023</c:v>
                </c:pt>
                <c:pt idx="826">
                  <c:v>Jul 10, 2023</c:v>
                </c:pt>
                <c:pt idx="827">
                  <c:v>Jul 07, 2023</c:v>
                </c:pt>
                <c:pt idx="828">
                  <c:v>Jul 06, 2023</c:v>
                </c:pt>
                <c:pt idx="829">
                  <c:v>Jul 05, 2023</c:v>
                </c:pt>
                <c:pt idx="830">
                  <c:v>Jul 03, 2023</c:v>
                </c:pt>
                <c:pt idx="831">
                  <c:v>Jun 30, 2023</c:v>
                </c:pt>
                <c:pt idx="832">
                  <c:v>Jun 29, 2023</c:v>
                </c:pt>
                <c:pt idx="833">
                  <c:v>Jun 28, 2023</c:v>
                </c:pt>
                <c:pt idx="834">
                  <c:v>Jun 27, 2023</c:v>
                </c:pt>
                <c:pt idx="835">
                  <c:v>Jun 26, 2023</c:v>
                </c:pt>
                <c:pt idx="836">
                  <c:v>Jun 23, 2023</c:v>
                </c:pt>
                <c:pt idx="837">
                  <c:v>Jun 22, 2023</c:v>
                </c:pt>
                <c:pt idx="838">
                  <c:v>Jun 21, 2023</c:v>
                </c:pt>
                <c:pt idx="839">
                  <c:v>Jun 20, 2023</c:v>
                </c:pt>
                <c:pt idx="840">
                  <c:v>Jun 16, 2023</c:v>
                </c:pt>
                <c:pt idx="841">
                  <c:v>Jun 15, 2023</c:v>
                </c:pt>
                <c:pt idx="842">
                  <c:v>Jun 14, 2023</c:v>
                </c:pt>
                <c:pt idx="843">
                  <c:v>Jun 13, 2023</c:v>
                </c:pt>
                <c:pt idx="844">
                  <c:v>Jun 12, 2023</c:v>
                </c:pt>
                <c:pt idx="845">
                  <c:v>Jun 09, 2023</c:v>
                </c:pt>
                <c:pt idx="846">
                  <c:v>Jun 08, 2023</c:v>
                </c:pt>
                <c:pt idx="847">
                  <c:v>Jun 07, 2023</c:v>
                </c:pt>
                <c:pt idx="848">
                  <c:v>Jun 06, 2023</c:v>
                </c:pt>
                <c:pt idx="849">
                  <c:v>Jun 05, 2023</c:v>
                </c:pt>
                <c:pt idx="850">
                  <c:v>Jun 02, 2023</c:v>
                </c:pt>
                <c:pt idx="851">
                  <c:v>Jun 01, 2023</c:v>
                </c:pt>
                <c:pt idx="852">
                  <c:v>May 31, 2023</c:v>
                </c:pt>
                <c:pt idx="853">
                  <c:v>May 30, 2023</c:v>
                </c:pt>
                <c:pt idx="854">
                  <c:v>May 26, 2023</c:v>
                </c:pt>
                <c:pt idx="855">
                  <c:v>May 25, 2023</c:v>
                </c:pt>
                <c:pt idx="856">
                  <c:v>May 24, 2023</c:v>
                </c:pt>
                <c:pt idx="857">
                  <c:v>May 23, 2023</c:v>
                </c:pt>
                <c:pt idx="858">
                  <c:v>May 22, 2023</c:v>
                </c:pt>
                <c:pt idx="859">
                  <c:v>May 19, 2023</c:v>
                </c:pt>
                <c:pt idx="860">
                  <c:v>May 18, 2023</c:v>
                </c:pt>
                <c:pt idx="861">
                  <c:v>May 17, 2023</c:v>
                </c:pt>
                <c:pt idx="862">
                  <c:v>May 16, 2023</c:v>
                </c:pt>
                <c:pt idx="863">
                  <c:v>May 15, 2023</c:v>
                </c:pt>
                <c:pt idx="864">
                  <c:v>May 12, 2023</c:v>
                </c:pt>
                <c:pt idx="865">
                  <c:v>May 11, 2023</c:v>
                </c:pt>
                <c:pt idx="866">
                  <c:v>May 10, 2023</c:v>
                </c:pt>
                <c:pt idx="867">
                  <c:v>May 09, 2023</c:v>
                </c:pt>
                <c:pt idx="868">
                  <c:v>May 08, 2023</c:v>
                </c:pt>
                <c:pt idx="869">
                  <c:v>May 05, 2023</c:v>
                </c:pt>
                <c:pt idx="870">
                  <c:v>May 04, 2023</c:v>
                </c:pt>
                <c:pt idx="871">
                  <c:v>May 03, 2023</c:v>
                </c:pt>
                <c:pt idx="872">
                  <c:v>May 02, 2023</c:v>
                </c:pt>
                <c:pt idx="873">
                  <c:v>May 01, 2023</c:v>
                </c:pt>
                <c:pt idx="874">
                  <c:v>Apr 28, 2023</c:v>
                </c:pt>
                <c:pt idx="875">
                  <c:v>Apr 27, 2023</c:v>
                </c:pt>
                <c:pt idx="876">
                  <c:v>Apr 26, 2023</c:v>
                </c:pt>
                <c:pt idx="877">
                  <c:v>Apr 25, 2023</c:v>
                </c:pt>
                <c:pt idx="878">
                  <c:v>Apr 24, 2023</c:v>
                </c:pt>
                <c:pt idx="879">
                  <c:v>Apr 21, 2023</c:v>
                </c:pt>
                <c:pt idx="880">
                  <c:v>Apr 20, 2023</c:v>
                </c:pt>
                <c:pt idx="881">
                  <c:v>Apr 19, 2023</c:v>
                </c:pt>
                <c:pt idx="882">
                  <c:v>Apr 18, 2023</c:v>
                </c:pt>
                <c:pt idx="883">
                  <c:v>Apr 17, 2023</c:v>
                </c:pt>
                <c:pt idx="884">
                  <c:v>Apr 14, 2023</c:v>
                </c:pt>
                <c:pt idx="885">
                  <c:v>Apr 13, 2023</c:v>
                </c:pt>
                <c:pt idx="886">
                  <c:v>Apr 12, 2023</c:v>
                </c:pt>
                <c:pt idx="887">
                  <c:v>Apr 11, 2023</c:v>
                </c:pt>
                <c:pt idx="888">
                  <c:v>Apr 10, 2023</c:v>
                </c:pt>
                <c:pt idx="889">
                  <c:v>Apr 06, 2023</c:v>
                </c:pt>
                <c:pt idx="890">
                  <c:v>Apr 05, 2023</c:v>
                </c:pt>
                <c:pt idx="891">
                  <c:v>Apr 04, 2023</c:v>
                </c:pt>
                <c:pt idx="892">
                  <c:v>Apr 03, 2023</c:v>
                </c:pt>
                <c:pt idx="893">
                  <c:v>Mar 31, 2023</c:v>
                </c:pt>
                <c:pt idx="894">
                  <c:v>Mar 30, 2023</c:v>
                </c:pt>
                <c:pt idx="895">
                  <c:v>Mar 29, 2023</c:v>
                </c:pt>
                <c:pt idx="896">
                  <c:v>Mar 28, 2023</c:v>
                </c:pt>
                <c:pt idx="897">
                  <c:v>Mar 27, 2023</c:v>
                </c:pt>
                <c:pt idx="898">
                  <c:v>Mar 24, 2023</c:v>
                </c:pt>
                <c:pt idx="899">
                  <c:v>Mar 23, 2023</c:v>
                </c:pt>
                <c:pt idx="900">
                  <c:v>Mar 22, 2023</c:v>
                </c:pt>
                <c:pt idx="901">
                  <c:v>Mar 21, 2023</c:v>
                </c:pt>
                <c:pt idx="902">
                  <c:v>Mar 20, 2023</c:v>
                </c:pt>
                <c:pt idx="903">
                  <c:v>Mar 17, 2023</c:v>
                </c:pt>
                <c:pt idx="904">
                  <c:v>Mar 16, 2023</c:v>
                </c:pt>
                <c:pt idx="905">
                  <c:v>Mar 15, 2023</c:v>
                </c:pt>
                <c:pt idx="906">
                  <c:v>Mar 14, 2023</c:v>
                </c:pt>
                <c:pt idx="907">
                  <c:v>Mar 13, 2023</c:v>
                </c:pt>
                <c:pt idx="908">
                  <c:v>Mar 10, 2023</c:v>
                </c:pt>
                <c:pt idx="909">
                  <c:v>Mar 09, 2023</c:v>
                </c:pt>
                <c:pt idx="910">
                  <c:v>Mar 08, 2023</c:v>
                </c:pt>
                <c:pt idx="911">
                  <c:v>Mar 07, 2023</c:v>
                </c:pt>
                <c:pt idx="912">
                  <c:v>Mar 06, 2023</c:v>
                </c:pt>
                <c:pt idx="913">
                  <c:v>Mar 03, 2023</c:v>
                </c:pt>
                <c:pt idx="914">
                  <c:v>Mar 02, 2023</c:v>
                </c:pt>
                <c:pt idx="915">
                  <c:v>Mar 01, 2023</c:v>
                </c:pt>
                <c:pt idx="916">
                  <c:v>Feb 28, 2023</c:v>
                </c:pt>
                <c:pt idx="917">
                  <c:v>Feb 27, 2023</c:v>
                </c:pt>
                <c:pt idx="918">
                  <c:v>Feb 24, 2023</c:v>
                </c:pt>
                <c:pt idx="919">
                  <c:v>Feb 23, 2023</c:v>
                </c:pt>
                <c:pt idx="920">
                  <c:v>Feb 22, 2023</c:v>
                </c:pt>
                <c:pt idx="921">
                  <c:v>Feb 21, 2023</c:v>
                </c:pt>
                <c:pt idx="922">
                  <c:v>Feb 17, 2023</c:v>
                </c:pt>
                <c:pt idx="923">
                  <c:v>Feb 16, 2023</c:v>
                </c:pt>
                <c:pt idx="924">
                  <c:v>Feb 15, 2023</c:v>
                </c:pt>
                <c:pt idx="925">
                  <c:v>Feb 14, 2023</c:v>
                </c:pt>
                <c:pt idx="926">
                  <c:v>Feb 13, 2023</c:v>
                </c:pt>
                <c:pt idx="927">
                  <c:v>Feb 10, 2023</c:v>
                </c:pt>
                <c:pt idx="928">
                  <c:v>Feb 09, 2023</c:v>
                </c:pt>
                <c:pt idx="929">
                  <c:v>Feb 08, 2023</c:v>
                </c:pt>
                <c:pt idx="930">
                  <c:v>Feb 07, 2023</c:v>
                </c:pt>
                <c:pt idx="931">
                  <c:v>Feb 06, 2023</c:v>
                </c:pt>
                <c:pt idx="932">
                  <c:v>Feb 03, 2023</c:v>
                </c:pt>
                <c:pt idx="933">
                  <c:v>Feb 02, 2023</c:v>
                </c:pt>
                <c:pt idx="934">
                  <c:v>Feb 01, 2023</c:v>
                </c:pt>
                <c:pt idx="935">
                  <c:v>Jan 31, 2023</c:v>
                </c:pt>
                <c:pt idx="936">
                  <c:v>Jan 30, 2023</c:v>
                </c:pt>
                <c:pt idx="937">
                  <c:v>Jan 27, 2023</c:v>
                </c:pt>
                <c:pt idx="938">
                  <c:v>Jan 26, 2023</c:v>
                </c:pt>
                <c:pt idx="939">
                  <c:v>Jan 25, 2023</c:v>
                </c:pt>
                <c:pt idx="940">
                  <c:v>Jan 24, 2023</c:v>
                </c:pt>
                <c:pt idx="941">
                  <c:v>Jan 23, 2023</c:v>
                </c:pt>
                <c:pt idx="942">
                  <c:v>Jan 20, 2023</c:v>
                </c:pt>
                <c:pt idx="943">
                  <c:v>Jan 19, 2023</c:v>
                </c:pt>
                <c:pt idx="944">
                  <c:v>Jan 18, 2023</c:v>
                </c:pt>
                <c:pt idx="945">
                  <c:v>Jan 17, 2023</c:v>
                </c:pt>
                <c:pt idx="946">
                  <c:v>Jan 13, 2023</c:v>
                </c:pt>
                <c:pt idx="947">
                  <c:v>Jan 12, 2023</c:v>
                </c:pt>
                <c:pt idx="948">
                  <c:v>Jan 11, 2023</c:v>
                </c:pt>
                <c:pt idx="949">
                  <c:v>Jan 10, 2023</c:v>
                </c:pt>
                <c:pt idx="950">
                  <c:v>Jan 09, 2023</c:v>
                </c:pt>
                <c:pt idx="951">
                  <c:v>Jan 06, 2023</c:v>
                </c:pt>
                <c:pt idx="952">
                  <c:v>Jan 05, 2023</c:v>
                </c:pt>
                <c:pt idx="953">
                  <c:v>Jan 04, 2023</c:v>
                </c:pt>
                <c:pt idx="954">
                  <c:v>Jan 03, 2023</c:v>
                </c:pt>
                <c:pt idx="955">
                  <c:v>Dec 30, 2022</c:v>
                </c:pt>
                <c:pt idx="956">
                  <c:v>Dec 29, 2022</c:v>
                </c:pt>
                <c:pt idx="957">
                  <c:v>Dec 28, 2022</c:v>
                </c:pt>
                <c:pt idx="958">
                  <c:v>Dec 27, 2022</c:v>
                </c:pt>
                <c:pt idx="959">
                  <c:v>Dec 23, 2022</c:v>
                </c:pt>
                <c:pt idx="960">
                  <c:v>Dec 22, 2022</c:v>
                </c:pt>
                <c:pt idx="961">
                  <c:v>Dec 21, 2022</c:v>
                </c:pt>
                <c:pt idx="962">
                  <c:v>Dec 20, 2022</c:v>
                </c:pt>
                <c:pt idx="963">
                  <c:v>Dec 19, 2022</c:v>
                </c:pt>
                <c:pt idx="964">
                  <c:v>Dec 16, 2022</c:v>
                </c:pt>
                <c:pt idx="965">
                  <c:v>Dec 15, 2022</c:v>
                </c:pt>
                <c:pt idx="966">
                  <c:v>Dec 14, 2022</c:v>
                </c:pt>
                <c:pt idx="967">
                  <c:v>Dec 13, 2022</c:v>
                </c:pt>
                <c:pt idx="968">
                  <c:v>Dec 12, 2022</c:v>
                </c:pt>
                <c:pt idx="969">
                  <c:v>Dec 09, 2022</c:v>
                </c:pt>
                <c:pt idx="970">
                  <c:v>Dec 08, 2022</c:v>
                </c:pt>
                <c:pt idx="971">
                  <c:v>Dec 07, 2022</c:v>
                </c:pt>
                <c:pt idx="972">
                  <c:v>Dec 06, 2022</c:v>
                </c:pt>
                <c:pt idx="973">
                  <c:v>Dec 05, 2022</c:v>
                </c:pt>
                <c:pt idx="974">
                  <c:v>Dec 02, 2022</c:v>
                </c:pt>
                <c:pt idx="975">
                  <c:v>Dec 01, 2022</c:v>
                </c:pt>
                <c:pt idx="976">
                  <c:v>Nov 30, 2022</c:v>
                </c:pt>
                <c:pt idx="977">
                  <c:v>Nov 29, 2022</c:v>
                </c:pt>
                <c:pt idx="978">
                  <c:v>Nov 28, 2022</c:v>
                </c:pt>
                <c:pt idx="979">
                  <c:v>Nov 25, 2022</c:v>
                </c:pt>
                <c:pt idx="980">
                  <c:v>Nov 23, 2022</c:v>
                </c:pt>
                <c:pt idx="981">
                  <c:v>Nov 22, 2022</c:v>
                </c:pt>
                <c:pt idx="982">
                  <c:v>Nov 21, 2022</c:v>
                </c:pt>
                <c:pt idx="983">
                  <c:v>Nov 18, 2022</c:v>
                </c:pt>
                <c:pt idx="984">
                  <c:v>Nov 17, 2022</c:v>
                </c:pt>
                <c:pt idx="985">
                  <c:v>Nov 16, 2022</c:v>
                </c:pt>
                <c:pt idx="986">
                  <c:v>Nov 15, 2022</c:v>
                </c:pt>
                <c:pt idx="987">
                  <c:v>Nov 14, 2022</c:v>
                </c:pt>
                <c:pt idx="988">
                  <c:v>Nov 11, 2022</c:v>
                </c:pt>
                <c:pt idx="989">
                  <c:v>Nov 10, 2022</c:v>
                </c:pt>
                <c:pt idx="990">
                  <c:v>Nov 09, 2022</c:v>
                </c:pt>
                <c:pt idx="991">
                  <c:v>Nov 08, 2022</c:v>
                </c:pt>
                <c:pt idx="992">
                  <c:v>Nov 07, 2022</c:v>
                </c:pt>
                <c:pt idx="993">
                  <c:v>Nov 04, 2022</c:v>
                </c:pt>
                <c:pt idx="994">
                  <c:v>Nov 03, 2022</c:v>
                </c:pt>
                <c:pt idx="995">
                  <c:v>Nov 02, 2022</c:v>
                </c:pt>
                <c:pt idx="996">
                  <c:v>Nov 01, 2022</c:v>
                </c:pt>
                <c:pt idx="997">
                  <c:v>Oct 31, 2022</c:v>
                </c:pt>
                <c:pt idx="998">
                  <c:v>Oct 28, 2022</c:v>
                </c:pt>
                <c:pt idx="999">
                  <c:v>Oct 27, 2022</c:v>
                </c:pt>
                <c:pt idx="1000">
                  <c:v>Oct 26, 2022</c:v>
                </c:pt>
                <c:pt idx="1001">
                  <c:v>Oct 25, 2022</c:v>
                </c:pt>
                <c:pt idx="1002">
                  <c:v>Oct 24, 2022</c:v>
                </c:pt>
                <c:pt idx="1003">
                  <c:v>Oct 21, 2022</c:v>
                </c:pt>
                <c:pt idx="1004">
                  <c:v>Oct 20, 2022</c:v>
                </c:pt>
                <c:pt idx="1005">
                  <c:v>Oct 19, 2022</c:v>
                </c:pt>
                <c:pt idx="1006">
                  <c:v>Oct 18, 2022</c:v>
                </c:pt>
                <c:pt idx="1007">
                  <c:v>Oct 17, 2022</c:v>
                </c:pt>
                <c:pt idx="1008">
                  <c:v>Oct 14, 2022</c:v>
                </c:pt>
                <c:pt idx="1009">
                  <c:v>Oct 13, 2022</c:v>
                </c:pt>
                <c:pt idx="1010">
                  <c:v>Oct 12, 2022</c:v>
                </c:pt>
                <c:pt idx="1011">
                  <c:v>Oct 11, 2022</c:v>
                </c:pt>
                <c:pt idx="1012">
                  <c:v>Oct 10, 2022</c:v>
                </c:pt>
                <c:pt idx="1013">
                  <c:v>Oct 07, 2022</c:v>
                </c:pt>
                <c:pt idx="1014">
                  <c:v>Oct 06, 2022</c:v>
                </c:pt>
                <c:pt idx="1015">
                  <c:v>Oct 05, 2022</c:v>
                </c:pt>
                <c:pt idx="1016">
                  <c:v>Oct 04, 2022</c:v>
                </c:pt>
                <c:pt idx="1017">
                  <c:v>Oct 03, 2022</c:v>
                </c:pt>
                <c:pt idx="1018">
                  <c:v>Sep 30, 2022</c:v>
                </c:pt>
                <c:pt idx="1019">
                  <c:v>Sep 29, 2022</c:v>
                </c:pt>
                <c:pt idx="1020">
                  <c:v>Sep 28, 2022</c:v>
                </c:pt>
                <c:pt idx="1021">
                  <c:v>Sep 27, 2022</c:v>
                </c:pt>
                <c:pt idx="1022">
                  <c:v>Sep 26, 2022</c:v>
                </c:pt>
                <c:pt idx="1023">
                  <c:v>Sep 23, 2022</c:v>
                </c:pt>
                <c:pt idx="1024">
                  <c:v>Sep 22, 2022</c:v>
                </c:pt>
                <c:pt idx="1025">
                  <c:v>Sep 21, 2022</c:v>
                </c:pt>
                <c:pt idx="1026">
                  <c:v>Sep 20, 2022</c:v>
                </c:pt>
                <c:pt idx="1027">
                  <c:v>Sep 19, 2022</c:v>
                </c:pt>
                <c:pt idx="1028">
                  <c:v>Sep 16, 2022</c:v>
                </c:pt>
                <c:pt idx="1029">
                  <c:v>Sep 15, 2022</c:v>
                </c:pt>
                <c:pt idx="1030">
                  <c:v>Sep 14, 2022</c:v>
                </c:pt>
                <c:pt idx="1031">
                  <c:v>Sep 13, 2022</c:v>
                </c:pt>
                <c:pt idx="1032">
                  <c:v>Sep 12, 2022</c:v>
                </c:pt>
                <c:pt idx="1033">
                  <c:v>Sep 09, 2022</c:v>
                </c:pt>
                <c:pt idx="1034">
                  <c:v>Sep 08, 2022</c:v>
                </c:pt>
                <c:pt idx="1035">
                  <c:v>Sep 07, 2022</c:v>
                </c:pt>
                <c:pt idx="1036">
                  <c:v>Sep 06, 2022</c:v>
                </c:pt>
                <c:pt idx="1037">
                  <c:v>Sep 02, 2022</c:v>
                </c:pt>
                <c:pt idx="1038">
                  <c:v>Sep 01, 2022</c:v>
                </c:pt>
                <c:pt idx="1039">
                  <c:v>Aug 31, 2022</c:v>
                </c:pt>
                <c:pt idx="1040">
                  <c:v>Aug 30, 2022</c:v>
                </c:pt>
                <c:pt idx="1041">
                  <c:v>Aug 29, 2022</c:v>
                </c:pt>
                <c:pt idx="1042">
                  <c:v>Aug 26, 2022</c:v>
                </c:pt>
                <c:pt idx="1043">
                  <c:v>Aug 25, 2022</c:v>
                </c:pt>
                <c:pt idx="1044">
                  <c:v>Aug 24, 2022</c:v>
                </c:pt>
                <c:pt idx="1045">
                  <c:v>Aug 23, 2022</c:v>
                </c:pt>
                <c:pt idx="1046">
                  <c:v>Aug 22, 2022</c:v>
                </c:pt>
                <c:pt idx="1047">
                  <c:v>Aug 19, 2022</c:v>
                </c:pt>
                <c:pt idx="1048">
                  <c:v>Aug 18, 2022</c:v>
                </c:pt>
                <c:pt idx="1049">
                  <c:v>Aug 17, 2022</c:v>
                </c:pt>
                <c:pt idx="1050">
                  <c:v>Aug 16, 2022</c:v>
                </c:pt>
                <c:pt idx="1051">
                  <c:v>Aug 15, 2022</c:v>
                </c:pt>
                <c:pt idx="1052">
                  <c:v>Aug 12, 2022</c:v>
                </c:pt>
                <c:pt idx="1053">
                  <c:v>Aug 11, 2022</c:v>
                </c:pt>
                <c:pt idx="1054">
                  <c:v>Aug 10, 2022</c:v>
                </c:pt>
                <c:pt idx="1055">
                  <c:v>Aug 09, 2022</c:v>
                </c:pt>
                <c:pt idx="1056">
                  <c:v>Aug 08, 2022</c:v>
                </c:pt>
                <c:pt idx="1057">
                  <c:v>Aug 05, 2022</c:v>
                </c:pt>
                <c:pt idx="1058">
                  <c:v>Aug 04, 2022</c:v>
                </c:pt>
                <c:pt idx="1059">
                  <c:v>Aug 03, 2022</c:v>
                </c:pt>
                <c:pt idx="1060">
                  <c:v>Aug 02, 2022</c:v>
                </c:pt>
                <c:pt idx="1061">
                  <c:v>Aug 01, 2022</c:v>
                </c:pt>
                <c:pt idx="1062">
                  <c:v>Jul 29, 2022</c:v>
                </c:pt>
                <c:pt idx="1063">
                  <c:v>Jul 28, 2022</c:v>
                </c:pt>
                <c:pt idx="1064">
                  <c:v>Jul 27, 2022</c:v>
                </c:pt>
                <c:pt idx="1065">
                  <c:v>Jul 26, 2022</c:v>
                </c:pt>
                <c:pt idx="1066">
                  <c:v>Jul 25, 2022</c:v>
                </c:pt>
                <c:pt idx="1067">
                  <c:v>Jul 22, 2022</c:v>
                </c:pt>
                <c:pt idx="1068">
                  <c:v>Jul 21, 2022</c:v>
                </c:pt>
                <c:pt idx="1069">
                  <c:v>Jul 20, 2022</c:v>
                </c:pt>
                <c:pt idx="1070">
                  <c:v>Jul 19, 2022</c:v>
                </c:pt>
                <c:pt idx="1071">
                  <c:v>Jul 18, 2022</c:v>
                </c:pt>
                <c:pt idx="1072">
                  <c:v>Jul 15, 2022</c:v>
                </c:pt>
                <c:pt idx="1073">
                  <c:v>Jul 14, 2022</c:v>
                </c:pt>
                <c:pt idx="1074">
                  <c:v>Jul 13, 2022</c:v>
                </c:pt>
                <c:pt idx="1075">
                  <c:v>Jul 12, 2022</c:v>
                </c:pt>
                <c:pt idx="1076">
                  <c:v>Jul 11, 2022</c:v>
                </c:pt>
                <c:pt idx="1077">
                  <c:v>Jul 08, 2022</c:v>
                </c:pt>
                <c:pt idx="1078">
                  <c:v>Jul 07, 2022</c:v>
                </c:pt>
                <c:pt idx="1079">
                  <c:v>Jul 06, 2022</c:v>
                </c:pt>
                <c:pt idx="1080">
                  <c:v>Jul 05, 2022</c:v>
                </c:pt>
                <c:pt idx="1081">
                  <c:v>Jul 01, 2022</c:v>
                </c:pt>
                <c:pt idx="1082">
                  <c:v>Jun 30, 2022</c:v>
                </c:pt>
                <c:pt idx="1083">
                  <c:v>Jun 29, 2022</c:v>
                </c:pt>
                <c:pt idx="1084">
                  <c:v>Jun 28, 2022</c:v>
                </c:pt>
                <c:pt idx="1085">
                  <c:v>Jun 27, 2022</c:v>
                </c:pt>
                <c:pt idx="1086">
                  <c:v>Jun 24, 2022</c:v>
                </c:pt>
                <c:pt idx="1087">
                  <c:v>Jun 23, 2022</c:v>
                </c:pt>
                <c:pt idx="1088">
                  <c:v>Jun 22, 2022</c:v>
                </c:pt>
                <c:pt idx="1089">
                  <c:v>Jun 21, 2022</c:v>
                </c:pt>
                <c:pt idx="1090">
                  <c:v>Jun 17, 2022</c:v>
                </c:pt>
                <c:pt idx="1091">
                  <c:v>Jun 16, 2022</c:v>
                </c:pt>
                <c:pt idx="1092">
                  <c:v>Jun 15, 2022</c:v>
                </c:pt>
                <c:pt idx="1093">
                  <c:v>Jun 14, 2022</c:v>
                </c:pt>
                <c:pt idx="1094">
                  <c:v>Jun 13, 2022</c:v>
                </c:pt>
                <c:pt idx="1095">
                  <c:v>Jun 10, 2022</c:v>
                </c:pt>
                <c:pt idx="1096">
                  <c:v>Jun 09, 2022</c:v>
                </c:pt>
                <c:pt idx="1097">
                  <c:v>Jun 08, 2022</c:v>
                </c:pt>
                <c:pt idx="1098">
                  <c:v>Jun 07, 2022</c:v>
                </c:pt>
                <c:pt idx="1099">
                  <c:v>Jun 06, 2022</c:v>
                </c:pt>
                <c:pt idx="1100">
                  <c:v>Jun 03, 2022</c:v>
                </c:pt>
                <c:pt idx="1101">
                  <c:v>Jun 02, 2022</c:v>
                </c:pt>
                <c:pt idx="1102">
                  <c:v>Jun 01, 2022</c:v>
                </c:pt>
                <c:pt idx="1103">
                  <c:v>May 31, 2022</c:v>
                </c:pt>
                <c:pt idx="1104">
                  <c:v>May 27, 2022</c:v>
                </c:pt>
                <c:pt idx="1105">
                  <c:v>May 26, 2022</c:v>
                </c:pt>
                <c:pt idx="1106">
                  <c:v>May 25, 2022</c:v>
                </c:pt>
                <c:pt idx="1107">
                  <c:v>May 24, 2022</c:v>
                </c:pt>
                <c:pt idx="1108">
                  <c:v>May 23, 2022</c:v>
                </c:pt>
                <c:pt idx="1109">
                  <c:v>May 20, 2022</c:v>
                </c:pt>
                <c:pt idx="1110">
                  <c:v>May 19, 2022</c:v>
                </c:pt>
                <c:pt idx="1111">
                  <c:v>May 18, 2022</c:v>
                </c:pt>
                <c:pt idx="1112">
                  <c:v>May 17, 2022</c:v>
                </c:pt>
                <c:pt idx="1113">
                  <c:v>May 16, 2022</c:v>
                </c:pt>
                <c:pt idx="1114">
                  <c:v>May 13, 2022</c:v>
                </c:pt>
                <c:pt idx="1115">
                  <c:v>May 12, 2022</c:v>
                </c:pt>
                <c:pt idx="1116">
                  <c:v>May 11, 2022</c:v>
                </c:pt>
                <c:pt idx="1117">
                  <c:v>May 10, 2022</c:v>
                </c:pt>
                <c:pt idx="1118">
                  <c:v>May 09, 2022</c:v>
                </c:pt>
                <c:pt idx="1119">
                  <c:v>May 06, 2022</c:v>
                </c:pt>
                <c:pt idx="1120">
                  <c:v>May 05, 2022</c:v>
                </c:pt>
                <c:pt idx="1121">
                  <c:v>May 04, 2022</c:v>
                </c:pt>
                <c:pt idx="1122">
                  <c:v>May 03, 2022</c:v>
                </c:pt>
                <c:pt idx="1123">
                  <c:v>May 02, 2022</c:v>
                </c:pt>
                <c:pt idx="1124">
                  <c:v>Apr 29, 2022</c:v>
                </c:pt>
                <c:pt idx="1125">
                  <c:v>Apr 28, 2022</c:v>
                </c:pt>
                <c:pt idx="1126">
                  <c:v>Apr 27, 2022</c:v>
                </c:pt>
                <c:pt idx="1127">
                  <c:v>Apr 26, 2022</c:v>
                </c:pt>
                <c:pt idx="1128">
                  <c:v>Apr 25, 2022</c:v>
                </c:pt>
                <c:pt idx="1129">
                  <c:v>Apr 22, 2022</c:v>
                </c:pt>
                <c:pt idx="1130">
                  <c:v>Apr 21, 2022</c:v>
                </c:pt>
                <c:pt idx="1131">
                  <c:v>Apr 20, 2022</c:v>
                </c:pt>
                <c:pt idx="1132">
                  <c:v>Apr 19, 2022</c:v>
                </c:pt>
                <c:pt idx="1133">
                  <c:v>Apr 18, 2022</c:v>
                </c:pt>
                <c:pt idx="1134">
                  <c:v>Apr 14, 2022</c:v>
                </c:pt>
                <c:pt idx="1135">
                  <c:v>Apr 13, 2022</c:v>
                </c:pt>
                <c:pt idx="1136">
                  <c:v>Apr 12, 2022</c:v>
                </c:pt>
                <c:pt idx="1137">
                  <c:v>Apr 11, 2022</c:v>
                </c:pt>
                <c:pt idx="1138">
                  <c:v>Apr 08, 2022</c:v>
                </c:pt>
                <c:pt idx="1139">
                  <c:v>Apr 07, 2022</c:v>
                </c:pt>
                <c:pt idx="1140">
                  <c:v>Apr 06, 2022</c:v>
                </c:pt>
                <c:pt idx="1141">
                  <c:v>Apr 05, 2022</c:v>
                </c:pt>
                <c:pt idx="1142">
                  <c:v>Apr 04, 2022</c:v>
                </c:pt>
                <c:pt idx="1143">
                  <c:v>Apr 01, 2022</c:v>
                </c:pt>
                <c:pt idx="1144">
                  <c:v>Mar 31, 2022</c:v>
                </c:pt>
                <c:pt idx="1145">
                  <c:v>Mar 30, 2022</c:v>
                </c:pt>
                <c:pt idx="1146">
                  <c:v>Mar 29, 2022</c:v>
                </c:pt>
                <c:pt idx="1147">
                  <c:v>Mar 28, 2022</c:v>
                </c:pt>
                <c:pt idx="1148">
                  <c:v>Mar 25, 2022</c:v>
                </c:pt>
                <c:pt idx="1149">
                  <c:v>Mar 24, 2022</c:v>
                </c:pt>
                <c:pt idx="1150">
                  <c:v>Mar 23, 2022</c:v>
                </c:pt>
                <c:pt idx="1151">
                  <c:v>Mar 22, 2022</c:v>
                </c:pt>
                <c:pt idx="1152">
                  <c:v>Mar 21, 2022</c:v>
                </c:pt>
                <c:pt idx="1153">
                  <c:v>Mar 18, 2022</c:v>
                </c:pt>
                <c:pt idx="1154">
                  <c:v>Mar 17, 2022</c:v>
                </c:pt>
                <c:pt idx="1155">
                  <c:v>Mar 16, 2022</c:v>
                </c:pt>
                <c:pt idx="1156">
                  <c:v>Mar 15, 2022</c:v>
                </c:pt>
                <c:pt idx="1157">
                  <c:v>Mar 14, 2022</c:v>
                </c:pt>
                <c:pt idx="1158">
                  <c:v>Mar 11, 2022</c:v>
                </c:pt>
                <c:pt idx="1159">
                  <c:v>Mar 10, 2022</c:v>
                </c:pt>
                <c:pt idx="1160">
                  <c:v>Mar 09, 2022</c:v>
                </c:pt>
                <c:pt idx="1161">
                  <c:v>Mar 08, 2022</c:v>
                </c:pt>
                <c:pt idx="1162">
                  <c:v>Mar 07, 2022</c:v>
                </c:pt>
                <c:pt idx="1163">
                  <c:v>Mar 04, 2022</c:v>
                </c:pt>
                <c:pt idx="1164">
                  <c:v>Mar 03, 2022</c:v>
                </c:pt>
                <c:pt idx="1165">
                  <c:v>Mar 02, 2022</c:v>
                </c:pt>
                <c:pt idx="1166">
                  <c:v>Mar 01, 2022</c:v>
                </c:pt>
                <c:pt idx="1167">
                  <c:v>Feb 28, 2022</c:v>
                </c:pt>
                <c:pt idx="1168">
                  <c:v>Feb 25, 2022</c:v>
                </c:pt>
                <c:pt idx="1169">
                  <c:v>Feb 24, 2022</c:v>
                </c:pt>
                <c:pt idx="1170">
                  <c:v>Feb 23, 2022</c:v>
                </c:pt>
                <c:pt idx="1171">
                  <c:v>Feb 22, 2022</c:v>
                </c:pt>
                <c:pt idx="1172">
                  <c:v>Feb 18, 2022</c:v>
                </c:pt>
                <c:pt idx="1173">
                  <c:v>Feb 17, 2022</c:v>
                </c:pt>
                <c:pt idx="1174">
                  <c:v>Feb 16, 2022</c:v>
                </c:pt>
                <c:pt idx="1175">
                  <c:v>Feb 15, 2022</c:v>
                </c:pt>
                <c:pt idx="1176">
                  <c:v>Feb 14, 2022</c:v>
                </c:pt>
                <c:pt idx="1177">
                  <c:v>Feb 11, 2022</c:v>
                </c:pt>
                <c:pt idx="1178">
                  <c:v>Feb 10, 2022</c:v>
                </c:pt>
                <c:pt idx="1179">
                  <c:v>Feb 09, 2022</c:v>
                </c:pt>
                <c:pt idx="1180">
                  <c:v>Feb 08, 2022</c:v>
                </c:pt>
                <c:pt idx="1181">
                  <c:v>Feb 07, 2022</c:v>
                </c:pt>
                <c:pt idx="1182">
                  <c:v>Feb 04, 2022</c:v>
                </c:pt>
                <c:pt idx="1183">
                  <c:v>Feb 03, 2022</c:v>
                </c:pt>
                <c:pt idx="1184">
                  <c:v>Feb 02, 2022</c:v>
                </c:pt>
                <c:pt idx="1185">
                  <c:v>Feb 01, 2022</c:v>
                </c:pt>
                <c:pt idx="1186">
                  <c:v>Jan 31, 2022</c:v>
                </c:pt>
                <c:pt idx="1187">
                  <c:v>Jan 28, 2022</c:v>
                </c:pt>
                <c:pt idx="1188">
                  <c:v>Jan 27, 2022</c:v>
                </c:pt>
                <c:pt idx="1189">
                  <c:v>Jan 26, 2022</c:v>
                </c:pt>
                <c:pt idx="1190">
                  <c:v>Jan 25, 2022</c:v>
                </c:pt>
                <c:pt idx="1191">
                  <c:v>Jan 24, 2022</c:v>
                </c:pt>
                <c:pt idx="1192">
                  <c:v>Jan 21, 2022</c:v>
                </c:pt>
                <c:pt idx="1193">
                  <c:v>Jan 20, 2022</c:v>
                </c:pt>
                <c:pt idx="1194">
                  <c:v>Jan 19, 2022</c:v>
                </c:pt>
                <c:pt idx="1195">
                  <c:v>Jan 18, 2022</c:v>
                </c:pt>
                <c:pt idx="1196">
                  <c:v>Jan 14, 2022</c:v>
                </c:pt>
                <c:pt idx="1197">
                  <c:v>Jan 13, 2022</c:v>
                </c:pt>
                <c:pt idx="1198">
                  <c:v>Jan 12, 2022</c:v>
                </c:pt>
                <c:pt idx="1199">
                  <c:v>Jan 11, 2022</c:v>
                </c:pt>
                <c:pt idx="1200">
                  <c:v>Jan 10, 2022</c:v>
                </c:pt>
                <c:pt idx="1201">
                  <c:v>Jan 07, 2022</c:v>
                </c:pt>
                <c:pt idx="1202">
                  <c:v>Jan 06, 2022</c:v>
                </c:pt>
                <c:pt idx="1203">
                  <c:v>Jan 05, 2022</c:v>
                </c:pt>
                <c:pt idx="1204">
                  <c:v>Jan 04, 2022</c:v>
                </c:pt>
                <c:pt idx="1205">
                  <c:v>Jan 03, 2022</c:v>
                </c:pt>
                <c:pt idx="1206">
                  <c:v>Dec 31, 2021</c:v>
                </c:pt>
                <c:pt idx="1207">
                  <c:v>Dec 30, 2021</c:v>
                </c:pt>
                <c:pt idx="1208">
                  <c:v>Dec 29, 2021</c:v>
                </c:pt>
                <c:pt idx="1209">
                  <c:v>Dec 28, 2021</c:v>
                </c:pt>
                <c:pt idx="1210">
                  <c:v>Dec 27, 2021</c:v>
                </c:pt>
                <c:pt idx="1211">
                  <c:v>Dec 23, 2021</c:v>
                </c:pt>
                <c:pt idx="1212">
                  <c:v>Dec 22, 2021</c:v>
                </c:pt>
                <c:pt idx="1213">
                  <c:v>Dec 21, 2021</c:v>
                </c:pt>
                <c:pt idx="1214">
                  <c:v>Dec 20, 2021</c:v>
                </c:pt>
                <c:pt idx="1215">
                  <c:v>Dec 17, 2021</c:v>
                </c:pt>
                <c:pt idx="1216">
                  <c:v>Dec 16, 2021</c:v>
                </c:pt>
                <c:pt idx="1217">
                  <c:v>Dec 15, 2021</c:v>
                </c:pt>
                <c:pt idx="1218">
                  <c:v>Dec 14, 2021</c:v>
                </c:pt>
                <c:pt idx="1219">
                  <c:v>Dec 13, 2021</c:v>
                </c:pt>
                <c:pt idx="1220">
                  <c:v>Dec 10, 2021</c:v>
                </c:pt>
                <c:pt idx="1221">
                  <c:v>Dec 09, 2021</c:v>
                </c:pt>
                <c:pt idx="1222">
                  <c:v>Dec 08, 2021</c:v>
                </c:pt>
                <c:pt idx="1223">
                  <c:v>Dec 07, 2021</c:v>
                </c:pt>
                <c:pt idx="1224">
                  <c:v>Dec 06, 2021</c:v>
                </c:pt>
                <c:pt idx="1225">
                  <c:v>Dec 03, 2021</c:v>
                </c:pt>
                <c:pt idx="1226">
                  <c:v>Dec 02, 2021</c:v>
                </c:pt>
                <c:pt idx="1227">
                  <c:v>Dec 01, 2021</c:v>
                </c:pt>
                <c:pt idx="1228">
                  <c:v>Nov 30, 2021</c:v>
                </c:pt>
                <c:pt idx="1229">
                  <c:v>Nov 29, 2021</c:v>
                </c:pt>
                <c:pt idx="1230">
                  <c:v>Nov 26, 2021</c:v>
                </c:pt>
                <c:pt idx="1231">
                  <c:v>Nov 24, 2021</c:v>
                </c:pt>
                <c:pt idx="1232">
                  <c:v>Nov 23, 2021</c:v>
                </c:pt>
                <c:pt idx="1233">
                  <c:v>Nov 22, 2021</c:v>
                </c:pt>
                <c:pt idx="1234">
                  <c:v>Nov 19, 2021</c:v>
                </c:pt>
                <c:pt idx="1235">
                  <c:v>Nov 18, 2021</c:v>
                </c:pt>
                <c:pt idx="1236">
                  <c:v>Nov 17, 2021</c:v>
                </c:pt>
                <c:pt idx="1237">
                  <c:v>Nov 16, 2021</c:v>
                </c:pt>
                <c:pt idx="1238">
                  <c:v>Nov 15, 2021</c:v>
                </c:pt>
                <c:pt idx="1239">
                  <c:v>Nov 12, 2021</c:v>
                </c:pt>
                <c:pt idx="1240">
                  <c:v>Nov 11, 2021</c:v>
                </c:pt>
                <c:pt idx="1241">
                  <c:v>Nov 10, 2021</c:v>
                </c:pt>
                <c:pt idx="1242">
                  <c:v>Nov 09, 2021</c:v>
                </c:pt>
                <c:pt idx="1243">
                  <c:v>Nov 08, 2021</c:v>
                </c:pt>
                <c:pt idx="1244">
                  <c:v>Nov 05, 2021</c:v>
                </c:pt>
                <c:pt idx="1245">
                  <c:v>Nov 04, 2021</c:v>
                </c:pt>
                <c:pt idx="1246">
                  <c:v>Nov 03, 2021</c:v>
                </c:pt>
                <c:pt idx="1247">
                  <c:v>Nov 02, 2021</c:v>
                </c:pt>
                <c:pt idx="1248">
                  <c:v>Nov 01, 2021</c:v>
                </c:pt>
                <c:pt idx="1249">
                  <c:v>Oct 29, 2021</c:v>
                </c:pt>
                <c:pt idx="1250">
                  <c:v>Oct 28, 2021</c:v>
                </c:pt>
                <c:pt idx="1251">
                  <c:v>Oct 27, 2021</c:v>
                </c:pt>
                <c:pt idx="1252">
                  <c:v>Oct 26, 2021</c:v>
                </c:pt>
                <c:pt idx="1253">
                  <c:v>Oct 25, 2021</c:v>
                </c:pt>
              </c:strCache>
            </c:strRef>
          </c:cat>
          <c:val>
            <c:numRef>
              <c:f>'Input Sheet'!$N$4:$N$1257</c:f>
              <c:numCache>
                <c:formatCode>General</c:formatCode>
                <c:ptCount val="1254"/>
                <c:pt idx="0">
                  <c:v>13.12</c:v>
                </c:pt>
                <c:pt idx="1">
                  <c:v>12.75</c:v>
                </c:pt>
                <c:pt idx="2">
                  <c:v>12.66</c:v>
                </c:pt>
                <c:pt idx="3">
                  <c:v>12.2</c:v>
                </c:pt>
                <c:pt idx="4">
                  <c:v>12.24</c:v>
                </c:pt>
                <c:pt idx="5">
                  <c:v>12.13</c:v>
                </c:pt>
                <c:pt idx="6">
                  <c:v>11.48</c:v>
                </c:pt>
                <c:pt idx="7">
                  <c:v>11.4</c:v>
                </c:pt>
                <c:pt idx="8">
                  <c:v>10.83</c:v>
                </c:pt>
                <c:pt idx="9">
                  <c:v>10.73</c:v>
                </c:pt>
                <c:pt idx="10">
                  <c:v>10.7</c:v>
                </c:pt>
                <c:pt idx="11">
                  <c:v>10.55</c:v>
                </c:pt>
                <c:pt idx="12">
                  <c:v>10.55</c:v>
                </c:pt>
                <c:pt idx="13">
                  <c:v>10.76</c:v>
                </c:pt>
                <c:pt idx="14">
                  <c:v>11.04</c:v>
                </c:pt>
                <c:pt idx="15">
                  <c:v>11.35</c:v>
                </c:pt>
                <c:pt idx="16">
                  <c:v>10.76</c:v>
                </c:pt>
                <c:pt idx="17">
                  <c:v>10.64</c:v>
                </c:pt>
                <c:pt idx="18">
                  <c:v>10.52</c:v>
                </c:pt>
                <c:pt idx="19">
                  <c:v>10.5</c:v>
                </c:pt>
                <c:pt idx="20">
                  <c:v>10.5</c:v>
                </c:pt>
                <c:pt idx="21">
                  <c:v>10.75</c:v>
                </c:pt>
                <c:pt idx="22">
                  <c:v>10.76</c:v>
                </c:pt>
                <c:pt idx="23">
                  <c:v>10.89</c:v>
                </c:pt>
                <c:pt idx="24">
                  <c:v>10.82</c:v>
                </c:pt>
                <c:pt idx="25">
                  <c:v>11.07</c:v>
                </c:pt>
                <c:pt idx="26">
                  <c:v>11.08</c:v>
                </c:pt>
                <c:pt idx="27">
                  <c:v>11.32</c:v>
                </c:pt>
                <c:pt idx="28">
                  <c:v>11.6</c:v>
                </c:pt>
                <c:pt idx="29">
                  <c:v>11.07</c:v>
                </c:pt>
                <c:pt idx="30">
                  <c:v>10.91</c:v>
                </c:pt>
                <c:pt idx="31">
                  <c:v>10.93</c:v>
                </c:pt>
                <c:pt idx="32">
                  <c:v>11.13</c:v>
                </c:pt>
                <c:pt idx="33">
                  <c:v>11.7</c:v>
                </c:pt>
                <c:pt idx="34">
                  <c:v>12.09</c:v>
                </c:pt>
                <c:pt idx="35">
                  <c:v>11.97</c:v>
                </c:pt>
                <c:pt idx="36">
                  <c:v>12</c:v>
                </c:pt>
                <c:pt idx="37">
                  <c:v>12.06</c:v>
                </c:pt>
                <c:pt idx="38">
                  <c:v>12.05</c:v>
                </c:pt>
                <c:pt idx="39">
                  <c:v>11.9</c:v>
                </c:pt>
                <c:pt idx="40">
                  <c:v>11.69</c:v>
                </c:pt>
                <c:pt idx="41">
                  <c:v>12.03</c:v>
                </c:pt>
                <c:pt idx="42">
                  <c:v>11.82</c:v>
                </c:pt>
                <c:pt idx="43">
                  <c:v>11.94</c:v>
                </c:pt>
                <c:pt idx="44">
                  <c:v>11.83</c:v>
                </c:pt>
                <c:pt idx="45">
                  <c:v>12.03</c:v>
                </c:pt>
                <c:pt idx="46">
                  <c:v>11.83</c:v>
                </c:pt>
                <c:pt idx="47">
                  <c:v>11.62</c:v>
                </c:pt>
                <c:pt idx="48">
                  <c:v>12.09</c:v>
                </c:pt>
                <c:pt idx="49">
                  <c:v>12.41</c:v>
                </c:pt>
                <c:pt idx="50">
                  <c:v>12.28</c:v>
                </c:pt>
                <c:pt idx="51">
                  <c:v>12.6</c:v>
                </c:pt>
                <c:pt idx="52">
                  <c:v>12.56</c:v>
                </c:pt>
                <c:pt idx="53">
                  <c:v>12.53</c:v>
                </c:pt>
                <c:pt idx="54">
                  <c:v>12.36</c:v>
                </c:pt>
                <c:pt idx="55">
                  <c:v>12.48</c:v>
                </c:pt>
                <c:pt idx="56">
                  <c:v>12.6</c:v>
                </c:pt>
                <c:pt idx="57">
                  <c:v>12.25</c:v>
                </c:pt>
                <c:pt idx="58">
                  <c:v>12.03</c:v>
                </c:pt>
                <c:pt idx="59">
                  <c:v>11.95</c:v>
                </c:pt>
                <c:pt idx="60">
                  <c:v>12.6</c:v>
                </c:pt>
                <c:pt idx="61">
                  <c:v>12.35</c:v>
                </c:pt>
                <c:pt idx="62">
                  <c:v>11.7</c:v>
                </c:pt>
                <c:pt idx="63">
                  <c:v>11.11</c:v>
                </c:pt>
                <c:pt idx="64">
                  <c:v>10.67</c:v>
                </c:pt>
                <c:pt idx="65">
                  <c:v>10.93</c:v>
                </c:pt>
                <c:pt idx="66">
                  <c:v>11.16</c:v>
                </c:pt>
                <c:pt idx="67">
                  <c:v>11.31</c:v>
                </c:pt>
                <c:pt idx="68">
                  <c:v>11.49</c:v>
                </c:pt>
                <c:pt idx="69">
                  <c:v>11.53</c:v>
                </c:pt>
                <c:pt idx="70">
                  <c:v>11.04</c:v>
                </c:pt>
                <c:pt idx="71">
                  <c:v>11.05</c:v>
                </c:pt>
                <c:pt idx="72">
                  <c:v>11.5</c:v>
                </c:pt>
                <c:pt idx="73">
                  <c:v>10.94</c:v>
                </c:pt>
                <c:pt idx="74">
                  <c:v>11.13</c:v>
                </c:pt>
                <c:pt idx="75">
                  <c:v>10.93</c:v>
                </c:pt>
                <c:pt idx="76">
                  <c:v>11.27</c:v>
                </c:pt>
                <c:pt idx="77">
                  <c:v>10.88</c:v>
                </c:pt>
                <c:pt idx="78">
                  <c:v>11.16</c:v>
                </c:pt>
                <c:pt idx="79">
                  <c:v>10.65</c:v>
                </c:pt>
                <c:pt idx="80">
                  <c:v>10.49</c:v>
                </c:pt>
                <c:pt idx="81">
                  <c:v>10.7</c:v>
                </c:pt>
                <c:pt idx="82">
                  <c:v>10.78</c:v>
                </c:pt>
                <c:pt idx="83">
                  <c:v>10.57</c:v>
                </c:pt>
                <c:pt idx="84">
                  <c:v>10.93</c:v>
                </c:pt>
                <c:pt idx="85">
                  <c:v>10.79</c:v>
                </c:pt>
                <c:pt idx="86">
                  <c:v>10.77</c:v>
                </c:pt>
                <c:pt idx="87">
                  <c:v>10.57</c:v>
                </c:pt>
                <c:pt idx="88">
                  <c:v>11.7</c:v>
                </c:pt>
                <c:pt idx="89">
                  <c:v>11.97</c:v>
                </c:pt>
                <c:pt idx="90">
                  <c:v>11.6</c:v>
                </c:pt>
                <c:pt idx="91">
                  <c:v>11.74</c:v>
                </c:pt>
                <c:pt idx="92">
                  <c:v>11.6</c:v>
                </c:pt>
                <c:pt idx="93">
                  <c:v>11.76</c:v>
                </c:pt>
                <c:pt idx="94">
                  <c:v>11.98</c:v>
                </c:pt>
                <c:pt idx="95">
                  <c:v>12.02</c:v>
                </c:pt>
                <c:pt idx="96">
                  <c:v>12.14</c:v>
                </c:pt>
                <c:pt idx="97">
                  <c:v>12.3</c:v>
                </c:pt>
                <c:pt idx="98">
                  <c:v>12.2</c:v>
                </c:pt>
                <c:pt idx="99">
                  <c:v>12.8</c:v>
                </c:pt>
                <c:pt idx="100">
                  <c:v>13.13</c:v>
                </c:pt>
                <c:pt idx="101">
                  <c:v>12.38</c:v>
                </c:pt>
                <c:pt idx="102">
                  <c:v>12.43</c:v>
                </c:pt>
                <c:pt idx="103">
                  <c:v>12.13</c:v>
                </c:pt>
                <c:pt idx="104">
                  <c:v>11.82</c:v>
                </c:pt>
                <c:pt idx="105">
                  <c:v>12.4</c:v>
                </c:pt>
                <c:pt idx="106">
                  <c:v>12.37</c:v>
                </c:pt>
                <c:pt idx="107">
                  <c:v>12.5</c:v>
                </c:pt>
                <c:pt idx="108">
                  <c:v>12.45</c:v>
                </c:pt>
                <c:pt idx="109">
                  <c:v>12.32</c:v>
                </c:pt>
                <c:pt idx="110">
                  <c:v>11.81</c:v>
                </c:pt>
                <c:pt idx="111">
                  <c:v>11.41</c:v>
                </c:pt>
                <c:pt idx="112">
                  <c:v>11.61</c:v>
                </c:pt>
                <c:pt idx="113">
                  <c:v>11.8</c:v>
                </c:pt>
                <c:pt idx="114">
                  <c:v>12.04</c:v>
                </c:pt>
                <c:pt idx="115">
                  <c:v>12.56</c:v>
                </c:pt>
                <c:pt idx="116">
                  <c:v>12.3</c:v>
                </c:pt>
                <c:pt idx="117">
                  <c:v>12.37</c:v>
                </c:pt>
                <c:pt idx="118">
                  <c:v>12.2</c:v>
                </c:pt>
                <c:pt idx="119">
                  <c:v>11.98</c:v>
                </c:pt>
                <c:pt idx="120">
                  <c:v>12.22</c:v>
                </c:pt>
                <c:pt idx="121">
                  <c:v>12.2</c:v>
                </c:pt>
                <c:pt idx="122">
                  <c:v>12.08</c:v>
                </c:pt>
                <c:pt idx="123">
                  <c:v>11.99</c:v>
                </c:pt>
                <c:pt idx="124">
                  <c:v>12.02</c:v>
                </c:pt>
                <c:pt idx="125">
                  <c:v>12.59</c:v>
                </c:pt>
                <c:pt idx="126">
                  <c:v>12.67</c:v>
                </c:pt>
                <c:pt idx="127">
                  <c:v>13.19</c:v>
                </c:pt>
                <c:pt idx="128">
                  <c:v>13.77</c:v>
                </c:pt>
                <c:pt idx="129">
                  <c:v>13.91</c:v>
                </c:pt>
                <c:pt idx="130">
                  <c:v>14.15</c:v>
                </c:pt>
                <c:pt idx="131">
                  <c:v>14.08</c:v>
                </c:pt>
                <c:pt idx="132">
                  <c:v>14.01</c:v>
                </c:pt>
                <c:pt idx="133">
                  <c:v>13.65</c:v>
                </c:pt>
                <c:pt idx="134">
                  <c:v>13.67</c:v>
                </c:pt>
                <c:pt idx="135">
                  <c:v>13.01</c:v>
                </c:pt>
                <c:pt idx="136">
                  <c:v>13.47</c:v>
                </c:pt>
                <c:pt idx="137">
                  <c:v>13.7</c:v>
                </c:pt>
                <c:pt idx="138">
                  <c:v>13.66</c:v>
                </c:pt>
                <c:pt idx="139">
                  <c:v>13.41</c:v>
                </c:pt>
                <c:pt idx="140">
                  <c:v>13.45</c:v>
                </c:pt>
                <c:pt idx="141">
                  <c:v>13.02</c:v>
                </c:pt>
                <c:pt idx="142">
                  <c:v>13.22</c:v>
                </c:pt>
                <c:pt idx="143">
                  <c:v>12.97</c:v>
                </c:pt>
                <c:pt idx="144">
                  <c:v>12.56</c:v>
                </c:pt>
                <c:pt idx="145">
                  <c:v>12.88</c:v>
                </c:pt>
                <c:pt idx="146">
                  <c:v>12.89</c:v>
                </c:pt>
                <c:pt idx="147">
                  <c:v>12.8</c:v>
                </c:pt>
                <c:pt idx="148">
                  <c:v>13.02</c:v>
                </c:pt>
                <c:pt idx="149">
                  <c:v>12.84</c:v>
                </c:pt>
                <c:pt idx="150">
                  <c:v>12.77</c:v>
                </c:pt>
                <c:pt idx="151">
                  <c:v>12.65</c:v>
                </c:pt>
                <c:pt idx="152">
                  <c:v>12.92</c:v>
                </c:pt>
                <c:pt idx="153">
                  <c:v>12.98</c:v>
                </c:pt>
                <c:pt idx="154">
                  <c:v>12.99</c:v>
                </c:pt>
                <c:pt idx="155">
                  <c:v>13.16</c:v>
                </c:pt>
                <c:pt idx="156">
                  <c:v>13.58</c:v>
                </c:pt>
                <c:pt idx="157">
                  <c:v>13.74</c:v>
                </c:pt>
                <c:pt idx="158">
                  <c:v>14.11</c:v>
                </c:pt>
                <c:pt idx="159">
                  <c:v>14.13</c:v>
                </c:pt>
                <c:pt idx="160">
                  <c:v>14.1</c:v>
                </c:pt>
                <c:pt idx="161">
                  <c:v>14.03</c:v>
                </c:pt>
                <c:pt idx="162">
                  <c:v>13.92</c:v>
                </c:pt>
                <c:pt idx="163">
                  <c:v>13.89</c:v>
                </c:pt>
                <c:pt idx="164">
                  <c:v>14.13</c:v>
                </c:pt>
                <c:pt idx="165">
                  <c:v>14.39</c:v>
                </c:pt>
                <c:pt idx="166">
                  <c:v>13.94</c:v>
                </c:pt>
                <c:pt idx="167">
                  <c:v>13.55</c:v>
                </c:pt>
                <c:pt idx="168">
                  <c:v>13.62</c:v>
                </c:pt>
                <c:pt idx="169">
                  <c:v>14.34</c:v>
                </c:pt>
                <c:pt idx="170">
                  <c:v>14.24</c:v>
                </c:pt>
                <c:pt idx="171">
                  <c:v>14.73</c:v>
                </c:pt>
                <c:pt idx="172">
                  <c:v>14.44</c:v>
                </c:pt>
                <c:pt idx="173">
                  <c:v>14.41</c:v>
                </c:pt>
                <c:pt idx="174">
                  <c:v>13.91</c:v>
                </c:pt>
                <c:pt idx="175">
                  <c:v>15.43</c:v>
                </c:pt>
                <c:pt idx="176">
                  <c:v>16.260000000000002</c:v>
                </c:pt>
                <c:pt idx="177">
                  <c:v>15.96</c:v>
                </c:pt>
                <c:pt idx="178">
                  <c:v>16.48</c:v>
                </c:pt>
                <c:pt idx="179">
                  <c:v>16.440000000000001</c:v>
                </c:pt>
                <c:pt idx="180">
                  <c:v>16.39</c:v>
                </c:pt>
                <c:pt idx="181">
                  <c:v>16.95</c:v>
                </c:pt>
                <c:pt idx="182">
                  <c:v>17.95</c:v>
                </c:pt>
                <c:pt idx="183">
                  <c:v>17.21</c:v>
                </c:pt>
                <c:pt idx="184">
                  <c:v>17.37</c:v>
                </c:pt>
                <c:pt idx="185">
                  <c:v>17.55</c:v>
                </c:pt>
                <c:pt idx="186">
                  <c:v>17.86</c:v>
                </c:pt>
                <c:pt idx="187">
                  <c:v>18.16</c:v>
                </c:pt>
                <c:pt idx="188">
                  <c:v>17.850000000000001</c:v>
                </c:pt>
                <c:pt idx="189">
                  <c:v>17.899999999999999</c:v>
                </c:pt>
                <c:pt idx="190">
                  <c:v>17.920000000000002</c:v>
                </c:pt>
                <c:pt idx="191">
                  <c:v>17.82</c:v>
                </c:pt>
                <c:pt idx="192">
                  <c:v>18.239999999999998</c:v>
                </c:pt>
                <c:pt idx="193">
                  <c:v>18.420000000000002</c:v>
                </c:pt>
                <c:pt idx="194">
                  <c:v>18.940000000000001</c:v>
                </c:pt>
                <c:pt idx="195">
                  <c:v>17.149999999999999</c:v>
                </c:pt>
                <c:pt idx="196">
                  <c:v>17.420000000000002</c:v>
                </c:pt>
                <c:pt idx="197">
                  <c:v>17.45</c:v>
                </c:pt>
                <c:pt idx="198">
                  <c:v>17.66</c:v>
                </c:pt>
                <c:pt idx="199">
                  <c:v>17.84</c:v>
                </c:pt>
                <c:pt idx="200">
                  <c:v>17.72</c:v>
                </c:pt>
                <c:pt idx="201">
                  <c:v>17.309999999999999</c:v>
                </c:pt>
                <c:pt idx="202">
                  <c:v>17.77</c:v>
                </c:pt>
                <c:pt idx="203">
                  <c:v>17.440000000000001</c:v>
                </c:pt>
                <c:pt idx="204">
                  <c:v>17.66</c:v>
                </c:pt>
                <c:pt idx="205">
                  <c:v>18.04</c:v>
                </c:pt>
                <c:pt idx="206">
                  <c:v>18.39</c:v>
                </c:pt>
                <c:pt idx="207">
                  <c:v>18.27</c:v>
                </c:pt>
                <c:pt idx="208">
                  <c:v>18.18</c:v>
                </c:pt>
                <c:pt idx="209">
                  <c:v>18.75</c:v>
                </c:pt>
                <c:pt idx="210">
                  <c:v>19.79</c:v>
                </c:pt>
                <c:pt idx="211">
                  <c:v>18.77</c:v>
                </c:pt>
                <c:pt idx="212">
                  <c:v>17.829999999999998</c:v>
                </c:pt>
                <c:pt idx="213">
                  <c:v>17.39</c:v>
                </c:pt>
                <c:pt idx="214">
                  <c:v>17.399999999999999</c:v>
                </c:pt>
                <c:pt idx="215">
                  <c:v>17.399999999999999</c:v>
                </c:pt>
                <c:pt idx="216">
                  <c:v>17.420000000000002</c:v>
                </c:pt>
                <c:pt idx="217">
                  <c:v>17.690000000000001</c:v>
                </c:pt>
                <c:pt idx="218">
                  <c:v>17.37</c:v>
                </c:pt>
                <c:pt idx="219">
                  <c:v>17.350000000000001</c:v>
                </c:pt>
                <c:pt idx="220">
                  <c:v>17.690000000000001</c:v>
                </c:pt>
                <c:pt idx="221">
                  <c:v>17.899999999999999</c:v>
                </c:pt>
                <c:pt idx="222">
                  <c:v>17.29</c:v>
                </c:pt>
                <c:pt idx="223">
                  <c:v>17.04</c:v>
                </c:pt>
                <c:pt idx="224">
                  <c:v>17.079999999999998</c:v>
                </c:pt>
                <c:pt idx="225">
                  <c:v>17.11</c:v>
                </c:pt>
                <c:pt idx="226">
                  <c:v>17.05</c:v>
                </c:pt>
                <c:pt idx="227">
                  <c:v>16.91</c:v>
                </c:pt>
                <c:pt idx="228">
                  <c:v>16.899999999999999</c:v>
                </c:pt>
                <c:pt idx="229">
                  <c:v>17.329999999999998</c:v>
                </c:pt>
                <c:pt idx="230">
                  <c:v>16.77</c:v>
                </c:pt>
                <c:pt idx="231">
                  <c:v>16.940000000000001</c:v>
                </c:pt>
                <c:pt idx="232">
                  <c:v>16.59</c:v>
                </c:pt>
                <c:pt idx="233">
                  <c:v>16.420000000000002</c:v>
                </c:pt>
                <c:pt idx="234">
                  <c:v>16.3</c:v>
                </c:pt>
                <c:pt idx="235">
                  <c:v>16.600000000000001</c:v>
                </c:pt>
                <c:pt idx="236">
                  <c:v>16.73</c:v>
                </c:pt>
                <c:pt idx="237">
                  <c:v>16.649999999999999</c:v>
                </c:pt>
                <c:pt idx="238">
                  <c:v>16.41</c:v>
                </c:pt>
                <c:pt idx="239">
                  <c:v>16.149999999999999</c:v>
                </c:pt>
                <c:pt idx="240">
                  <c:v>15.84</c:v>
                </c:pt>
                <c:pt idx="241">
                  <c:v>16.07</c:v>
                </c:pt>
                <c:pt idx="242">
                  <c:v>15.96</c:v>
                </c:pt>
                <c:pt idx="243">
                  <c:v>16.059999999999999</c:v>
                </c:pt>
                <c:pt idx="244">
                  <c:v>16.22</c:v>
                </c:pt>
                <c:pt idx="245">
                  <c:v>16.29</c:v>
                </c:pt>
                <c:pt idx="246">
                  <c:v>16.52</c:v>
                </c:pt>
                <c:pt idx="247">
                  <c:v>16.53</c:v>
                </c:pt>
                <c:pt idx="248">
                  <c:v>16.68</c:v>
                </c:pt>
                <c:pt idx="249">
                  <c:v>16.86</c:v>
                </c:pt>
                <c:pt idx="250">
                  <c:v>16.899999999999999</c:v>
                </c:pt>
                <c:pt idx="251">
                  <c:v>16.850000000000001</c:v>
                </c:pt>
                <c:pt idx="252">
                  <c:v>16.79</c:v>
                </c:pt>
                <c:pt idx="253">
                  <c:v>16.309999999999999</c:v>
                </c:pt>
                <c:pt idx="254">
                  <c:v>15.75</c:v>
                </c:pt>
                <c:pt idx="255">
                  <c:v>15.5</c:v>
                </c:pt>
                <c:pt idx="256">
                  <c:v>15.85</c:v>
                </c:pt>
                <c:pt idx="257">
                  <c:v>15.89</c:v>
                </c:pt>
                <c:pt idx="258">
                  <c:v>16.18</c:v>
                </c:pt>
                <c:pt idx="259">
                  <c:v>15.99</c:v>
                </c:pt>
                <c:pt idx="260">
                  <c:v>16.45</c:v>
                </c:pt>
                <c:pt idx="261">
                  <c:v>16.14</c:v>
                </c:pt>
                <c:pt idx="262">
                  <c:v>15.81</c:v>
                </c:pt>
                <c:pt idx="263">
                  <c:v>16.09</c:v>
                </c:pt>
                <c:pt idx="264">
                  <c:v>15.65</c:v>
                </c:pt>
                <c:pt idx="265">
                  <c:v>15.57</c:v>
                </c:pt>
                <c:pt idx="266">
                  <c:v>15.79</c:v>
                </c:pt>
                <c:pt idx="267">
                  <c:v>15.69</c:v>
                </c:pt>
                <c:pt idx="268">
                  <c:v>15.74</c:v>
                </c:pt>
                <c:pt idx="269">
                  <c:v>15.93</c:v>
                </c:pt>
                <c:pt idx="270">
                  <c:v>15.95</c:v>
                </c:pt>
                <c:pt idx="271">
                  <c:v>16.420000000000002</c:v>
                </c:pt>
                <c:pt idx="272">
                  <c:v>16.28</c:v>
                </c:pt>
                <c:pt idx="273">
                  <c:v>16.54</c:v>
                </c:pt>
                <c:pt idx="274">
                  <c:v>16.36</c:v>
                </c:pt>
                <c:pt idx="275">
                  <c:v>16.940000000000001</c:v>
                </c:pt>
                <c:pt idx="276">
                  <c:v>17.05</c:v>
                </c:pt>
                <c:pt idx="277">
                  <c:v>16.45</c:v>
                </c:pt>
                <c:pt idx="278">
                  <c:v>16.32</c:v>
                </c:pt>
                <c:pt idx="279">
                  <c:v>16.36</c:v>
                </c:pt>
                <c:pt idx="280">
                  <c:v>16.46</c:v>
                </c:pt>
                <c:pt idx="281">
                  <c:v>16.37</c:v>
                </c:pt>
                <c:pt idx="282">
                  <c:v>16.399999999999999</c:v>
                </c:pt>
                <c:pt idx="283">
                  <c:v>16.190000000000001</c:v>
                </c:pt>
                <c:pt idx="284">
                  <c:v>15.8</c:v>
                </c:pt>
                <c:pt idx="285">
                  <c:v>16</c:v>
                </c:pt>
                <c:pt idx="286">
                  <c:v>16.05</c:v>
                </c:pt>
                <c:pt idx="287">
                  <c:v>16.29</c:v>
                </c:pt>
                <c:pt idx="288">
                  <c:v>16.22</c:v>
                </c:pt>
                <c:pt idx="289">
                  <c:v>16.39</c:v>
                </c:pt>
                <c:pt idx="290">
                  <c:v>16.739999999999998</c:v>
                </c:pt>
                <c:pt idx="291">
                  <c:v>16.61</c:v>
                </c:pt>
                <c:pt idx="292">
                  <c:v>16.71</c:v>
                </c:pt>
                <c:pt idx="293">
                  <c:v>16.72</c:v>
                </c:pt>
                <c:pt idx="294">
                  <c:v>16.440000000000001</c:v>
                </c:pt>
                <c:pt idx="295">
                  <c:v>16.399999999999999</c:v>
                </c:pt>
                <c:pt idx="296">
                  <c:v>16.010000000000002</c:v>
                </c:pt>
                <c:pt idx="297">
                  <c:v>15.82</c:v>
                </c:pt>
                <c:pt idx="298">
                  <c:v>15.97</c:v>
                </c:pt>
                <c:pt idx="299">
                  <c:v>15.78</c:v>
                </c:pt>
                <c:pt idx="300">
                  <c:v>15.8</c:v>
                </c:pt>
                <c:pt idx="301">
                  <c:v>15.5</c:v>
                </c:pt>
                <c:pt idx="302">
                  <c:v>15.41</c:v>
                </c:pt>
                <c:pt idx="303">
                  <c:v>15.42</c:v>
                </c:pt>
                <c:pt idx="304">
                  <c:v>15.45</c:v>
                </c:pt>
                <c:pt idx="305">
                  <c:v>15.5</c:v>
                </c:pt>
                <c:pt idx="306">
                  <c:v>15.62</c:v>
                </c:pt>
                <c:pt idx="307">
                  <c:v>15.89</c:v>
                </c:pt>
                <c:pt idx="308">
                  <c:v>15.82</c:v>
                </c:pt>
                <c:pt idx="309">
                  <c:v>16.12</c:v>
                </c:pt>
                <c:pt idx="310">
                  <c:v>16.350000000000001</c:v>
                </c:pt>
                <c:pt idx="311">
                  <c:v>16.600000000000001</c:v>
                </c:pt>
                <c:pt idx="312">
                  <c:v>16.55</c:v>
                </c:pt>
                <c:pt idx="313">
                  <c:v>16.75</c:v>
                </c:pt>
                <c:pt idx="314">
                  <c:v>17.05</c:v>
                </c:pt>
                <c:pt idx="315">
                  <c:v>17.79</c:v>
                </c:pt>
                <c:pt idx="316">
                  <c:v>17.61</c:v>
                </c:pt>
                <c:pt idx="317">
                  <c:v>17.54</c:v>
                </c:pt>
                <c:pt idx="318">
                  <c:v>17.559999999999999</c:v>
                </c:pt>
                <c:pt idx="319">
                  <c:v>17.809999999999999</c:v>
                </c:pt>
                <c:pt idx="320">
                  <c:v>17.84</c:v>
                </c:pt>
                <c:pt idx="321">
                  <c:v>17.57</c:v>
                </c:pt>
                <c:pt idx="322">
                  <c:v>17.37</c:v>
                </c:pt>
                <c:pt idx="323">
                  <c:v>17.54</c:v>
                </c:pt>
                <c:pt idx="324">
                  <c:v>17.45</c:v>
                </c:pt>
                <c:pt idx="325">
                  <c:v>18.149999999999999</c:v>
                </c:pt>
                <c:pt idx="326">
                  <c:v>18.22</c:v>
                </c:pt>
                <c:pt idx="327">
                  <c:v>18.149999999999999</c:v>
                </c:pt>
                <c:pt idx="328">
                  <c:v>18.28</c:v>
                </c:pt>
                <c:pt idx="329">
                  <c:v>18.21</c:v>
                </c:pt>
                <c:pt idx="330">
                  <c:v>18.23</c:v>
                </c:pt>
                <c:pt idx="331">
                  <c:v>17.87</c:v>
                </c:pt>
                <c:pt idx="332">
                  <c:v>17.86</c:v>
                </c:pt>
                <c:pt idx="333">
                  <c:v>17.940000000000001</c:v>
                </c:pt>
                <c:pt idx="334">
                  <c:v>17.850000000000001</c:v>
                </c:pt>
                <c:pt idx="335">
                  <c:v>17.649999999999999</c:v>
                </c:pt>
                <c:pt idx="336">
                  <c:v>17.45</c:v>
                </c:pt>
                <c:pt idx="337">
                  <c:v>17.05</c:v>
                </c:pt>
                <c:pt idx="338">
                  <c:v>17.77</c:v>
                </c:pt>
                <c:pt idx="339">
                  <c:v>18</c:v>
                </c:pt>
                <c:pt idx="340">
                  <c:v>18.079999999999998</c:v>
                </c:pt>
                <c:pt idx="341">
                  <c:v>17.760000000000002</c:v>
                </c:pt>
                <c:pt idx="342">
                  <c:v>17.899999999999999</c:v>
                </c:pt>
                <c:pt idx="343">
                  <c:v>17.95</c:v>
                </c:pt>
                <c:pt idx="344">
                  <c:v>17.850000000000001</c:v>
                </c:pt>
                <c:pt idx="345">
                  <c:v>17.64</c:v>
                </c:pt>
                <c:pt idx="346">
                  <c:v>17.55</c:v>
                </c:pt>
                <c:pt idx="347">
                  <c:v>17.29</c:v>
                </c:pt>
                <c:pt idx="348">
                  <c:v>17.21</c:v>
                </c:pt>
                <c:pt idx="349">
                  <c:v>17.399999999999999</c:v>
                </c:pt>
                <c:pt idx="350">
                  <c:v>17.54</c:v>
                </c:pt>
                <c:pt idx="351">
                  <c:v>17.54</c:v>
                </c:pt>
                <c:pt idx="352">
                  <c:v>17.55</c:v>
                </c:pt>
                <c:pt idx="353">
                  <c:v>17.46</c:v>
                </c:pt>
                <c:pt idx="354">
                  <c:v>17.579999999999998</c:v>
                </c:pt>
                <c:pt idx="355">
                  <c:v>17.22</c:v>
                </c:pt>
                <c:pt idx="356">
                  <c:v>17.149999999999999</c:v>
                </c:pt>
                <c:pt idx="357">
                  <c:v>17.27</c:v>
                </c:pt>
                <c:pt idx="358">
                  <c:v>17.34</c:v>
                </c:pt>
                <c:pt idx="359">
                  <c:v>17.43</c:v>
                </c:pt>
                <c:pt idx="360">
                  <c:v>17.41</c:v>
                </c:pt>
                <c:pt idx="361">
                  <c:v>17.8</c:v>
                </c:pt>
                <c:pt idx="362">
                  <c:v>17.55</c:v>
                </c:pt>
                <c:pt idx="363">
                  <c:v>17.48</c:v>
                </c:pt>
                <c:pt idx="364">
                  <c:v>17.73</c:v>
                </c:pt>
                <c:pt idx="365">
                  <c:v>16.63</c:v>
                </c:pt>
                <c:pt idx="366">
                  <c:v>16.63</c:v>
                </c:pt>
                <c:pt idx="367">
                  <c:v>16.84</c:v>
                </c:pt>
                <c:pt idx="368">
                  <c:v>16.899999999999999</c:v>
                </c:pt>
                <c:pt idx="369">
                  <c:v>16.97</c:v>
                </c:pt>
                <c:pt idx="370">
                  <c:v>17</c:v>
                </c:pt>
                <c:pt idx="371">
                  <c:v>16.739999999999998</c:v>
                </c:pt>
                <c:pt idx="372">
                  <c:v>16.739999999999998</c:v>
                </c:pt>
                <c:pt idx="373">
                  <c:v>16.71</c:v>
                </c:pt>
                <c:pt idx="374">
                  <c:v>16.48</c:v>
                </c:pt>
                <c:pt idx="375">
                  <c:v>16.55</c:v>
                </c:pt>
                <c:pt idx="376">
                  <c:v>16.510000000000002</c:v>
                </c:pt>
                <c:pt idx="377">
                  <c:v>16.38</c:v>
                </c:pt>
                <c:pt idx="378">
                  <c:v>16.03</c:v>
                </c:pt>
                <c:pt idx="379">
                  <c:v>15.77</c:v>
                </c:pt>
                <c:pt idx="380">
                  <c:v>15.35</c:v>
                </c:pt>
                <c:pt idx="381">
                  <c:v>15.77</c:v>
                </c:pt>
                <c:pt idx="382">
                  <c:v>16.190000000000001</c:v>
                </c:pt>
                <c:pt idx="383">
                  <c:v>16.170000000000002</c:v>
                </c:pt>
                <c:pt idx="384">
                  <c:v>16.05</c:v>
                </c:pt>
                <c:pt idx="385">
                  <c:v>16.149999999999999</c:v>
                </c:pt>
                <c:pt idx="386">
                  <c:v>16.79</c:v>
                </c:pt>
                <c:pt idx="387">
                  <c:v>15.61</c:v>
                </c:pt>
                <c:pt idx="388">
                  <c:v>15.96</c:v>
                </c:pt>
                <c:pt idx="389">
                  <c:v>15.77</c:v>
                </c:pt>
                <c:pt idx="390">
                  <c:v>16.5</c:v>
                </c:pt>
                <c:pt idx="391">
                  <c:v>17.489999999999998</c:v>
                </c:pt>
                <c:pt idx="392">
                  <c:v>17.309999999999999</c:v>
                </c:pt>
                <c:pt idx="393">
                  <c:v>17.350000000000001</c:v>
                </c:pt>
                <c:pt idx="394">
                  <c:v>17.28</c:v>
                </c:pt>
                <c:pt idx="395">
                  <c:v>17.75</c:v>
                </c:pt>
                <c:pt idx="396">
                  <c:v>17.739999999999998</c:v>
                </c:pt>
                <c:pt idx="397">
                  <c:v>17.91</c:v>
                </c:pt>
                <c:pt idx="398">
                  <c:v>17.68</c:v>
                </c:pt>
                <c:pt idx="399">
                  <c:v>17.420000000000002</c:v>
                </c:pt>
                <c:pt idx="400">
                  <c:v>17.170000000000002</c:v>
                </c:pt>
                <c:pt idx="401">
                  <c:v>17.66</c:v>
                </c:pt>
                <c:pt idx="402">
                  <c:v>17.54</c:v>
                </c:pt>
                <c:pt idx="403">
                  <c:v>17.66</c:v>
                </c:pt>
                <c:pt idx="404">
                  <c:v>17.5</c:v>
                </c:pt>
                <c:pt idx="405">
                  <c:v>17.39</c:v>
                </c:pt>
                <c:pt idx="406">
                  <c:v>17.59</c:v>
                </c:pt>
                <c:pt idx="407">
                  <c:v>18.04</c:v>
                </c:pt>
                <c:pt idx="408">
                  <c:v>18.489999999999998</c:v>
                </c:pt>
                <c:pt idx="409">
                  <c:v>18.89</c:v>
                </c:pt>
                <c:pt idx="410">
                  <c:v>18.78</c:v>
                </c:pt>
                <c:pt idx="411">
                  <c:v>19.079999999999998</c:v>
                </c:pt>
                <c:pt idx="412">
                  <c:v>18.739999999999998</c:v>
                </c:pt>
                <c:pt idx="413">
                  <c:v>18.86</c:v>
                </c:pt>
                <c:pt idx="414">
                  <c:v>19.11</c:v>
                </c:pt>
                <c:pt idx="415">
                  <c:v>19.489999999999998</c:v>
                </c:pt>
                <c:pt idx="416">
                  <c:v>19.75</c:v>
                </c:pt>
                <c:pt idx="417">
                  <c:v>19.75</c:v>
                </c:pt>
                <c:pt idx="418">
                  <c:v>19.809999999999999</c:v>
                </c:pt>
                <c:pt idx="419">
                  <c:v>20.13</c:v>
                </c:pt>
                <c:pt idx="420">
                  <c:v>20.3</c:v>
                </c:pt>
                <c:pt idx="421">
                  <c:v>20.170000000000002</c:v>
                </c:pt>
                <c:pt idx="422">
                  <c:v>20.36</c:v>
                </c:pt>
                <c:pt idx="423">
                  <c:v>20.51</c:v>
                </c:pt>
                <c:pt idx="424">
                  <c:v>20.67</c:v>
                </c:pt>
                <c:pt idx="425">
                  <c:v>20.68</c:v>
                </c:pt>
                <c:pt idx="426">
                  <c:v>20.89</c:v>
                </c:pt>
                <c:pt idx="427">
                  <c:v>20.8</c:v>
                </c:pt>
                <c:pt idx="428">
                  <c:v>20.76</c:v>
                </c:pt>
                <c:pt idx="429">
                  <c:v>21.15</c:v>
                </c:pt>
                <c:pt idx="430">
                  <c:v>21.21</c:v>
                </c:pt>
                <c:pt idx="431">
                  <c:v>21.28</c:v>
                </c:pt>
                <c:pt idx="432">
                  <c:v>20.91</c:v>
                </c:pt>
                <c:pt idx="433">
                  <c:v>20.87</c:v>
                </c:pt>
                <c:pt idx="434">
                  <c:v>20.75</c:v>
                </c:pt>
                <c:pt idx="435">
                  <c:v>20.63</c:v>
                </c:pt>
                <c:pt idx="436">
                  <c:v>20.47</c:v>
                </c:pt>
                <c:pt idx="437">
                  <c:v>20.48</c:v>
                </c:pt>
                <c:pt idx="438">
                  <c:v>20.62</c:v>
                </c:pt>
                <c:pt idx="439">
                  <c:v>20.71</c:v>
                </c:pt>
                <c:pt idx="440">
                  <c:v>20.55</c:v>
                </c:pt>
                <c:pt idx="441">
                  <c:v>20.11</c:v>
                </c:pt>
                <c:pt idx="442">
                  <c:v>20.149999999999999</c:v>
                </c:pt>
                <c:pt idx="443">
                  <c:v>20.51</c:v>
                </c:pt>
                <c:pt idx="444">
                  <c:v>21.77</c:v>
                </c:pt>
                <c:pt idx="445">
                  <c:v>21.41</c:v>
                </c:pt>
                <c:pt idx="446">
                  <c:v>21.58</c:v>
                </c:pt>
                <c:pt idx="447">
                  <c:v>21.59</c:v>
                </c:pt>
                <c:pt idx="448">
                  <c:v>21.66</c:v>
                </c:pt>
                <c:pt idx="449">
                  <c:v>21.5</c:v>
                </c:pt>
                <c:pt idx="450">
                  <c:v>21.63</c:v>
                </c:pt>
                <c:pt idx="451">
                  <c:v>21.52</c:v>
                </c:pt>
                <c:pt idx="452">
                  <c:v>21.51</c:v>
                </c:pt>
                <c:pt idx="453">
                  <c:v>20.84</c:v>
                </c:pt>
                <c:pt idx="454">
                  <c:v>21.02</c:v>
                </c:pt>
                <c:pt idx="455">
                  <c:v>21.38</c:v>
                </c:pt>
                <c:pt idx="456">
                  <c:v>21.53</c:v>
                </c:pt>
                <c:pt idx="457">
                  <c:v>21.65</c:v>
                </c:pt>
                <c:pt idx="458">
                  <c:v>21.66</c:v>
                </c:pt>
                <c:pt idx="459">
                  <c:v>21.61</c:v>
                </c:pt>
                <c:pt idx="460">
                  <c:v>22.27</c:v>
                </c:pt>
                <c:pt idx="461">
                  <c:v>21.54</c:v>
                </c:pt>
                <c:pt idx="462">
                  <c:v>21.99</c:v>
                </c:pt>
                <c:pt idx="463">
                  <c:v>22.2</c:v>
                </c:pt>
                <c:pt idx="464">
                  <c:v>22.25</c:v>
                </c:pt>
                <c:pt idx="465">
                  <c:v>22.11</c:v>
                </c:pt>
                <c:pt idx="466">
                  <c:v>22.21</c:v>
                </c:pt>
                <c:pt idx="467">
                  <c:v>22.1</c:v>
                </c:pt>
                <c:pt idx="468">
                  <c:v>22.02</c:v>
                </c:pt>
                <c:pt idx="469">
                  <c:v>21.74</c:v>
                </c:pt>
                <c:pt idx="470">
                  <c:v>21.74</c:v>
                </c:pt>
                <c:pt idx="471">
                  <c:v>21.41</c:v>
                </c:pt>
                <c:pt idx="472">
                  <c:v>21.03</c:v>
                </c:pt>
                <c:pt idx="473">
                  <c:v>21.11</c:v>
                </c:pt>
                <c:pt idx="474">
                  <c:v>20.99</c:v>
                </c:pt>
                <c:pt idx="475">
                  <c:v>21.62</c:v>
                </c:pt>
                <c:pt idx="476">
                  <c:v>22.04</c:v>
                </c:pt>
                <c:pt idx="477">
                  <c:v>21.72</c:v>
                </c:pt>
                <c:pt idx="478">
                  <c:v>21.67</c:v>
                </c:pt>
                <c:pt idx="479">
                  <c:v>20.88</c:v>
                </c:pt>
                <c:pt idx="480">
                  <c:v>20.91</c:v>
                </c:pt>
                <c:pt idx="481">
                  <c:v>20.66</c:v>
                </c:pt>
                <c:pt idx="482">
                  <c:v>20.54</c:v>
                </c:pt>
                <c:pt idx="483">
                  <c:v>20.47</c:v>
                </c:pt>
                <c:pt idx="484">
                  <c:v>20.75</c:v>
                </c:pt>
                <c:pt idx="485">
                  <c:v>20.96</c:v>
                </c:pt>
                <c:pt idx="486">
                  <c:v>20.94</c:v>
                </c:pt>
                <c:pt idx="487">
                  <c:v>20.96</c:v>
                </c:pt>
                <c:pt idx="488">
                  <c:v>20.68</c:v>
                </c:pt>
                <c:pt idx="489">
                  <c:v>20.59</c:v>
                </c:pt>
                <c:pt idx="490">
                  <c:v>20.350000000000001</c:v>
                </c:pt>
                <c:pt idx="491">
                  <c:v>19.690000000000001</c:v>
                </c:pt>
                <c:pt idx="492">
                  <c:v>19.7</c:v>
                </c:pt>
                <c:pt idx="493">
                  <c:v>19.739999999999998</c:v>
                </c:pt>
                <c:pt idx="494">
                  <c:v>19.88</c:v>
                </c:pt>
                <c:pt idx="495">
                  <c:v>20.079999999999998</c:v>
                </c:pt>
                <c:pt idx="496">
                  <c:v>20.7</c:v>
                </c:pt>
                <c:pt idx="497">
                  <c:v>20.75</c:v>
                </c:pt>
                <c:pt idx="498">
                  <c:v>20.58</c:v>
                </c:pt>
                <c:pt idx="499">
                  <c:v>20.73</c:v>
                </c:pt>
                <c:pt idx="500">
                  <c:v>20.88</c:v>
                </c:pt>
                <c:pt idx="501">
                  <c:v>20.83</c:v>
                </c:pt>
                <c:pt idx="502">
                  <c:v>20.87</c:v>
                </c:pt>
                <c:pt idx="503">
                  <c:v>21.16</c:v>
                </c:pt>
                <c:pt idx="504">
                  <c:v>21.3</c:v>
                </c:pt>
                <c:pt idx="505">
                  <c:v>21.53</c:v>
                </c:pt>
                <c:pt idx="506">
                  <c:v>21.64</c:v>
                </c:pt>
                <c:pt idx="507">
                  <c:v>21.96</c:v>
                </c:pt>
                <c:pt idx="508">
                  <c:v>21.56</c:v>
                </c:pt>
                <c:pt idx="509">
                  <c:v>21.29</c:v>
                </c:pt>
                <c:pt idx="510">
                  <c:v>21.88</c:v>
                </c:pt>
                <c:pt idx="511">
                  <c:v>21.92</c:v>
                </c:pt>
                <c:pt idx="512">
                  <c:v>21.54</c:v>
                </c:pt>
                <c:pt idx="513">
                  <c:v>21.43</c:v>
                </c:pt>
                <c:pt idx="514">
                  <c:v>21.07</c:v>
                </c:pt>
                <c:pt idx="515">
                  <c:v>20.98</c:v>
                </c:pt>
                <c:pt idx="516">
                  <c:v>21.05</c:v>
                </c:pt>
                <c:pt idx="517">
                  <c:v>20.94</c:v>
                </c:pt>
                <c:pt idx="518">
                  <c:v>21.05</c:v>
                </c:pt>
                <c:pt idx="519">
                  <c:v>21.59</c:v>
                </c:pt>
                <c:pt idx="520">
                  <c:v>21.21</c:v>
                </c:pt>
                <c:pt idx="521">
                  <c:v>21.23</c:v>
                </c:pt>
                <c:pt idx="522">
                  <c:v>21.33</c:v>
                </c:pt>
                <c:pt idx="523">
                  <c:v>21.48</c:v>
                </c:pt>
                <c:pt idx="524">
                  <c:v>21.33</c:v>
                </c:pt>
                <c:pt idx="525">
                  <c:v>21.13</c:v>
                </c:pt>
                <c:pt idx="526">
                  <c:v>21.6</c:v>
                </c:pt>
                <c:pt idx="527">
                  <c:v>21.8</c:v>
                </c:pt>
                <c:pt idx="528">
                  <c:v>21.81</c:v>
                </c:pt>
                <c:pt idx="529">
                  <c:v>21.86</c:v>
                </c:pt>
                <c:pt idx="530">
                  <c:v>21.55</c:v>
                </c:pt>
                <c:pt idx="531">
                  <c:v>21.56</c:v>
                </c:pt>
                <c:pt idx="532">
                  <c:v>21.27</c:v>
                </c:pt>
                <c:pt idx="533">
                  <c:v>21.19</c:v>
                </c:pt>
                <c:pt idx="534">
                  <c:v>21.53</c:v>
                </c:pt>
                <c:pt idx="535">
                  <c:v>21.68</c:v>
                </c:pt>
                <c:pt idx="536">
                  <c:v>21.6</c:v>
                </c:pt>
                <c:pt idx="537">
                  <c:v>21.89</c:v>
                </c:pt>
                <c:pt idx="538">
                  <c:v>21.81</c:v>
                </c:pt>
                <c:pt idx="539">
                  <c:v>21.62</c:v>
                </c:pt>
                <c:pt idx="540">
                  <c:v>21.44</c:v>
                </c:pt>
                <c:pt idx="541">
                  <c:v>21.1</c:v>
                </c:pt>
                <c:pt idx="542">
                  <c:v>21</c:v>
                </c:pt>
                <c:pt idx="543">
                  <c:v>21</c:v>
                </c:pt>
                <c:pt idx="544">
                  <c:v>21.22</c:v>
                </c:pt>
                <c:pt idx="545">
                  <c:v>20.97</c:v>
                </c:pt>
                <c:pt idx="546">
                  <c:v>20.93</c:v>
                </c:pt>
                <c:pt idx="547">
                  <c:v>20.69</c:v>
                </c:pt>
                <c:pt idx="548">
                  <c:v>20.52</c:v>
                </c:pt>
                <c:pt idx="549">
                  <c:v>20.45</c:v>
                </c:pt>
                <c:pt idx="550">
                  <c:v>20.3</c:v>
                </c:pt>
                <c:pt idx="551">
                  <c:v>20.03</c:v>
                </c:pt>
                <c:pt idx="552">
                  <c:v>20.02</c:v>
                </c:pt>
                <c:pt idx="553">
                  <c:v>19.87</c:v>
                </c:pt>
                <c:pt idx="554">
                  <c:v>19.71</c:v>
                </c:pt>
                <c:pt idx="555">
                  <c:v>19.73</c:v>
                </c:pt>
                <c:pt idx="556">
                  <c:v>19.55</c:v>
                </c:pt>
                <c:pt idx="557">
                  <c:v>20.47</c:v>
                </c:pt>
                <c:pt idx="558">
                  <c:v>20.97</c:v>
                </c:pt>
                <c:pt idx="559">
                  <c:v>20.81</c:v>
                </c:pt>
                <c:pt idx="560">
                  <c:v>21.26</c:v>
                </c:pt>
                <c:pt idx="561">
                  <c:v>21.25</c:v>
                </c:pt>
                <c:pt idx="562">
                  <c:v>21.43</c:v>
                </c:pt>
                <c:pt idx="563">
                  <c:v>20.69</c:v>
                </c:pt>
                <c:pt idx="564">
                  <c:v>20.55</c:v>
                </c:pt>
                <c:pt idx="565">
                  <c:v>20.76</c:v>
                </c:pt>
                <c:pt idx="566">
                  <c:v>20.49</c:v>
                </c:pt>
                <c:pt idx="567">
                  <c:v>20.38</c:v>
                </c:pt>
                <c:pt idx="568">
                  <c:v>20.92</c:v>
                </c:pt>
                <c:pt idx="569">
                  <c:v>19.3</c:v>
                </c:pt>
                <c:pt idx="570">
                  <c:v>19.420000000000002</c:v>
                </c:pt>
                <c:pt idx="571">
                  <c:v>19.09</c:v>
                </c:pt>
                <c:pt idx="572">
                  <c:v>19.18</c:v>
                </c:pt>
                <c:pt idx="573">
                  <c:v>18.7</c:v>
                </c:pt>
                <c:pt idx="574">
                  <c:v>18.21</c:v>
                </c:pt>
                <c:pt idx="575">
                  <c:v>18.14</c:v>
                </c:pt>
                <c:pt idx="576">
                  <c:v>18.329999999999998</c:v>
                </c:pt>
                <c:pt idx="577">
                  <c:v>18.27</c:v>
                </c:pt>
                <c:pt idx="578">
                  <c:v>18.21</c:v>
                </c:pt>
                <c:pt idx="579">
                  <c:v>18.079999999999998</c:v>
                </c:pt>
                <c:pt idx="580">
                  <c:v>17.64</c:v>
                </c:pt>
                <c:pt idx="581">
                  <c:v>17.510000000000002</c:v>
                </c:pt>
                <c:pt idx="582">
                  <c:v>17.510000000000002</c:v>
                </c:pt>
                <c:pt idx="583">
                  <c:v>17.13</c:v>
                </c:pt>
                <c:pt idx="584">
                  <c:v>17.239999999999998</c:v>
                </c:pt>
                <c:pt idx="585">
                  <c:v>17.05</c:v>
                </c:pt>
                <c:pt idx="586">
                  <c:v>16.98</c:v>
                </c:pt>
                <c:pt idx="587">
                  <c:v>17.18</c:v>
                </c:pt>
                <c:pt idx="588">
                  <c:v>16.84</c:v>
                </c:pt>
                <c:pt idx="589">
                  <c:v>16.87</c:v>
                </c:pt>
                <c:pt idx="590">
                  <c:v>16.73</c:v>
                </c:pt>
                <c:pt idx="591">
                  <c:v>16.739999999999998</c:v>
                </c:pt>
                <c:pt idx="592">
                  <c:v>16.79</c:v>
                </c:pt>
                <c:pt idx="593">
                  <c:v>16.73</c:v>
                </c:pt>
                <c:pt idx="594">
                  <c:v>16.77</c:v>
                </c:pt>
                <c:pt idx="595">
                  <c:v>16.93</c:v>
                </c:pt>
                <c:pt idx="596">
                  <c:v>16.489999999999998</c:v>
                </c:pt>
                <c:pt idx="597">
                  <c:v>16.12</c:v>
                </c:pt>
                <c:pt idx="598">
                  <c:v>15.79</c:v>
                </c:pt>
                <c:pt idx="599">
                  <c:v>15.84</c:v>
                </c:pt>
                <c:pt idx="600">
                  <c:v>15.75</c:v>
                </c:pt>
                <c:pt idx="601">
                  <c:v>15.55</c:v>
                </c:pt>
                <c:pt idx="602">
                  <c:v>15.69</c:v>
                </c:pt>
                <c:pt idx="603">
                  <c:v>15.96</c:v>
                </c:pt>
                <c:pt idx="604">
                  <c:v>16</c:v>
                </c:pt>
                <c:pt idx="605">
                  <c:v>16.03</c:v>
                </c:pt>
                <c:pt idx="606">
                  <c:v>15.91</c:v>
                </c:pt>
                <c:pt idx="607">
                  <c:v>15.67</c:v>
                </c:pt>
                <c:pt idx="608">
                  <c:v>15.78</c:v>
                </c:pt>
                <c:pt idx="609">
                  <c:v>15.78</c:v>
                </c:pt>
                <c:pt idx="610">
                  <c:v>15.89</c:v>
                </c:pt>
                <c:pt idx="611">
                  <c:v>15.71</c:v>
                </c:pt>
                <c:pt idx="612">
                  <c:v>15.62</c:v>
                </c:pt>
                <c:pt idx="613">
                  <c:v>15.59</c:v>
                </c:pt>
                <c:pt idx="614">
                  <c:v>15.55</c:v>
                </c:pt>
                <c:pt idx="615">
                  <c:v>15.64</c:v>
                </c:pt>
                <c:pt idx="616">
                  <c:v>15.75</c:v>
                </c:pt>
                <c:pt idx="617">
                  <c:v>15.78</c:v>
                </c:pt>
                <c:pt idx="618">
                  <c:v>15.64</c:v>
                </c:pt>
                <c:pt idx="619">
                  <c:v>15.6</c:v>
                </c:pt>
                <c:pt idx="620">
                  <c:v>15.55</c:v>
                </c:pt>
                <c:pt idx="621">
                  <c:v>15.45</c:v>
                </c:pt>
                <c:pt idx="622">
                  <c:v>15.4</c:v>
                </c:pt>
                <c:pt idx="623">
                  <c:v>15.64</c:v>
                </c:pt>
                <c:pt idx="624">
                  <c:v>15.61</c:v>
                </c:pt>
                <c:pt idx="625">
                  <c:v>15.67</c:v>
                </c:pt>
                <c:pt idx="626">
                  <c:v>15.7</c:v>
                </c:pt>
                <c:pt idx="627">
                  <c:v>15.81</c:v>
                </c:pt>
                <c:pt idx="628">
                  <c:v>15.94</c:v>
                </c:pt>
                <c:pt idx="629">
                  <c:v>15.49</c:v>
                </c:pt>
                <c:pt idx="630">
                  <c:v>15.21</c:v>
                </c:pt>
                <c:pt idx="631">
                  <c:v>15.62</c:v>
                </c:pt>
                <c:pt idx="632">
                  <c:v>15.71</c:v>
                </c:pt>
                <c:pt idx="633">
                  <c:v>15.91</c:v>
                </c:pt>
                <c:pt idx="634">
                  <c:v>16.329999999999998</c:v>
                </c:pt>
                <c:pt idx="635">
                  <c:v>16.53</c:v>
                </c:pt>
                <c:pt idx="636">
                  <c:v>16.59</c:v>
                </c:pt>
                <c:pt idx="637">
                  <c:v>16.760000000000002</c:v>
                </c:pt>
                <c:pt idx="638">
                  <c:v>16.46</c:v>
                </c:pt>
                <c:pt idx="639">
                  <c:v>16.43</c:v>
                </c:pt>
                <c:pt idx="640">
                  <c:v>16.36</c:v>
                </c:pt>
                <c:pt idx="641">
                  <c:v>16.329999999999998</c:v>
                </c:pt>
                <c:pt idx="642">
                  <c:v>16.2</c:v>
                </c:pt>
                <c:pt idx="643">
                  <c:v>16.2</c:v>
                </c:pt>
                <c:pt idx="644">
                  <c:v>16.52</c:v>
                </c:pt>
                <c:pt idx="645">
                  <c:v>16.39</c:v>
                </c:pt>
                <c:pt idx="646">
                  <c:v>16.36</c:v>
                </c:pt>
                <c:pt idx="647">
                  <c:v>16.25</c:v>
                </c:pt>
                <c:pt idx="648">
                  <c:v>16.329999999999998</c:v>
                </c:pt>
                <c:pt idx="649">
                  <c:v>16.78</c:v>
                </c:pt>
                <c:pt idx="650">
                  <c:v>17.440000000000001</c:v>
                </c:pt>
                <c:pt idx="651">
                  <c:v>17.37</c:v>
                </c:pt>
                <c:pt idx="652">
                  <c:v>17.66</c:v>
                </c:pt>
                <c:pt idx="653">
                  <c:v>17.72</c:v>
                </c:pt>
                <c:pt idx="654">
                  <c:v>18.12</c:v>
                </c:pt>
                <c:pt idx="655">
                  <c:v>17.87</c:v>
                </c:pt>
                <c:pt idx="656">
                  <c:v>17.89</c:v>
                </c:pt>
                <c:pt idx="657">
                  <c:v>17.71</c:v>
                </c:pt>
                <c:pt idx="658">
                  <c:v>17.75</c:v>
                </c:pt>
                <c:pt idx="659">
                  <c:v>17.87</c:v>
                </c:pt>
                <c:pt idx="660">
                  <c:v>17.809999999999999</c:v>
                </c:pt>
                <c:pt idx="661">
                  <c:v>17.78</c:v>
                </c:pt>
                <c:pt idx="662">
                  <c:v>18.25</c:v>
                </c:pt>
                <c:pt idx="663">
                  <c:v>18.27</c:v>
                </c:pt>
                <c:pt idx="664">
                  <c:v>18.39</c:v>
                </c:pt>
                <c:pt idx="665">
                  <c:v>18.38</c:v>
                </c:pt>
                <c:pt idx="666">
                  <c:v>18.43</c:v>
                </c:pt>
                <c:pt idx="667">
                  <c:v>18.420000000000002</c:v>
                </c:pt>
                <c:pt idx="668">
                  <c:v>18.53</c:v>
                </c:pt>
                <c:pt idx="669">
                  <c:v>18.72</c:v>
                </c:pt>
                <c:pt idx="670">
                  <c:v>18.23</c:v>
                </c:pt>
                <c:pt idx="671">
                  <c:v>18.45</c:v>
                </c:pt>
                <c:pt idx="672">
                  <c:v>18.86</c:v>
                </c:pt>
                <c:pt idx="673">
                  <c:v>18.72</c:v>
                </c:pt>
                <c:pt idx="674">
                  <c:v>18.600000000000001</c:v>
                </c:pt>
                <c:pt idx="675">
                  <c:v>18.3</c:v>
                </c:pt>
                <c:pt idx="676">
                  <c:v>18.559999999999999</c:v>
                </c:pt>
                <c:pt idx="677">
                  <c:v>18.52</c:v>
                </c:pt>
                <c:pt idx="678">
                  <c:v>18.600000000000001</c:v>
                </c:pt>
                <c:pt idx="679">
                  <c:v>18.829999999999998</c:v>
                </c:pt>
                <c:pt idx="680">
                  <c:v>18.989999999999998</c:v>
                </c:pt>
                <c:pt idx="681">
                  <c:v>18.71</c:v>
                </c:pt>
                <c:pt idx="682">
                  <c:v>18.75</c:v>
                </c:pt>
                <c:pt idx="683">
                  <c:v>18.600000000000001</c:v>
                </c:pt>
                <c:pt idx="684">
                  <c:v>18.3</c:v>
                </c:pt>
                <c:pt idx="685">
                  <c:v>18.38</c:v>
                </c:pt>
                <c:pt idx="686">
                  <c:v>18.59</c:v>
                </c:pt>
                <c:pt idx="687">
                  <c:v>18.63</c:v>
                </c:pt>
                <c:pt idx="688">
                  <c:v>18.510000000000002</c:v>
                </c:pt>
                <c:pt idx="689">
                  <c:v>18.420000000000002</c:v>
                </c:pt>
                <c:pt idx="690">
                  <c:v>18.239999999999998</c:v>
                </c:pt>
                <c:pt idx="691">
                  <c:v>18.309999999999999</c:v>
                </c:pt>
                <c:pt idx="692">
                  <c:v>18.420000000000002</c:v>
                </c:pt>
                <c:pt idx="693">
                  <c:v>18.27</c:v>
                </c:pt>
                <c:pt idx="694">
                  <c:v>18.010000000000002</c:v>
                </c:pt>
                <c:pt idx="695">
                  <c:v>17.940000000000001</c:v>
                </c:pt>
                <c:pt idx="696">
                  <c:v>18.059999999999999</c:v>
                </c:pt>
                <c:pt idx="697">
                  <c:v>17.34</c:v>
                </c:pt>
                <c:pt idx="698">
                  <c:v>16.68</c:v>
                </c:pt>
                <c:pt idx="699">
                  <c:v>16.82</c:v>
                </c:pt>
                <c:pt idx="700">
                  <c:v>16.96</c:v>
                </c:pt>
                <c:pt idx="701">
                  <c:v>16.68</c:v>
                </c:pt>
                <c:pt idx="702">
                  <c:v>16.649999999999999</c:v>
                </c:pt>
                <c:pt idx="703">
                  <c:v>16.62</c:v>
                </c:pt>
                <c:pt idx="704">
                  <c:v>16.66</c:v>
                </c:pt>
                <c:pt idx="705">
                  <c:v>16.940000000000001</c:v>
                </c:pt>
                <c:pt idx="706">
                  <c:v>17.100000000000001</c:v>
                </c:pt>
                <c:pt idx="707">
                  <c:v>17.14</c:v>
                </c:pt>
                <c:pt idx="708">
                  <c:v>17</c:v>
                </c:pt>
                <c:pt idx="709">
                  <c:v>17.29</c:v>
                </c:pt>
                <c:pt idx="710">
                  <c:v>16.96</c:v>
                </c:pt>
                <c:pt idx="711">
                  <c:v>16.97</c:v>
                </c:pt>
                <c:pt idx="712">
                  <c:v>17.309999999999999</c:v>
                </c:pt>
                <c:pt idx="713">
                  <c:v>17.32</c:v>
                </c:pt>
                <c:pt idx="714">
                  <c:v>17.2</c:v>
                </c:pt>
                <c:pt idx="715">
                  <c:v>16.93</c:v>
                </c:pt>
                <c:pt idx="716">
                  <c:v>16.100000000000001</c:v>
                </c:pt>
                <c:pt idx="717">
                  <c:v>16.170000000000002</c:v>
                </c:pt>
                <c:pt idx="718">
                  <c:v>16.04</c:v>
                </c:pt>
                <c:pt idx="719">
                  <c:v>16.489999999999998</c:v>
                </c:pt>
                <c:pt idx="720">
                  <c:v>16.25</c:v>
                </c:pt>
                <c:pt idx="721">
                  <c:v>16.3</c:v>
                </c:pt>
                <c:pt idx="722">
                  <c:v>16.09</c:v>
                </c:pt>
                <c:pt idx="723">
                  <c:v>16.3</c:v>
                </c:pt>
                <c:pt idx="724">
                  <c:v>16.34</c:v>
                </c:pt>
                <c:pt idx="725">
                  <c:v>16.170000000000002</c:v>
                </c:pt>
                <c:pt idx="726">
                  <c:v>16.239999999999998</c:v>
                </c:pt>
                <c:pt idx="727">
                  <c:v>16.25</c:v>
                </c:pt>
                <c:pt idx="728">
                  <c:v>16.010000000000002</c:v>
                </c:pt>
                <c:pt idx="729">
                  <c:v>16.100000000000001</c:v>
                </c:pt>
                <c:pt idx="730">
                  <c:v>16.2</c:v>
                </c:pt>
                <c:pt idx="731">
                  <c:v>16.07</c:v>
                </c:pt>
                <c:pt idx="732">
                  <c:v>16.16</c:v>
                </c:pt>
                <c:pt idx="733">
                  <c:v>16.13</c:v>
                </c:pt>
                <c:pt idx="734">
                  <c:v>15.91</c:v>
                </c:pt>
                <c:pt idx="735">
                  <c:v>16</c:v>
                </c:pt>
                <c:pt idx="736">
                  <c:v>15.59</c:v>
                </c:pt>
                <c:pt idx="737">
                  <c:v>15.25</c:v>
                </c:pt>
                <c:pt idx="738">
                  <c:v>15.32</c:v>
                </c:pt>
                <c:pt idx="739">
                  <c:v>15.08</c:v>
                </c:pt>
                <c:pt idx="740">
                  <c:v>15.36</c:v>
                </c:pt>
                <c:pt idx="741">
                  <c:v>15.47</c:v>
                </c:pt>
                <c:pt idx="742">
                  <c:v>15.54</c:v>
                </c:pt>
                <c:pt idx="743">
                  <c:v>15.37</c:v>
                </c:pt>
                <c:pt idx="744">
                  <c:v>15.38</c:v>
                </c:pt>
                <c:pt idx="745">
                  <c:v>15.11</c:v>
                </c:pt>
                <c:pt idx="746">
                  <c:v>15.13</c:v>
                </c:pt>
                <c:pt idx="747">
                  <c:v>15.2</c:v>
                </c:pt>
                <c:pt idx="748">
                  <c:v>15.15</c:v>
                </c:pt>
                <c:pt idx="749">
                  <c:v>15.04</c:v>
                </c:pt>
                <c:pt idx="750">
                  <c:v>15.09</c:v>
                </c:pt>
                <c:pt idx="751">
                  <c:v>15.46</c:v>
                </c:pt>
                <c:pt idx="752">
                  <c:v>15.26</c:v>
                </c:pt>
                <c:pt idx="753">
                  <c:v>15.44</c:v>
                </c:pt>
                <c:pt idx="754">
                  <c:v>15.55</c:v>
                </c:pt>
                <c:pt idx="755">
                  <c:v>15.59</c:v>
                </c:pt>
                <c:pt idx="756">
                  <c:v>15.78</c:v>
                </c:pt>
                <c:pt idx="757">
                  <c:v>15.65</c:v>
                </c:pt>
                <c:pt idx="758">
                  <c:v>15.37</c:v>
                </c:pt>
                <c:pt idx="759">
                  <c:v>14.97</c:v>
                </c:pt>
                <c:pt idx="760">
                  <c:v>16.02</c:v>
                </c:pt>
                <c:pt idx="761">
                  <c:v>16.239999999999998</c:v>
                </c:pt>
                <c:pt idx="762">
                  <c:v>16.149999999999999</c:v>
                </c:pt>
                <c:pt idx="763">
                  <c:v>16.18</c:v>
                </c:pt>
                <c:pt idx="764">
                  <c:v>16.02</c:v>
                </c:pt>
                <c:pt idx="765">
                  <c:v>15.86</c:v>
                </c:pt>
                <c:pt idx="766">
                  <c:v>15.46</c:v>
                </c:pt>
                <c:pt idx="767">
                  <c:v>15.63</c:v>
                </c:pt>
                <c:pt idx="768">
                  <c:v>15.56</c:v>
                </c:pt>
                <c:pt idx="769">
                  <c:v>15.43</c:v>
                </c:pt>
                <c:pt idx="770">
                  <c:v>15.86</c:v>
                </c:pt>
                <c:pt idx="771">
                  <c:v>15.71</c:v>
                </c:pt>
                <c:pt idx="772">
                  <c:v>16.02</c:v>
                </c:pt>
                <c:pt idx="773">
                  <c:v>16.170000000000002</c:v>
                </c:pt>
                <c:pt idx="774">
                  <c:v>16.14</c:v>
                </c:pt>
                <c:pt idx="775">
                  <c:v>16.27</c:v>
                </c:pt>
                <c:pt idx="776">
                  <c:v>16.18</c:v>
                </c:pt>
                <c:pt idx="777">
                  <c:v>16.149999999999999</c:v>
                </c:pt>
                <c:pt idx="778">
                  <c:v>16.149999999999999</c:v>
                </c:pt>
                <c:pt idx="779">
                  <c:v>16.47</c:v>
                </c:pt>
                <c:pt idx="780">
                  <c:v>16.37</c:v>
                </c:pt>
                <c:pt idx="781">
                  <c:v>16.43</c:v>
                </c:pt>
                <c:pt idx="782">
                  <c:v>16.329999999999998</c:v>
                </c:pt>
                <c:pt idx="783">
                  <c:v>16.149999999999999</c:v>
                </c:pt>
                <c:pt idx="784">
                  <c:v>15.94</c:v>
                </c:pt>
                <c:pt idx="785">
                  <c:v>15.99</c:v>
                </c:pt>
                <c:pt idx="786">
                  <c:v>16.16</c:v>
                </c:pt>
                <c:pt idx="787">
                  <c:v>15.94</c:v>
                </c:pt>
                <c:pt idx="788">
                  <c:v>15.8</c:v>
                </c:pt>
                <c:pt idx="789">
                  <c:v>15.96</c:v>
                </c:pt>
                <c:pt idx="790">
                  <c:v>15.85</c:v>
                </c:pt>
                <c:pt idx="791">
                  <c:v>15.76</c:v>
                </c:pt>
                <c:pt idx="792">
                  <c:v>15.69</c:v>
                </c:pt>
                <c:pt idx="793">
                  <c:v>15.58</c:v>
                </c:pt>
                <c:pt idx="794">
                  <c:v>15.71</c:v>
                </c:pt>
                <c:pt idx="795">
                  <c:v>15.45</c:v>
                </c:pt>
                <c:pt idx="796">
                  <c:v>15.35</c:v>
                </c:pt>
                <c:pt idx="797">
                  <c:v>15.21</c:v>
                </c:pt>
                <c:pt idx="798">
                  <c:v>15.44</c:v>
                </c:pt>
                <c:pt idx="799">
                  <c:v>15.58</c:v>
                </c:pt>
                <c:pt idx="800">
                  <c:v>15.58</c:v>
                </c:pt>
                <c:pt idx="801">
                  <c:v>15.34</c:v>
                </c:pt>
                <c:pt idx="802">
                  <c:v>15.17</c:v>
                </c:pt>
                <c:pt idx="803">
                  <c:v>15.35</c:v>
                </c:pt>
                <c:pt idx="804">
                  <c:v>15.2</c:v>
                </c:pt>
                <c:pt idx="805">
                  <c:v>15.25</c:v>
                </c:pt>
                <c:pt idx="806">
                  <c:v>15.26</c:v>
                </c:pt>
                <c:pt idx="807">
                  <c:v>15.2</c:v>
                </c:pt>
                <c:pt idx="808">
                  <c:v>15.02</c:v>
                </c:pt>
                <c:pt idx="809">
                  <c:v>15.03</c:v>
                </c:pt>
                <c:pt idx="810">
                  <c:v>15.28</c:v>
                </c:pt>
                <c:pt idx="811">
                  <c:v>15.15</c:v>
                </c:pt>
                <c:pt idx="812">
                  <c:v>14.97</c:v>
                </c:pt>
                <c:pt idx="813">
                  <c:v>15.13</c:v>
                </c:pt>
                <c:pt idx="814">
                  <c:v>15.12</c:v>
                </c:pt>
                <c:pt idx="815">
                  <c:v>14.9</c:v>
                </c:pt>
                <c:pt idx="816">
                  <c:v>14.75</c:v>
                </c:pt>
                <c:pt idx="817">
                  <c:v>14.83</c:v>
                </c:pt>
                <c:pt idx="818">
                  <c:v>14.75</c:v>
                </c:pt>
                <c:pt idx="819">
                  <c:v>16.11</c:v>
                </c:pt>
                <c:pt idx="820">
                  <c:v>16.260000000000002</c:v>
                </c:pt>
                <c:pt idx="821">
                  <c:v>15.73</c:v>
                </c:pt>
                <c:pt idx="822">
                  <c:v>15.5</c:v>
                </c:pt>
                <c:pt idx="823">
                  <c:v>15.27</c:v>
                </c:pt>
                <c:pt idx="824">
                  <c:v>14.62</c:v>
                </c:pt>
                <c:pt idx="825">
                  <c:v>14.77</c:v>
                </c:pt>
                <c:pt idx="826">
                  <c:v>14.56</c:v>
                </c:pt>
                <c:pt idx="827">
                  <c:v>14.6</c:v>
                </c:pt>
                <c:pt idx="828">
                  <c:v>14.62</c:v>
                </c:pt>
                <c:pt idx="829">
                  <c:v>14.79</c:v>
                </c:pt>
                <c:pt idx="830">
                  <c:v>14.68</c:v>
                </c:pt>
                <c:pt idx="831">
                  <c:v>14.62</c:v>
                </c:pt>
                <c:pt idx="832">
                  <c:v>14.46</c:v>
                </c:pt>
                <c:pt idx="833">
                  <c:v>14.33</c:v>
                </c:pt>
                <c:pt idx="834">
                  <c:v>14.21</c:v>
                </c:pt>
                <c:pt idx="835">
                  <c:v>14.1</c:v>
                </c:pt>
                <c:pt idx="836">
                  <c:v>13.83</c:v>
                </c:pt>
                <c:pt idx="837">
                  <c:v>14.07</c:v>
                </c:pt>
                <c:pt idx="838">
                  <c:v>14</c:v>
                </c:pt>
                <c:pt idx="839">
                  <c:v>14.23</c:v>
                </c:pt>
                <c:pt idx="840">
                  <c:v>14.4</c:v>
                </c:pt>
                <c:pt idx="841">
                  <c:v>14.21</c:v>
                </c:pt>
                <c:pt idx="842">
                  <c:v>14.15</c:v>
                </c:pt>
                <c:pt idx="843">
                  <c:v>14.42</c:v>
                </c:pt>
                <c:pt idx="844">
                  <c:v>14.38</c:v>
                </c:pt>
                <c:pt idx="845">
                  <c:v>14.05</c:v>
                </c:pt>
                <c:pt idx="846">
                  <c:v>14.04</c:v>
                </c:pt>
                <c:pt idx="847">
                  <c:v>14.23</c:v>
                </c:pt>
                <c:pt idx="848">
                  <c:v>14.23</c:v>
                </c:pt>
                <c:pt idx="849">
                  <c:v>14.01</c:v>
                </c:pt>
                <c:pt idx="850">
                  <c:v>14.37</c:v>
                </c:pt>
                <c:pt idx="851">
                  <c:v>14.4</c:v>
                </c:pt>
                <c:pt idx="852">
                  <c:v>14.32</c:v>
                </c:pt>
                <c:pt idx="853">
                  <c:v>14.27</c:v>
                </c:pt>
                <c:pt idx="854">
                  <c:v>14.24</c:v>
                </c:pt>
                <c:pt idx="855">
                  <c:v>14.05</c:v>
                </c:pt>
                <c:pt idx="856">
                  <c:v>13.96</c:v>
                </c:pt>
                <c:pt idx="857">
                  <c:v>13.94</c:v>
                </c:pt>
                <c:pt idx="858">
                  <c:v>14.05</c:v>
                </c:pt>
                <c:pt idx="859">
                  <c:v>13.69</c:v>
                </c:pt>
                <c:pt idx="860">
                  <c:v>13.6</c:v>
                </c:pt>
                <c:pt idx="861">
                  <c:v>13.63</c:v>
                </c:pt>
                <c:pt idx="862">
                  <c:v>13.56</c:v>
                </c:pt>
                <c:pt idx="863">
                  <c:v>13.77</c:v>
                </c:pt>
                <c:pt idx="864">
                  <c:v>13.53</c:v>
                </c:pt>
                <c:pt idx="865">
                  <c:v>13.49</c:v>
                </c:pt>
                <c:pt idx="866">
                  <c:v>13.73</c:v>
                </c:pt>
                <c:pt idx="867">
                  <c:v>13.7</c:v>
                </c:pt>
                <c:pt idx="868">
                  <c:v>13.7</c:v>
                </c:pt>
                <c:pt idx="869">
                  <c:v>13.69</c:v>
                </c:pt>
                <c:pt idx="870">
                  <c:v>13.73</c:v>
                </c:pt>
                <c:pt idx="871">
                  <c:v>13.8</c:v>
                </c:pt>
                <c:pt idx="872">
                  <c:v>13.95</c:v>
                </c:pt>
                <c:pt idx="873">
                  <c:v>13.9</c:v>
                </c:pt>
                <c:pt idx="874">
                  <c:v>13.95</c:v>
                </c:pt>
                <c:pt idx="875">
                  <c:v>13.74</c:v>
                </c:pt>
                <c:pt idx="876">
                  <c:v>13.33</c:v>
                </c:pt>
                <c:pt idx="877">
                  <c:v>13.27</c:v>
                </c:pt>
                <c:pt idx="878">
                  <c:v>13.3</c:v>
                </c:pt>
                <c:pt idx="879">
                  <c:v>13.35</c:v>
                </c:pt>
                <c:pt idx="880">
                  <c:v>13.33</c:v>
                </c:pt>
                <c:pt idx="881">
                  <c:v>13.3</c:v>
                </c:pt>
                <c:pt idx="882">
                  <c:v>13.43</c:v>
                </c:pt>
                <c:pt idx="883">
                  <c:v>13.63</c:v>
                </c:pt>
                <c:pt idx="884">
                  <c:v>13.62</c:v>
                </c:pt>
                <c:pt idx="885">
                  <c:v>13.82</c:v>
                </c:pt>
                <c:pt idx="886">
                  <c:v>15.32</c:v>
                </c:pt>
                <c:pt idx="887">
                  <c:v>15.66</c:v>
                </c:pt>
                <c:pt idx="888">
                  <c:v>15.61</c:v>
                </c:pt>
                <c:pt idx="889">
                  <c:v>15.48</c:v>
                </c:pt>
                <c:pt idx="890">
                  <c:v>15.55</c:v>
                </c:pt>
                <c:pt idx="891">
                  <c:v>15.59</c:v>
                </c:pt>
                <c:pt idx="892">
                  <c:v>15.63</c:v>
                </c:pt>
                <c:pt idx="893">
                  <c:v>15.65</c:v>
                </c:pt>
                <c:pt idx="894">
                  <c:v>15.38</c:v>
                </c:pt>
                <c:pt idx="895">
                  <c:v>15.22</c:v>
                </c:pt>
                <c:pt idx="896">
                  <c:v>15.05</c:v>
                </c:pt>
                <c:pt idx="897">
                  <c:v>15.27</c:v>
                </c:pt>
                <c:pt idx="898">
                  <c:v>15.08</c:v>
                </c:pt>
                <c:pt idx="899">
                  <c:v>15.2</c:v>
                </c:pt>
                <c:pt idx="900">
                  <c:v>14.9</c:v>
                </c:pt>
                <c:pt idx="901">
                  <c:v>15.16</c:v>
                </c:pt>
                <c:pt idx="902">
                  <c:v>15.19</c:v>
                </c:pt>
                <c:pt idx="903">
                  <c:v>15.16</c:v>
                </c:pt>
                <c:pt idx="904">
                  <c:v>15.43</c:v>
                </c:pt>
                <c:pt idx="905">
                  <c:v>15.19</c:v>
                </c:pt>
                <c:pt idx="906">
                  <c:v>15.55</c:v>
                </c:pt>
                <c:pt idx="907">
                  <c:v>15.5</c:v>
                </c:pt>
                <c:pt idx="908">
                  <c:v>15.87</c:v>
                </c:pt>
                <c:pt idx="909">
                  <c:v>15.9</c:v>
                </c:pt>
                <c:pt idx="910">
                  <c:v>16.3</c:v>
                </c:pt>
                <c:pt idx="911">
                  <c:v>16.350000000000001</c:v>
                </c:pt>
                <c:pt idx="912">
                  <c:v>16.39</c:v>
                </c:pt>
                <c:pt idx="913">
                  <c:v>16.32</c:v>
                </c:pt>
                <c:pt idx="914">
                  <c:v>16.239999999999998</c:v>
                </c:pt>
                <c:pt idx="915">
                  <c:v>16.170000000000002</c:v>
                </c:pt>
                <c:pt idx="916">
                  <c:v>16.100000000000001</c:v>
                </c:pt>
                <c:pt idx="917">
                  <c:v>16.3</c:v>
                </c:pt>
                <c:pt idx="918">
                  <c:v>16.45</c:v>
                </c:pt>
                <c:pt idx="919">
                  <c:v>16.78</c:v>
                </c:pt>
                <c:pt idx="920">
                  <c:v>16.71</c:v>
                </c:pt>
                <c:pt idx="921">
                  <c:v>16.86</c:v>
                </c:pt>
                <c:pt idx="922">
                  <c:v>17.12</c:v>
                </c:pt>
                <c:pt idx="923">
                  <c:v>17.16</c:v>
                </c:pt>
                <c:pt idx="924">
                  <c:v>17.260000000000002</c:v>
                </c:pt>
                <c:pt idx="925">
                  <c:v>17.16</c:v>
                </c:pt>
                <c:pt idx="926">
                  <c:v>17.07</c:v>
                </c:pt>
                <c:pt idx="927">
                  <c:v>17.2</c:v>
                </c:pt>
                <c:pt idx="928">
                  <c:v>17.36</c:v>
                </c:pt>
                <c:pt idx="929">
                  <c:v>17.2</c:v>
                </c:pt>
                <c:pt idx="930">
                  <c:v>17.079999999999998</c:v>
                </c:pt>
                <c:pt idx="931">
                  <c:v>16.89</c:v>
                </c:pt>
                <c:pt idx="932">
                  <c:v>17.3</c:v>
                </c:pt>
                <c:pt idx="933">
                  <c:v>17.510000000000002</c:v>
                </c:pt>
                <c:pt idx="934">
                  <c:v>17.07</c:v>
                </c:pt>
                <c:pt idx="935">
                  <c:v>16.87</c:v>
                </c:pt>
                <c:pt idx="936">
                  <c:v>16.77</c:v>
                </c:pt>
                <c:pt idx="937">
                  <c:v>16.75</c:v>
                </c:pt>
                <c:pt idx="938">
                  <c:v>17</c:v>
                </c:pt>
                <c:pt idx="939">
                  <c:v>16.71</c:v>
                </c:pt>
                <c:pt idx="940">
                  <c:v>16.96</c:v>
                </c:pt>
                <c:pt idx="941">
                  <c:v>17.100000000000001</c:v>
                </c:pt>
                <c:pt idx="942">
                  <c:v>16.850000000000001</c:v>
                </c:pt>
                <c:pt idx="943">
                  <c:v>16.88</c:v>
                </c:pt>
                <c:pt idx="944">
                  <c:v>16.829999999999998</c:v>
                </c:pt>
                <c:pt idx="945">
                  <c:v>16.760000000000002</c:v>
                </c:pt>
                <c:pt idx="946">
                  <c:v>16.62</c:v>
                </c:pt>
                <c:pt idx="947">
                  <c:v>16.510000000000002</c:v>
                </c:pt>
                <c:pt idx="948">
                  <c:v>16.260000000000002</c:v>
                </c:pt>
                <c:pt idx="949">
                  <c:v>16</c:v>
                </c:pt>
                <c:pt idx="950">
                  <c:v>16.149999999999999</c:v>
                </c:pt>
                <c:pt idx="951">
                  <c:v>15.98</c:v>
                </c:pt>
                <c:pt idx="952">
                  <c:v>15.87</c:v>
                </c:pt>
                <c:pt idx="953">
                  <c:v>16.239999999999998</c:v>
                </c:pt>
                <c:pt idx="954">
                  <c:v>16.36</c:v>
                </c:pt>
                <c:pt idx="955">
                  <c:v>16.16</c:v>
                </c:pt>
                <c:pt idx="956">
                  <c:v>16.37</c:v>
                </c:pt>
                <c:pt idx="957">
                  <c:v>16.12</c:v>
                </c:pt>
                <c:pt idx="958">
                  <c:v>16.18</c:v>
                </c:pt>
                <c:pt idx="959">
                  <c:v>16.079999999999998</c:v>
                </c:pt>
                <c:pt idx="960">
                  <c:v>16.09</c:v>
                </c:pt>
                <c:pt idx="961">
                  <c:v>16.350000000000001</c:v>
                </c:pt>
                <c:pt idx="962">
                  <c:v>16.21</c:v>
                </c:pt>
                <c:pt idx="963">
                  <c:v>16.05</c:v>
                </c:pt>
                <c:pt idx="964">
                  <c:v>15.91</c:v>
                </c:pt>
                <c:pt idx="965">
                  <c:v>16.309999999999999</c:v>
                </c:pt>
                <c:pt idx="966">
                  <c:v>16.8</c:v>
                </c:pt>
                <c:pt idx="967">
                  <c:v>16.809999999999999</c:v>
                </c:pt>
                <c:pt idx="968">
                  <c:v>16.52</c:v>
                </c:pt>
                <c:pt idx="969">
                  <c:v>16.59</c:v>
                </c:pt>
                <c:pt idx="970">
                  <c:v>17.57</c:v>
                </c:pt>
                <c:pt idx="971">
                  <c:v>17.399999999999999</c:v>
                </c:pt>
                <c:pt idx="972">
                  <c:v>17.420000000000002</c:v>
                </c:pt>
                <c:pt idx="973">
                  <c:v>17.73</c:v>
                </c:pt>
                <c:pt idx="974">
                  <c:v>18.12</c:v>
                </c:pt>
                <c:pt idx="975">
                  <c:v>18.41</c:v>
                </c:pt>
                <c:pt idx="976">
                  <c:v>18.260000000000002</c:v>
                </c:pt>
                <c:pt idx="977">
                  <c:v>17.690000000000001</c:v>
                </c:pt>
                <c:pt idx="978">
                  <c:v>17.62</c:v>
                </c:pt>
                <c:pt idx="979">
                  <c:v>17.88</c:v>
                </c:pt>
                <c:pt idx="980">
                  <c:v>17.53</c:v>
                </c:pt>
                <c:pt idx="981">
                  <c:v>17.38</c:v>
                </c:pt>
                <c:pt idx="982">
                  <c:v>17.32</c:v>
                </c:pt>
                <c:pt idx="983">
                  <c:v>17.47</c:v>
                </c:pt>
                <c:pt idx="984">
                  <c:v>17.48</c:v>
                </c:pt>
                <c:pt idx="985">
                  <c:v>17.670000000000002</c:v>
                </c:pt>
                <c:pt idx="986">
                  <c:v>17.73</c:v>
                </c:pt>
                <c:pt idx="987">
                  <c:v>17.55</c:v>
                </c:pt>
                <c:pt idx="988">
                  <c:v>17.73</c:v>
                </c:pt>
                <c:pt idx="989">
                  <c:v>17.23</c:v>
                </c:pt>
                <c:pt idx="990">
                  <c:v>16.59</c:v>
                </c:pt>
                <c:pt idx="991">
                  <c:v>16.82</c:v>
                </c:pt>
                <c:pt idx="992">
                  <c:v>16.670000000000002</c:v>
                </c:pt>
                <c:pt idx="993">
                  <c:v>16.45</c:v>
                </c:pt>
                <c:pt idx="994">
                  <c:v>16.32</c:v>
                </c:pt>
                <c:pt idx="995">
                  <c:v>16.52</c:v>
                </c:pt>
                <c:pt idx="996">
                  <c:v>16.97</c:v>
                </c:pt>
                <c:pt idx="997">
                  <c:v>16.809999999999999</c:v>
                </c:pt>
                <c:pt idx="998">
                  <c:v>16.86</c:v>
                </c:pt>
                <c:pt idx="999">
                  <c:v>16.61</c:v>
                </c:pt>
                <c:pt idx="1000">
                  <c:v>16.579999999999998</c:v>
                </c:pt>
                <c:pt idx="1001">
                  <c:v>16.53</c:v>
                </c:pt>
                <c:pt idx="1002">
                  <c:v>16.37</c:v>
                </c:pt>
                <c:pt idx="1003">
                  <c:v>16.25</c:v>
                </c:pt>
                <c:pt idx="1004">
                  <c:v>15.88</c:v>
                </c:pt>
                <c:pt idx="1005">
                  <c:v>15.83</c:v>
                </c:pt>
                <c:pt idx="1006">
                  <c:v>16.04</c:v>
                </c:pt>
                <c:pt idx="1007">
                  <c:v>16.12</c:v>
                </c:pt>
                <c:pt idx="1008">
                  <c:v>15.81</c:v>
                </c:pt>
                <c:pt idx="1009">
                  <c:v>16.03</c:v>
                </c:pt>
                <c:pt idx="1010">
                  <c:v>15.18</c:v>
                </c:pt>
                <c:pt idx="1011">
                  <c:v>15.21</c:v>
                </c:pt>
                <c:pt idx="1012">
                  <c:v>15.59</c:v>
                </c:pt>
                <c:pt idx="1013">
                  <c:v>15.15</c:v>
                </c:pt>
                <c:pt idx="1014">
                  <c:v>15.52</c:v>
                </c:pt>
                <c:pt idx="1015">
                  <c:v>15.66</c:v>
                </c:pt>
                <c:pt idx="1016">
                  <c:v>15.71</c:v>
                </c:pt>
                <c:pt idx="1017">
                  <c:v>15.14</c:v>
                </c:pt>
                <c:pt idx="1018">
                  <c:v>15.07</c:v>
                </c:pt>
                <c:pt idx="1019">
                  <c:v>15</c:v>
                </c:pt>
                <c:pt idx="1020">
                  <c:v>15.19</c:v>
                </c:pt>
                <c:pt idx="1021">
                  <c:v>14.91</c:v>
                </c:pt>
                <c:pt idx="1022">
                  <c:v>14.82</c:v>
                </c:pt>
                <c:pt idx="1023">
                  <c:v>14.75</c:v>
                </c:pt>
                <c:pt idx="1024">
                  <c:v>14.81</c:v>
                </c:pt>
                <c:pt idx="1025">
                  <c:v>15.11</c:v>
                </c:pt>
                <c:pt idx="1026">
                  <c:v>15.11</c:v>
                </c:pt>
                <c:pt idx="1027">
                  <c:v>15.46</c:v>
                </c:pt>
                <c:pt idx="1028">
                  <c:v>15.43</c:v>
                </c:pt>
                <c:pt idx="1029">
                  <c:v>15.79</c:v>
                </c:pt>
                <c:pt idx="1030">
                  <c:v>16.05</c:v>
                </c:pt>
                <c:pt idx="1031">
                  <c:v>16.48</c:v>
                </c:pt>
                <c:pt idx="1032">
                  <c:v>17.079999999999998</c:v>
                </c:pt>
                <c:pt idx="1033">
                  <c:v>16.920000000000002</c:v>
                </c:pt>
                <c:pt idx="1034">
                  <c:v>16.45</c:v>
                </c:pt>
                <c:pt idx="1035">
                  <c:v>16.36</c:v>
                </c:pt>
                <c:pt idx="1036">
                  <c:v>15.96</c:v>
                </c:pt>
                <c:pt idx="1037">
                  <c:v>16.059999999999999</c:v>
                </c:pt>
                <c:pt idx="1038">
                  <c:v>16.350000000000001</c:v>
                </c:pt>
                <c:pt idx="1039">
                  <c:v>16.25</c:v>
                </c:pt>
                <c:pt idx="1040">
                  <c:v>16.36</c:v>
                </c:pt>
                <c:pt idx="1041">
                  <c:v>16.329999999999998</c:v>
                </c:pt>
                <c:pt idx="1042">
                  <c:v>16.55</c:v>
                </c:pt>
                <c:pt idx="1043">
                  <c:v>17.03</c:v>
                </c:pt>
                <c:pt idx="1044">
                  <c:v>17.09</c:v>
                </c:pt>
                <c:pt idx="1045">
                  <c:v>17.09</c:v>
                </c:pt>
                <c:pt idx="1046">
                  <c:v>17.329999999999998</c:v>
                </c:pt>
                <c:pt idx="1047">
                  <c:v>17.559999999999999</c:v>
                </c:pt>
                <c:pt idx="1048">
                  <c:v>17.73</c:v>
                </c:pt>
                <c:pt idx="1049">
                  <c:v>17.84</c:v>
                </c:pt>
                <c:pt idx="1050">
                  <c:v>17.89</c:v>
                </c:pt>
                <c:pt idx="1051">
                  <c:v>17.850000000000001</c:v>
                </c:pt>
                <c:pt idx="1052">
                  <c:v>17.850000000000001</c:v>
                </c:pt>
                <c:pt idx="1053">
                  <c:v>17.89</c:v>
                </c:pt>
                <c:pt idx="1054">
                  <c:v>18.09</c:v>
                </c:pt>
                <c:pt idx="1055">
                  <c:v>17.920000000000002</c:v>
                </c:pt>
                <c:pt idx="1056">
                  <c:v>18</c:v>
                </c:pt>
                <c:pt idx="1057">
                  <c:v>18.03</c:v>
                </c:pt>
                <c:pt idx="1058">
                  <c:v>17.89</c:v>
                </c:pt>
                <c:pt idx="1059">
                  <c:v>17.850000000000001</c:v>
                </c:pt>
                <c:pt idx="1060">
                  <c:v>17.3</c:v>
                </c:pt>
                <c:pt idx="1061">
                  <c:v>17.420000000000002</c:v>
                </c:pt>
                <c:pt idx="1062">
                  <c:v>17.3</c:v>
                </c:pt>
                <c:pt idx="1063">
                  <c:v>17</c:v>
                </c:pt>
                <c:pt idx="1064">
                  <c:v>16.61</c:v>
                </c:pt>
                <c:pt idx="1065">
                  <c:v>15.9</c:v>
                </c:pt>
                <c:pt idx="1066">
                  <c:v>16.48</c:v>
                </c:pt>
                <c:pt idx="1067">
                  <c:v>16.760000000000002</c:v>
                </c:pt>
                <c:pt idx="1068">
                  <c:v>17.05</c:v>
                </c:pt>
                <c:pt idx="1069">
                  <c:v>16.62</c:v>
                </c:pt>
                <c:pt idx="1070">
                  <c:v>16.61</c:v>
                </c:pt>
                <c:pt idx="1071">
                  <c:v>16.37</c:v>
                </c:pt>
                <c:pt idx="1072">
                  <c:v>16.13</c:v>
                </c:pt>
                <c:pt idx="1073">
                  <c:v>15.89</c:v>
                </c:pt>
                <c:pt idx="1074">
                  <c:v>16.079999999999998</c:v>
                </c:pt>
                <c:pt idx="1075">
                  <c:v>16.170000000000002</c:v>
                </c:pt>
                <c:pt idx="1076">
                  <c:v>16.39</c:v>
                </c:pt>
                <c:pt idx="1077">
                  <c:v>16.920000000000002</c:v>
                </c:pt>
                <c:pt idx="1078">
                  <c:v>17.010000000000002</c:v>
                </c:pt>
                <c:pt idx="1079">
                  <c:v>16.809999999999999</c:v>
                </c:pt>
                <c:pt idx="1080">
                  <c:v>16.579999999999998</c:v>
                </c:pt>
                <c:pt idx="1081">
                  <c:v>16.739999999999998</c:v>
                </c:pt>
                <c:pt idx="1082">
                  <c:v>16.43</c:v>
                </c:pt>
                <c:pt idx="1083">
                  <c:v>16.52</c:v>
                </c:pt>
                <c:pt idx="1084">
                  <c:v>16.39</c:v>
                </c:pt>
                <c:pt idx="1085">
                  <c:v>16.66</c:v>
                </c:pt>
                <c:pt idx="1086">
                  <c:v>16.579999999999998</c:v>
                </c:pt>
                <c:pt idx="1087">
                  <c:v>16.37</c:v>
                </c:pt>
                <c:pt idx="1088">
                  <c:v>16.260000000000002</c:v>
                </c:pt>
                <c:pt idx="1089">
                  <c:v>16.66</c:v>
                </c:pt>
                <c:pt idx="1090">
                  <c:v>15.77</c:v>
                </c:pt>
                <c:pt idx="1091">
                  <c:v>15.69</c:v>
                </c:pt>
                <c:pt idx="1092">
                  <c:v>16.239999999999998</c:v>
                </c:pt>
                <c:pt idx="1093">
                  <c:v>16.190000000000001</c:v>
                </c:pt>
                <c:pt idx="1094">
                  <c:v>15.85</c:v>
                </c:pt>
                <c:pt idx="1095">
                  <c:v>16.27</c:v>
                </c:pt>
                <c:pt idx="1096">
                  <c:v>16.760000000000002</c:v>
                </c:pt>
                <c:pt idx="1097">
                  <c:v>17.010000000000002</c:v>
                </c:pt>
                <c:pt idx="1098">
                  <c:v>17.21</c:v>
                </c:pt>
                <c:pt idx="1099">
                  <c:v>17.25</c:v>
                </c:pt>
                <c:pt idx="1100">
                  <c:v>17.21</c:v>
                </c:pt>
                <c:pt idx="1101">
                  <c:v>17.32</c:v>
                </c:pt>
                <c:pt idx="1102">
                  <c:v>16.899999999999999</c:v>
                </c:pt>
                <c:pt idx="1103">
                  <c:v>16.739999999999998</c:v>
                </c:pt>
                <c:pt idx="1104">
                  <c:v>16.68</c:v>
                </c:pt>
                <c:pt idx="1105">
                  <c:v>16.2</c:v>
                </c:pt>
                <c:pt idx="1106">
                  <c:v>15.93</c:v>
                </c:pt>
                <c:pt idx="1107">
                  <c:v>16.16</c:v>
                </c:pt>
                <c:pt idx="1108">
                  <c:v>16.59</c:v>
                </c:pt>
                <c:pt idx="1109">
                  <c:v>16.420000000000002</c:v>
                </c:pt>
                <c:pt idx="1110">
                  <c:v>16.36</c:v>
                </c:pt>
                <c:pt idx="1111">
                  <c:v>16.489999999999998</c:v>
                </c:pt>
                <c:pt idx="1112">
                  <c:v>17.22</c:v>
                </c:pt>
                <c:pt idx="1113">
                  <c:v>16.63</c:v>
                </c:pt>
                <c:pt idx="1114">
                  <c:v>17.079999999999998</c:v>
                </c:pt>
                <c:pt idx="1115">
                  <c:v>17.149999999999999</c:v>
                </c:pt>
                <c:pt idx="1116">
                  <c:v>17.04</c:v>
                </c:pt>
                <c:pt idx="1117">
                  <c:v>17.350000000000001</c:v>
                </c:pt>
                <c:pt idx="1118">
                  <c:v>17.399999999999999</c:v>
                </c:pt>
                <c:pt idx="1119">
                  <c:v>17.43</c:v>
                </c:pt>
                <c:pt idx="1120">
                  <c:v>17.829999999999998</c:v>
                </c:pt>
                <c:pt idx="1121">
                  <c:v>18.100000000000001</c:v>
                </c:pt>
                <c:pt idx="1122">
                  <c:v>17.75</c:v>
                </c:pt>
                <c:pt idx="1123">
                  <c:v>17.690000000000001</c:v>
                </c:pt>
                <c:pt idx="1124">
                  <c:v>17.45</c:v>
                </c:pt>
                <c:pt idx="1125">
                  <c:v>18</c:v>
                </c:pt>
                <c:pt idx="1126">
                  <c:v>17.670000000000002</c:v>
                </c:pt>
                <c:pt idx="1127">
                  <c:v>17.670000000000002</c:v>
                </c:pt>
                <c:pt idx="1128">
                  <c:v>17.920000000000002</c:v>
                </c:pt>
                <c:pt idx="1129">
                  <c:v>17.79</c:v>
                </c:pt>
                <c:pt idx="1130">
                  <c:v>18.16</c:v>
                </c:pt>
                <c:pt idx="1131">
                  <c:v>18.059999999999999</c:v>
                </c:pt>
                <c:pt idx="1132">
                  <c:v>17.93</c:v>
                </c:pt>
                <c:pt idx="1133">
                  <c:v>18.05</c:v>
                </c:pt>
                <c:pt idx="1134">
                  <c:v>17.96</c:v>
                </c:pt>
                <c:pt idx="1135">
                  <c:v>18.600000000000001</c:v>
                </c:pt>
                <c:pt idx="1136">
                  <c:v>19.82</c:v>
                </c:pt>
                <c:pt idx="1137">
                  <c:v>20.239999999999998</c:v>
                </c:pt>
                <c:pt idx="1138">
                  <c:v>20.81</c:v>
                </c:pt>
                <c:pt idx="1139">
                  <c:v>20.91</c:v>
                </c:pt>
                <c:pt idx="1140">
                  <c:v>21.05</c:v>
                </c:pt>
                <c:pt idx="1141">
                  <c:v>21.41</c:v>
                </c:pt>
                <c:pt idx="1142">
                  <c:v>21.72</c:v>
                </c:pt>
                <c:pt idx="1143">
                  <c:v>21.61</c:v>
                </c:pt>
                <c:pt idx="1144">
                  <c:v>21.85</c:v>
                </c:pt>
                <c:pt idx="1145">
                  <c:v>21.92</c:v>
                </c:pt>
                <c:pt idx="1146">
                  <c:v>22.05</c:v>
                </c:pt>
                <c:pt idx="1147">
                  <c:v>21.7</c:v>
                </c:pt>
                <c:pt idx="1148">
                  <c:v>21.71</c:v>
                </c:pt>
                <c:pt idx="1149">
                  <c:v>21.66</c:v>
                </c:pt>
                <c:pt idx="1150">
                  <c:v>21.34</c:v>
                </c:pt>
                <c:pt idx="1151">
                  <c:v>21.77</c:v>
                </c:pt>
                <c:pt idx="1152">
                  <c:v>21.26</c:v>
                </c:pt>
                <c:pt idx="1153">
                  <c:v>21.99</c:v>
                </c:pt>
                <c:pt idx="1154">
                  <c:v>21.5</c:v>
                </c:pt>
                <c:pt idx="1155">
                  <c:v>22.05</c:v>
                </c:pt>
                <c:pt idx="1156">
                  <c:v>21.24</c:v>
                </c:pt>
                <c:pt idx="1157">
                  <c:v>21.68</c:v>
                </c:pt>
                <c:pt idx="1158">
                  <c:v>21.08</c:v>
                </c:pt>
                <c:pt idx="1159">
                  <c:v>20.93</c:v>
                </c:pt>
                <c:pt idx="1160">
                  <c:v>20.98</c:v>
                </c:pt>
                <c:pt idx="1161">
                  <c:v>20.48</c:v>
                </c:pt>
                <c:pt idx="1162">
                  <c:v>19.829999999999998</c:v>
                </c:pt>
                <c:pt idx="1163">
                  <c:v>19.72</c:v>
                </c:pt>
                <c:pt idx="1164">
                  <c:v>19.77</c:v>
                </c:pt>
                <c:pt idx="1165">
                  <c:v>19.829999999999998</c:v>
                </c:pt>
                <c:pt idx="1166">
                  <c:v>19.46</c:v>
                </c:pt>
                <c:pt idx="1167">
                  <c:v>19.72</c:v>
                </c:pt>
                <c:pt idx="1168">
                  <c:v>20.05</c:v>
                </c:pt>
                <c:pt idx="1169">
                  <c:v>19.53</c:v>
                </c:pt>
                <c:pt idx="1170">
                  <c:v>19.95</c:v>
                </c:pt>
                <c:pt idx="1171">
                  <c:v>20.239999999999998</c:v>
                </c:pt>
                <c:pt idx="1172">
                  <c:v>19.760000000000002</c:v>
                </c:pt>
                <c:pt idx="1173">
                  <c:v>19.690000000000001</c:v>
                </c:pt>
                <c:pt idx="1174">
                  <c:v>20.05</c:v>
                </c:pt>
                <c:pt idx="1175">
                  <c:v>20.100000000000001</c:v>
                </c:pt>
                <c:pt idx="1176">
                  <c:v>19.48</c:v>
                </c:pt>
                <c:pt idx="1177">
                  <c:v>19.55</c:v>
                </c:pt>
                <c:pt idx="1178">
                  <c:v>20.14</c:v>
                </c:pt>
                <c:pt idx="1179">
                  <c:v>20.55</c:v>
                </c:pt>
                <c:pt idx="1180">
                  <c:v>20.100000000000001</c:v>
                </c:pt>
                <c:pt idx="1181">
                  <c:v>19.73</c:v>
                </c:pt>
                <c:pt idx="1182">
                  <c:v>20.100000000000001</c:v>
                </c:pt>
                <c:pt idx="1183">
                  <c:v>19.98</c:v>
                </c:pt>
                <c:pt idx="1184">
                  <c:v>20.87</c:v>
                </c:pt>
                <c:pt idx="1185">
                  <c:v>20.65</c:v>
                </c:pt>
                <c:pt idx="1186">
                  <c:v>20.69</c:v>
                </c:pt>
                <c:pt idx="1187">
                  <c:v>19.899999999999999</c:v>
                </c:pt>
                <c:pt idx="1188">
                  <c:v>19.149999999999999</c:v>
                </c:pt>
                <c:pt idx="1189">
                  <c:v>19.66</c:v>
                </c:pt>
                <c:pt idx="1190">
                  <c:v>19.739999999999998</c:v>
                </c:pt>
                <c:pt idx="1191">
                  <c:v>20.14</c:v>
                </c:pt>
                <c:pt idx="1192">
                  <c:v>20.55</c:v>
                </c:pt>
                <c:pt idx="1193">
                  <c:v>20.79</c:v>
                </c:pt>
                <c:pt idx="1194">
                  <c:v>21.48</c:v>
                </c:pt>
                <c:pt idx="1195">
                  <c:v>22.4</c:v>
                </c:pt>
                <c:pt idx="1196">
                  <c:v>23</c:v>
                </c:pt>
                <c:pt idx="1197">
                  <c:v>22.48</c:v>
                </c:pt>
                <c:pt idx="1198">
                  <c:v>22.61</c:v>
                </c:pt>
                <c:pt idx="1199">
                  <c:v>21.97</c:v>
                </c:pt>
                <c:pt idx="1200">
                  <c:v>21.75</c:v>
                </c:pt>
                <c:pt idx="1201">
                  <c:v>21.25</c:v>
                </c:pt>
                <c:pt idx="1202">
                  <c:v>21.17</c:v>
                </c:pt>
                <c:pt idx="1203">
                  <c:v>21.34</c:v>
                </c:pt>
                <c:pt idx="1204">
                  <c:v>22.05</c:v>
                </c:pt>
                <c:pt idx="1205">
                  <c:v>22.18</c:v>
                </c:pt>
                <c:pt idx="1206">
                  <c:v>22.22</c:v>
                </c:pt>
                <c:pt idx="1207">
                  <c:v>22.31</c:v>
                </c:pt>
                <c:pt idx="1208">
                  <c:v>22.28</c:v>
                </c:pt>
                <c:pt idx="1209">
                  <c:v>22.21</c:v>
                </c:pt>
                <c:pt idx="1210">
                  <c:v>22.24</c:v>
                </c:pt>
                <c:pt idx="1211">
                  <c:v>21.71</c:v>
                </c:pt>
                <c:pt idx="1212">
                  <c:v>21.54</c:v>
                </c:pt>
                <c:pt idx="1213">
                  <c:v>21.27</c:v>
                </c:pt>
                <c:pt idx="1214">
                  <c:v>20.8</c:v>
                </c:pt>
                <c:pt idx="1215">
                  <c:v>21.11</c:v>
                </c:pt>
                <c:pt idx="1216">
                  <c:v>21.17</c:v>
                </c:pt>
                <c:pt idx="1217">
                  <c:v>20.420000000000002</c:v>
                </c:pt>
                <c:pt idx="1218">
                  <c:v>20.100000000000001</c:v>
                </c:pt>
                <c:pt idx="1219">
                  <c:v>19.850000000000001</c:v>
                </c:pt>
                <c:pt idx="1220">
                  <c:v>20.36</c:v>
                </c:pt>
                <c:pt idx="1221">
                  <c:v>20.41</c:v>
                </c:pt>
                <c:pt idx="1222">
                  <c:v>20.58</c:v>
                </c:pt>
                <c:pt idx="1223">
                  <c:v>20.25</c:v>
                </c:pt>
                <c:pt idx="1224">
                  <c:v>19.54</c:v>
                </c:pt>
                <c:pt idx="1225">
                  <c:v>20.09</c:v>
                </c:pt>
                <c:pt idx="1226">
                  <c:v>20.58</c:v>
                </c:pt>
                <c:pt idx="1227">
                  <c:v>19.7</c:v>
                </c:pt>
                <c:pt idx="1228">
                  <c:v>19.829999999999998</c:v>
                </c:pt>
                <c:pt idx="1229">
                  <c:v>19.86</c:v>
                </c:pt>
                <c:pt idx="1230">
                  <c:v>19.489999999999998</c:v>
                </c:pt>
                <c:pt idx="1231">
                  <c:v>19.850000000000001</c:v>
                </c:pt>
                <c:pt idx="1232">
                  <c:v>20.100000000000001</c:v>
                </c:pt>
                <c:pt idx="1233">
                  <c:v>19.989999999999998</c:v>
                </c:pt>
                <c:pt idx="1234">
                  <c:v>20.71</c:v>
                </c:pt>
                <c:pt idx="1235">
                  <c:v>20.76</c:v>
                </c:pt>
                <c:pt idx="1236">
                  <c:v>20.84</c:v>
                </c:pt>
                <c:pt idx="1237">
                  <c:v>21.1</c:v>
                </c:pt>
                <c:pt idx="1238">
                  <c:v>20.75</c:v>
                </c:pt>
                <c:pt idx="1239">
                  <c:v>20.81</c:v>
                </c:pt>
                <c:pt idx="1240">
                  <c:v>20.37</c:v>
                </c:pt>
                <c:pt idx="1241">
                  <c:v>20.16</c:v>
                </c:pt>
                <c:pt idx="1242">
                  <c:v>20.46</c:v>
                </c:pt>
                <c:pt idx="1243">
                  <c:v>20.58</c:v>
                </c:pt>
                <c:pt idx="1244">
                  <c:v>20.010000000000002</c:v>
                </c:pt>
                <c:pt idx="1245">
                  <c:v>19.940000000000001</c:v>
                </c:pt>
                <c:pt idx="1246">
                  <c:v>19.940000000000001</c:v>
                </c:pt>
                <c:pt idx="1247">
                  <c:v>19.899999999999999</c:v>
                </c:pt>
                <c:pt idx="1248">
                  <c:v>19.73</c:v>
                </c:pt>
                <c:pt idx="1249">
                  <c:v>19.559999999999999</c:v>
                </c:pt>
                <c:pt idx="1250">
                  <c:v>19.809999999999999</c:v>
                </c:pt>
                <c:pt idx="1251">
                  <c:v>19.8</c:v>
                </c:pt>
                <c:pt idx="1252">
                  <c:v>19.920000000000002</c:v>
                </c:pt>
                <c:pt idx="1253">
                  <c:v>19.96</c:v>
                </c:pt>
              </c:numCache>
            </c:numRef>
          </c:val>
          <c:smooth val="0"/>
          <c:extLst>
            <c:ext xmlns:c16="http://schemas.microsoft.com/office/drawing/2014/chart" uri="{C3380CC4-5D6E-409C-BE32-E72D297353CC}">
              <c16:uniqueId val="{00000000-DD13-4844-96A5-044562D339B2}"/>
            </c:ext>
          </c:extLst>
        </c:ser>
        <c:dLbls>
          <c:showLegendKey val="0"/>
          <c:showVal val="0"/>
          <c:showCatName val="0"/>
          <c:showSerName val="0"/>
          <c:showPercent val="0"/>
          <c:showBubbleSize val="0"/>
        </c:dLbls>
        <c:smooth val="0"/>
        <c:axId val="1846832576"/>
        <c:axId val="1846829696"/>
      </c:lineChart>
      <c:catAx>
        <c:axId val="184683257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829696"/>
        <c:crosses val="autoZero"/>
        <c:auto val="1"/>
        <c:lblAlgn val="ctr"/>
        <c:lblOffset val="100"/>
        <c:noMultiLvlLbl val="0"/>
      </c:catAx>
      <c:valAx>
        <c:axId val="1846829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83257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'Input Sheet'!$O$3</c:f>
              <c:strCache>
                <c:ptCount val="1"/>
                <c:pt idx="0">
                  <c:v>Volume</c:v>
                </c:pt>
              </c:strCache>
            </c:strRef>
          </c:tx>
          <c:spPr>
            <a:solidFill>
              <a:schemeClr val="accent1"/>
            </a:solidFill>
            <a:ln>
              <a:solidFill>
                <a:schemeClr val="accent4">
                  <a:lumMod val="75000"/>
                </a:schemeClr>
              </a:solidFill>
            </a:ln>
            <a:effectLst/>
          </c:spPr>
          <c:cat>
            <c:strRef>
              <c:f>'Input Sheet'!$M$4:$M$1257</c:f>
              <c:strCache>
                <c:ptCount val="1254"/>
                <c:pt idx="0">
                  <c:v>Oct 22, 2026</c:v>
                </c:pt>
                <c:pt idx="1">
                  <c:v>Oct 21, 2026</c:v>
                </c:pt>
                <c:pt idx="2">
                  <c:v>Oct 20, 2026</c:v>
                </c:pt>
                <c:pt idx="3">
                  <c:v>Oct 19, 2026</c:v>
                </c:pt>
                <c:pt idx="4">
                  <c:v>Oct 16, 2026</c:v>
                </c:pt>
                <c:pt idx="5">
                  <c:v>Oct 15, 2026</c:v>
                </c:pt>
                <c:pt idx="6">
                  <c:v>Oct 14, 2026</c:v>
                </c:pt>
                <c:pt idx="7">
                  <c:v>Oct 13, 2026</c:v>
                </c:pt>
                <c:pt idx="8">
                  <c:v>Oct 12, 2026</c:v>
                </c:pt>
                <c:pt idx="9">
                  <c:v>Oct 09, 2026</c:v>
                </c:pt>
                <c:pt idx="10">
                  <c:v>Oct 08, 2026</c:v>
                </c:pt>
                <c:pt idx="11">
                  <c:v>Oct 07, 2026</c:v>
                </c:pt>
                <c:pt idx="12">
                  <c:v>Oct 06, 2026</c:v>
                </c:pt>
                <c:pt idx="13">
                  <c:v>Oct 05, 2026</c:v>
                </c:pt>
                <c:pt idx="14">
                  <c:v>Oct 02, 2026</c:v>
                </c:pt>
                <c:pt idx="15">
                  <c:v>Oct 01, 2026</c:v>
                </c:pt>
                <c:pt idx="16">
                  <c:v>Sep 30, 2026</c:v>
                </c:pt>
                <c:pt idx="17">
                  <c:v>Sep 29, 2026</c:v>
                </c:pt>
                <c:pt idx="18">
                  <c:v>Sep 28, 2026</c:v>
                </c:pt>
                <c:pt idx="19">
                  <c:v>Sep 25, 2026</c:v>
                </c:pt>
                <c:pt idx="20">
                  <c:v>Sep 24, 2026</c:v>
                </c:pt>
                <c:pt idx="21">
                  <c:v>Sep 23, 2026</c:v>
                </c:pt>
                <c:pt idx="22">
                  <c:v>Sep 22, 2026</c:v>
                </c:pt>
                <c:pt idx="23">
                  <c:v>Sep 21, 2026</c:v>
                </c:pt>
                <c:pt idx="24">
                  <c:v>Sep 18, 2026</c:v>
                </c:pt>
                <c:pt idx="25">
                  <c:v>Sep 17, 2026</c:v>
                </c:pt>
                <c:pt idx="26">
                  <c:v>Sep 16, 2026</c:v>
                </c:pt>
                <c:pt idx="27">
                  <c:v>Sep 15, 2026</c:v>
                </c:pt>
                <c:pt idx="28">
                  <c:v>Sep 14, 2026</c:v>
                </c:pt>
                <c:pt idx="29">
                  <c:v>Sep 11, 2026</c:v>
                </c:pt>
                <c:pt idx="30">
                  <c:v>Sep 10, 2026</c:v>
                </c:pt>
                <c:pt idx="31">
                  <c:v>Sep 09, 2026</c:v>
                </c:pt>
                <c:pt idx="32">
                  <c:v>Sep 08, 2026</c:v>
                </c:pt>
                <c:pt idx="33">
                  <c:v>Sep 04, 2026</c:v>
                </c:pt>
                <c:pt idx="34">
                  <c:v>Sep 03, 2026</c:v>
                </c:pt>
                <c:pt idx="35">
                  <c:v>Sep 02, 2026</c:v>
                </c:pt>
                <c:pt idx="36">
                  <c:v>Sep 01, 2026</c:v>
                </c:pt>
                <c:pt idx="37">
                  <c:v>Aug 31, 2026</c:v>
                </c:pt>
                <c:pt idx="38">
                  <c:v>Aug 28, 2026</c:v>
                </c:pt>
                <c:pt idx="39">
                  <c:v>Aug 27, 2026</c:v>
                </c:pt>
                <c:pt idx="40">
                  <c:v>Aug 26, 2026</c:v>
                </c:pt>
                <c:pt idx="41">
                  <c:v>Aug 25, 2026</c:v>
                </c:pt>
                <c:pt idx="42">
                  <c:v>Aug 24, 2026</c:v>
                </c:pt>
                <c:pt idx="43">
                  <c:v>Aug 21, 2026</c:v>
                </c:pt>
                <c:pt idx="44">
                  <c:v>Aug 20, 2026</c:v>
                </c:pt>
                <c:pt idx="45">
                  <c:v>Aug 19, 2026</c:v>
                </c:pt>
                <c:pt idx="46">
                  <c:v>Aug 18, 2026</c:v>
                </c:pt>
                <c:pt idx="47">
                  <c:v>Aug 17, 2026</c:v>
                </c:pt>
                <c:pt idx="48">
                  <c:v>Aug 14, 2026</c:v>
                </c:pt>
                <c:pt idx="49">
                  <c:v>Aug 13, 2026</c:v>
                </c:pt>
                <c:pt idx="50">
                  <c:v>Aug 12, 2026</c:v>
                </c:pt>
                <c:pt idx="51">
                  <c:v>Aug 11, 2026</c:v>
                </c:pt>
                <c:pt idx="52">
                  <c:v>Aug 10, 2026</c:v>
                </c:pt>
                <c:pt idx="53">
                  <c:v>Aug 07, 2026</c:v>
                </c:pt>
                <c:pt idx="54">
                  <c:v>Aug 06, 2026</c:v>
                </c:pt>
                <c:pt idx="55">
                  <c:v>Aug 05, 2026</c:v>
                </c:pt>
                <c:pt idx="56">
                  <c:v>Aug 04, 2026</c:v>
                </c:pt>
                <c:pt idx="57">
                  <c:v>Aug 03, 2026</c:v>
                </c:pt>
                <c:pt idx="58">
                  <c:v>Jul 31, 2026</c:v>
                </c:pt>
                <c:pt idx="59">
                  <c:v>Jul 30, 2026</c:v>
                </c:pt>
                <c:pt idx="60">
                  <c:v>Jul 29, 2026</c:v>
                </c:pt>
                <c:pt idx="61">
                  <c:v>Jul 28, 2026</c:v>
                </c:pt>
                <c:pt idx="62">
                  <c:v>Jul 27, 2026</c:v>
                </c:pt>
                <c:pt idx="63">
                  <c:v>Jul 24, 2026</c:v>
                </c:pt>
                <c:pt idx="64">
                  <c:v>Jul 23, 2026</c:v>
                </c:pt>
                <c:pt idx="65">
                  <c:v>Jul 22, 2026</c:v>
                </c:pt>
                <c:pt idx="66">
                  <c:v>Jul 21, 2026</c:v>
                </c:pt>
                <c:pt idx="67">
                  <c:v>Jul 20, 2026</c:v>
                </c:pt>
                <c:pt idx="68">
                  <c:v>Jul 17, 2026</c:v>
                </c:pt>
                <c:pt idx="69">
                  <c:v>Jul 16, 2026</c:v>
                </c:pt>
                <c:pt idx="70">
                  <c:v>Jul 15, 2026</c:v>
                </c:pt>
                <c:pt idx="71">
                  <c:v>Jul 14, 2026</c:v>
                </c:pt>
                <c:pt idx="72">
                  <c:v>Jul 13, 2026</c:v>
                </c:pt>
                <c:pt idx="73">
                  <c:v>Jul 10, 2026</c:v>
                </c:pt>
                <c:pt idx="74">
                  <c:v>Jul 09, 2026</c:v>
                </c:pt>
                <c:pt idx="75">
                  <c:v>Jul 08, 2026</c:v>
                </c:pt>
                <c:pt idx="76">
                  <c:v>Jul 07, 2026</c:v>
                </c:pt>
                <c:pt idx="77">
                  <c:v>Jul 06, 2026</c:v>
                </c:pt>
                <c:pt idx="78">
                  <c:v>Jul 02, 2026</c:v>
                </c:pt>
                <c:pt idx="79">
                  <c:v>Jul 01, 2026</c:v>
                </c:pt>
                <c:pt idx="80">
                  <c:v>Jun 30, 2026</c:v>
                </c:pt>
                <c:pt idx="81">
                  <c:v>Jun 29, 2026</c:v>
                </c:pt>
                <c:pt idx="82">
                  <c:v>Jun 26, 2026</c:v>
                </c:pt>
                <c:pt idx="83">
                  <c:v>Jun 25, 2026</c:v>
                </c:pt>
                <c:pt idx="84">
                  <c:v>Jun 24, 2026</c:v>
                </c:pt>
                <c:pt idx="85">
                  <c:v>Jun 23, 2026</c:v>
                </c:pt>
                <c:pt idx="86">
                  <c:v>Jun 22, 2026</c:v>
                </c:pt>
                <c:pt idx="87">
                  <c:v>Jun 18, 2026</c:v>
                </c:pt>
                <c:pt idx="88">
                  <c:v>Jun 17, 2026</c:v>
                </c:pt>
                <c:pt idx="89">
                  <c:v>Jun 16, 2026</c:v>
                </c:pt>
                <c:pt idx="90">
                  <c:v>Jun 15, 2026</c:v>
                </c:pt>
                <c:pt idx="91">
                  <c:v>Jun 12, 2026</c:v>
                </c:pt>
                <c:pt idx="92">
                  <c:v>Jun 11, 2026</c:v>
                </c:pt>
                <c:pt idx="93">
                  <c:v>Jun 10, 2026</c:v>
                </c:pt>
                <c:pt idx="94">
                  <c:v>Jun 09, 2026</c:v>
                </c:pt>
                <c:pt idx="95">
                  <c:v>Jun 08, 2026</c:v>
                </c:pt>
                <c:pt idx="96">
                  <c:v>Jun 05, 2026</c:v>
                </c:pt>
                <c:pt idx="97">
                  <c:v>Jun 04, 2026</c:v>
                </c:pt>
                <c:pt idx="98">
                  <c:v>Jun 03, 2026</c:v>
                </c:pt>
                <c:pt idx="99">
                  <c:v>Jun 02, 2026</c:v>
                </c:pt>
                <c:pt idx="100">
                  <c:v>Jun 01, 2026</c:v>
                </c:pt>
                <c:pt idx="101">
                  <c:v>May 29, 2026</c:v>
                </c:pt>
                <c:pt idx="102">
                  <c:v>May 28, 2026</c:v>
                </c:pt>
                <c:pt idx="103">
                  <c:v>May 27, 2026</c:v>
                </c:pt>
                <c:pt idx="104">
                  <c:v>May 26, 2026</c:v>
                </c:pt>
                <c:pt idx="105">
                  <c:v>May 22, 2026</c:v>
                </c:pt>
                <c:pt idx="106">
                  <c:v>May 21, 2026</c:v>
                </c:pt>
                <c:pt idx="107">
                  <c:v>May 20, 2026</c:v>
                </c:pt>
                <c:pt idx="108">
                  <c:v>May 19, 2026</c:v>
                </c:pt>
                <c:pt idx="109">
                  <c:v>May 18, 2026</c:v>
                </c:pt>
                <c:pt idx="110">
                  <c:v>May 15, 2026</c:v>
                </c:pt>
                <c:pt idx="111">
                  <c:v>May 14, 2026</c:v>
                </c:pt>
                <c:pt idx="112">
                  <c:v>May 13, 2026</c:v>
                </c:pt>
                <c:pt idx="113">
                  <c:v>May 12, 2026</c:v>
                </c:pt>
                <c:pt idx="114">
                  <c:v>May 11, 2026</c:v>
                </c:pt>
                <c:pt idx="115">
                  <c:v>May 08, 2026</c:v>
                </c:pt>
                <c:pt idx="116">
                  <c:v>May 07, 2026</c:v>
                </c:pt>
                <c:pt idx="117">
                  <c:v>May 06, 2026</c:v>
                </c:pt>
                <c:pt idx="118">
                  <c:v>May 05, 2026</c:v>
                </c:pt>
                <c:pt idx="119">
                  <c:v>May 04, 2026</c:v>
                </c:pt>
                <c:pt idx="120">
                  <c:v>May 01, 2026</c:v>
                </c:pt>
                <c:pt idx="121">
                  <c:v>Apr 30, 2026</c:v>
                </c:pt>
                <c:pt idx="122">
                  <c:v>Apr 29, 2026</c:v>
                </c:pt>
                <c:pt idx="123">
                  <c:v>Apr 28, 2026</c:v>
                </c:pt>
                <c:pt idx="124">
                  <c:v>Apr 27, 2026</c:v>
                </c:pt>
                <c:pt idx="125">
                  <c:v>Apr 24, 2026</c:v>
                </c:pt>
                <c:pt idx="126">
                  <c:v>Apr 23, 2026</c:v>
                </c:pt>
                <c:pt idx="127">
                  <c:v>Apr 22, 2026</c:v>
                </c:pt>
                <c:pt idx="128">
                  <c:v>Apr 21, 2026</c:v>
                </c:pt>
                <c:pt idx="129">
                  <c:v>Apr 20, 2026</c:v>
                </c:pt>
                <c:pt idx="130">
                  <c:v>Apr 17, 2026</c:v>
                </c:pt>
                <c:pt idx="131">
                  <c:v>Apr 16, 2026</c:v>
                </c:pt>
                <c:pt idx="132">
                  <c:v>Apr 15, 2026</c:v>
                </c:pt>
                <c:pt idx="133">
                  <c:v>Apr 14, 2026</c:v>
                </c:pt>
                <c:pt idx="134">
                  <c:v>Apr 13, 2026</c:v>
                </c:pt>
                <c:pt idx="135">
                  <c:v>Apr 10, 2026</c:v>
                </c:pt>
                <c:pt idx="136">
                  <c:v>Apr 09, 2026</c:v>
                </c:pt>
                <c:pt idx="137">
                  <c:v>Apr 08, 2026</c:v>
                </c:pt>
                <c:pt idx="138">
                  <c:v>Apr 07, 2026</c:v>
                </c:pt>
                <c:pt idx="139">
                  <c:v>Apr 06, 2026</c:v>
                </c:pt>
                <c:pt idx="140">
                  <c:v>Apr 02, 2026</c:v>
                </c:pt>
                <c:pt idx="141">
                  <c:v>Apr 01, 2026</c:v>
                </c:pt>
                <c:pt idx="142">
                  <c:v>Mar 31, 2026</c:v>
                </c:pt>
                <c:pt idx="143">
                  <c:v>Mar 30, 2026</c:v>
                </c:pt>
                <c:pt idx="144">
                  <c:v>Mar 27, 2026</c:v>
                </c:pt>
                <c:pt idx="145">
                  <c:v>Mar 26, 2026</c:v>
                </c:pt>
                <c:pt idx="146">
                  <c:v>Mar 25, 2026</c:v>
                </c:pt>
                <c:pt idx="147">
                  <c:v>Mar 24, 2026</c:v>
                </c:pt>
                <c:pt idx="148">
                  <c:v>Mar 23, 2026</c:v>
                </c:pt>
                <c:pt idx="149">
                  <c:v>Mar 20, 2026</c:v>
                </c:pt>
                <c:pt idx="150">
                  <c:v>Mar 19, 2026</c:v>
                </c:pt>
                <c:pt idx="151">
                  <c:v>Mar 18, 2026</c:v>
                </c:pt>
                <c:pt idx="152">
                  <c:v>Mar 17, 2026</c:v>
                </c:pt>
                <c:pt idx="153">
                  <c:v>Mar 16, 2026</c:v>
                </c:pt>
                <c:pt idx="154">
                  <c:v>Mar 13, 2026</c:v>
                </c:pt>
                <c:pt idx="155">
                  <c:v>Mar 12, 2026</c:v>
                </c:pt>
                <c:pt idx="156">
                  <c:v>Mar 11, 2026</c:v>
                </c:pt>
                <c:pt idx="157">
                  <c:v>Mar 10, 2026</c:v>
                </c:pt>
                <c:pt idx="158">
                  <c:v>Mar 09, 2026</c:v>
                </c:pt>
                <c:pt idx="159">
                  <c:v>Mar 06, 2026</c:v>
                </c:pt>
                <c:pt idx="160">
                  <c:v>Mar 05, 2026</c:v>
                </c:pt>
                <c:pt idx="161">
                  <c:v>Mar 04, 2026</c:v>
                </c:pt>
                <c:pt idx="162">
                  <c:v>Mar 03, 2026</c:v>
                </c:pt>
                <c:pt idx="163">
                  <c:v>Mar 02, 2026</c:v>
                </c:pt>
                <c:pt idx="164">
                  <c:v>Feb 27, 2026</c:v>
                </c:pt>
                <c:pt idx="165">
                  <c:v>Feb 26, 2026</c:v>
                </c:pt>
                <c:pt idx="166">
                  <c:v>Feb 25, 2026</c:v>
                </c:pt>
                <c:pt idx="167">
                  <c:v>Feb 24, 2026</c:v>
                </c:pt>
                <c:pt idx="168">
                  <c:v>Feb 23, 2026</c:v>
                </c:pt>
                <c:pt idx="169">
                  <c:v>Feb 20, 2026</c:v>
                </c:pt>
                <c:pt idx="170">
                  <c:v>Feb 19, 2026</c:v>
                </c:pt>
                <c:pt idx="171">
                  <c:v>Feb 18, 2026</c:v>
                </c:pt>
                <c:pt idx="172">
                  <c:v>Feb 17, 2026</c:v>
                </c:pt>
                <c:pt idx="173">
                  <c:v>Feb 13, 2026</c:v>
                </c:pt>
                <c:pt idx="174">
                  <c:v>Feb 12, 2026</c:v>
                </c:pt>
                <c:pt idx="175">
                  <c:v>Feb 11, 2026</c:v>
                </c:pt>
                <c:pt idx="176">
                  <c:v>Feb 10, 2026</c:v>
                </c:pt>
                <c:pt idx="177">
                  <c:v>Feb 09, 2026</c:v>
                </c:pt>
                <c:pt idx="178">
                  <c:v>Feb 06, 2026</c:v>
                </c:pt>
                <c:pt idx="179">
                  <c:v>Feb 05, 2026</c:v>
                </c:pt>
                <c:pt idx="180">
                  <c:v>Feb 04, 2026</c:v>
                </c:pt>
                <c:pt idx="181">
                  <c:v>Feb 03, 2026</c:v>
                </c:pt>
                <c:pt idx="182">
                  <c:v>Feb 02, 2026</c:v>
                </c:pt>
                <c:pt idx="183">
                  <c:v>Jan 30, 2026</c:v>
                </c:pt>
                <c:pt idx="184">
                  <c:v>Jan 29, 2026</c:v>
                </c:pt>
                <c:pt idx="185">
                  <c:v>Jan 28, 2026</c:v>
                </c:pt>
                <c:pt idx="186">
                  <c:v>Jan 27, 2026</c:v>
                </c:pt>
                <c:pt idx="187">
                  <c:v>Jan 26, 2026</c:v>
                </c:pt>
                <c:pt idx="188">
                  <c:v>Jan 23, 2026</c:v>
                </c:pt>
                <c:pt idx="189">
                  <c:v>Jan 22, 2026</c:v>
                </c:pt>
                <c:pt idx="190">
                  <c:v>Jan 21, 2026</c:v>
                </c:pt>
                <c:pt idx="191">
                  <c:v>Jan 20, 2026</c:v>
                </c:pt>
                <c:pt idx="192">
                  <c:v>Jan 16, 2026</c:v>
                </c:pt>
                <c:pt idx="193">
                  <c:v>Jan 15, 2026</c:v>
                </c:pt>
                <c:pt idx="194">
                  <c:v>Jan 14, 2026</c:v>
                </c:pt>
                <c:pt idx="195">
                  <c:v>Jan 13, 2026</c:v>
                </c:pt>
                <c:pt idx="196">
                  <c:v>Jan 12, 2026</c:v>
                </c:pt>
                <c:pt idx="197">
                  <c:v>Jan 09, 2026</c:v>
                </c:pt>
                <c:pt idx="198">
                  <c:v>Jan 08, 2026</c:v>
                </c:pt>
                <c:pt idx="199">
                  <c:v>Jan 07, 2026</c:v>
                </c:pt>
                <c:pt idx="200">
                  <c:v>Jan 06, 2026</c:v>
                </c:pt>
                <c:pt idx="201">
                  <c:v>Jan 05, 2026</c:v>
                </c:pt>
                <c:pt idx="202">
                  <c:v>Jan 02, 2026</c:v>
                </c:pt>
                <c:pt idx="203">
                  <c:v>Dec 31, 2025</c:v>
                </c:pt>
                <c:pt idx="204">
                  <c:v>Dec 30, 2025</c:v>
                </c:pt>
                <c:pt idx="205">
                  <c:v>Dec 29, 2025</c:v>
                </c:pt>
                <c:pt idx="206">
                  <c:v>Dec 26, 2025</c:v>
                </c:pt>
                <c:pt idx="207">
                  <c:v>Dec 24, 2025</c:v>
                </c:pt>
                <c:pt idx="208">
                  <c:v>Dec 23, 2025</c:v>
                </c:pt>
                <c:pt idx="209">
                  <c:v>Dec 22, 2025</c:v>
                </c:pt>
                <c:pt idx="210">
                  <c:v>Dec 19, 2025</c:v>
                </c:pt>
                <c:pt idx="211">
                  <c:v>Dec 18, 2025</c:v>
                </c:pt>
                <c:pt idx="212">
                  <c:v>Dec 17, 2025</c:v>
                </c:pt>
                <c:pt idx="213">
                  <c:v>Dec 16, 2025</c:v>
                </c:pt>
                <c:pt idx="214">
                  <c:v>Dec 15, 2025</c:v>
                </c:pt>
                <c:pt idx="215">
                  <c:v>Dec 12, 2025</c:v>
                </c:pt>
                <c:pt idx="216">
                  <c:v>Dec 11, 2025</c:v>
                </c:pt>
                <c:pt idx="217">
                  <c:v>Dec 10, 2025</c:v>
                </c:pt>
                <c:pt idx="218">
                  <c:v>Dec 09, 2025</c:v>
                </c:pt>
                <c:pt idx="219">
                  <c:v>Dec 08, 2025</c:v>
                </c:pt>
                <c:pt idx="220">
                  <c:v>Dec 05, 2025</c:v>
                </c:pt>
                <c:pt idx="221">
                  <c:v>Dec 04, 2025</c:v>
                </c:pt>
                <c:pt idx="222">
                  <c:v>Dec 03, 2025</c:v>
                </c:pt>
                <c:pt idx="223">
                  <c:v>Dec 02, 2025</c:v>
                </c:pt>
                <c:pt idx="224">
                  <c:v>Dec 01, 2025</c:v>
                </c:pt>
                <c:pt idx="225">
                  <c:v>Nov 28, 2025</c:v>
                </c:pt>
                <c:pt idx="226">
                  <c:v>Nov 26, 2025</c:v>
                </c:pt>
                <c:pt idx="227">
                  <c:v>Nov 25, 2025</c:v>
                </c:pt>
                <c:pt idx="228">
                  <c:v>Nov 24, 2025</c:v>
                </c:pt>
                <c:pt idx="229">
                  <c:v>Nov 21, 2025</c:v>
                </c:pt>
                <c:pt idx="230">
                  <c:v>Nov 20, 2025</c:v>
                </c:pt>
                <c:pt idx="231">
                  <c:v>Nov 19, 2025</c:v>
                </c:pt>
                <c:pt idx="232">
                  <c:v>Nov 18, 2025</c:v>
                </c:pt>
                <c:pt idx="233">
                  <c:v>Nov 17, 2025</c:v>
                </c:pt>
                <c:pt idx="234">
                  <c:v>Nov 14, 2025</c:v>
                </c:pt>
                <c:pt idx="235">
                  <c:v>Nov 13, 2025</c:v>
                </c:pt>
                <c:pt idx="236">
                  <c:v>Nov 12, 2025</c:v>
                </c:pt>
                <c:pt idx="237">
                  <c:v>Nov 11, 2025</c:v>
                </c:pt>
                <c:pt idx="238">
                  <c:v>Nov 10, 2025</c:v>
                </c:pt>
                <c:pt idx="239">
                  <c:v>Nov 07, 2025</c:v>
                </c:pt>
                <c:pt idx="240">
                  <c:v>Nov 06, 2025</c:v>
                </c:pt>
                <c:pt idx="241">
                  <c:v>Nov 05, 2025</c:v>
                </c:pt>
                <c:pt idx="242">
                  <c:v>Nov 04, 2025</c:v>
                </c:pt>
                <c:pt idx="243">
                  <c:v>Nov 03, 2025</c:v>
                </c:pt>
                <c:pt idx="244">
                  <c:v>Oct 31, 2025</c:v>
                </c:pt>
                <c:pt idx="245">
                  <c:v>Oct 30, 2025</c:v>
                </c:pt>
                <c:pt idx="246">
                  <c:v>Oct 29, 2025</c:v>
                </c:pt>
                <c:pt idx="247">
                  <c:v>Oct 28, 2025</c:v>
                </c:pt>
                <c:pt idx="248">
                  <c:v>Oct 27, 2025</c:v>
                </c:pt>
                <c:pt idx="249">
                  <c:v>Oct 24, 2025</c:v>
                </c:pt>
                <c:pt idx="250">
                  <c:v>Oct 23, 2025</c:v>
                </c:pt>
                <c:pt idx="251">
                  <c:v>Oct 22, 2025</c:v>
                </c:pt>
                <c:pt idx="252">
                  <c:v>Oct 21, 2025</c:v>
                </c:pt>
                <c:pt idx="253">
                  <c:v>Oct 20, 2025</c:v>
                </c:pt>
                <c:pt idx="254">
                  <c:v>Oct 17, 2025</c:v>
                </c:pt>
                <c:pt idx="255">
                  <c:v>Oct 16, 2025</c:v>
                </c:pt>
                <c:pt idx="256">
                  <c:v>Oct 15, 2025</c:v>
                </c:pt>
                <c:pt idx="257">
                  <c:v>Oct 14, 2025</c:v>
                </c:pt>
                <c:pt idx="258">
                  <c:v>Oct 13, 2025</c:v>
                </c:pt>
                <c:pt idx="259">
                  <c:v>Oct 10, 2025</c:v>
                </c:pt>
                <c:pt idx="260">
                  <c:v>Oct 09, 2025</c:v>
                </c:pt>
                <c:pt idx="261">
                  <c:v>Oct 08, 2025</c:v>
                </c:pt>
                <c:pt idx="262">
                  <c:v>Oct 07, 2025</c:v>
                </c:pt>
                <c:pt idx="263">
                  <c:v>Oct 06, 2025</c:v>
                </c:pt>
                <c:pt idx="264">
                  <c:v>Oct 03, 2025</c:v>
                </c:pt>
                <c:pt idx="265">
                  <c:v>Oct 02, 2025</c:v>
                </c:pt>
                <c:pt idx="266">
                  <c:v>Oct 01, 2025</c:v>
                </c:pt>
                <c:pt idx="267">
                  <c:v>Sep 30, 2025</c:v>
                </c:pt>
                <c:pt idx="268">
                  <c:v>Sep 29, 2025</c:v>
                </c:pt>
                <c:pt idx="269">
                  <c:v>Sep 26, 2025</c:v>
                </c:pt>
                <c:pt idx="270">
                  <c:v>Sep 25, 2025</c:v>
                </c:pt>
                <c:pt idx="271">
                  <c:v>Sep 24, 2025</c:v>
                </c:pt>
                <c:pt idx="272">
                  <c:v>Sep 23, 2025</c:v>
                </c:pt>
                <c:pt idx="273">
                  <c:v>Sep 22, 2025</c:v>
                </c:pt>
                <c:pt idx="274">
                  <c:v>Sep 19, 2025</c:v>
                </c:pt>
                <c:pt idx="275">
                  <c:v>Sep 18, 2025</c:v>
                </c:pt>
                <c:pt idx="276">
                  <c:v>Sep 17, 2025</c:v>
                </c:pt>
                <c:pt idx="277">
                  <c:v>Sep 16, 2025</c:v>
                </c:pt>
                <c:pt idx="278">
                  <c:v>Sep 15, 2025</c:v>
                </c:pt>
                <c:pt idx="279">
                  <c:v>Sep 12, 2025</c:v>
                </c:pt>
                <c:pt idx="280">
                  <c:v>Sep 11, 2025</c:v>
                </c:pt>
                <c:pt idx="281">
                  <c:v>Sep 10, 2025</c:v>
                </c:pt>
                <c:pt idx="282">
                  <c:v>Sep 09, 2025</c:v>
                </c:pt>
                <c:pt idx="283">
                  <c:v>Sep 08, 2025</c:v>
                </c:pt>
                <c:pt idx="284">
                  <c:v>Sep 05, 2025</c:v>
                </c:pt>
                <c:pt idx="285">
                  <c:v>Sep 04, 2025</c:v>
                </c:pt>
                <c:pt idx="286">
                  <c:v>Sep 03, 2025</c:v>
                </c:pt>
                <c:pt idx="287">
                  <c:v>Sep 02, 2025</c:v>
                </c:pt>
                <c:pt idx="288">
                  <c:v>Aug 29, 2025</c:v>
                </c:pt>
                <c:pt idx="289">
                  <c:v>Aug 28, 2025</c:v>
                </c:pt>
                <c:pt idx="290">
                  <c:v>Aug 27, 2025</c:v>
                </c:pt>
                <c:pt idx="291">
                  <c:v>Aug 26, 2025</c:v>
                </c:pt>
                <c:pt idx="292">
                  <c:v>Aug 25, 2025</c:v>
                </c:pt>
                <c:pt idx="293">
                  <c:v>Aug 22, 2025</c:v>
                </c:pt>
                <c:pt idx="294">
                  <c:v>Aug 21, 2025</c:v>
                </c:pt>
                <c:pt idx="295">
                  <c:v>Aug 20, 2025</c:v>
                </c:pt>
                <c:pt idx="296">
                  <c:v>Aug 19, 2025</c:v>
                </c:pt>
                <c:pt idx="297">
                  <c:v>Aug 18, 2025</c:v>
                </c:pt>
                <c:pt idx="298">
                  <c:v>Aug 15, 2025</c:v>
                </c:pt>
                <c:pt idx="299">
                  <c:v>Aug 14, 2025</c:v>
                </c:pt>
                <c:pt idx="300">
                  <c:v>Aug 13, 2025</c:v>
                </c:pt>
                <c:pt idx="301">
                  <c:v>Aug 12, 2025</c:v>
                </c:pt>
                <c:pt idx="302">
                  <c:v>Aug 11, 2025</c:v>
                </c:pt>
                <c:pt idx="303">
                  <c:v>Aug 08, 2025</c:v>
                </c:pt>
                <c:pt idx="304">
                  <c:v>Aug 07, 2025</c:v>
                </c:pt>
                <c:pt idx="305">
                  <c:v>Aug 06, 2025</c:v>
                </c:pt>
                <c:pt idx="306">
                  <c:v>Aug 05, 2025</c:v>
                </c:pt>
                <c:pt idx="307">
                  <c:v>Aug 04, 2025</c:v>
                </c:pt>
                <c:pt idx="308">
                  <c:v>Aug 01, 2025</c:v>
                </c:pt>
                <c:pt idx="309">
                  <c:v>Jul 31, 2025</c:v>
                </c:pt>
                <c:pt idx="310">
                  <c:v>Jul 30, 2025</c:v>
                </c:pt>
                <c:pt idx="311">
                  <c:v>Jul 29, 2025</c:v>
                </c:pt>
                <c:pt idx="312">
                  <c:v>Jul 28, 2025</c:v>
                </c:pt>
                <c:pt idx="313">
                  <c:v>Jul 25, 2025</c:v>
                </c:pt>
                <c:pt idx="314">
                  <c:v>Jul 24, 2025</c:v>
                </c:pt>
                <c:pt idx="315">
                  <c:v>Jul 23, 2025</c:v>
                </c:pt>
                <c:pt idx="316">
                  <c:v>Jul 22, 2025</c:v>
                </c:pt>
                <c:pt idx="317">
                  <c:v>Jul 21, 2025</c:v>
                </c:pt>
                <c:pt idx="318">
                  <c:v>Jul 18, 2025</c:v>
                </c:pt>
                <c:pt idx="319">
                  <c:v>Jul 17, 2025</c:v>
                </c:pt>
                <c:pt idx="320">
                  <c:v>Jul 16, 2025</c:v>
                </c:pt>
                <c:pt idx="321">
                  <c:v>Jul 15, 2025</c:v>
                </c:pt>
                <c:pt idx="322">
                  <c:v>Jul 14, 2025</c:v>
                </c:pt>
                <c:pt idx="323">
                  <c:v>Jul 11, 2025</c:v>
                </c:pt>
                <c:pt idx="324">
                  <c:v>Jul 10, 2025</c:v>
                </c:pt>
                <c:pt idx="325">
                  <c:v>Jul 09, 2025</c:v>
                </c:pt>
                <c:pt idx="326">
                  <c:v>Jul 08, 2025</c:v>
                </c:pt>
                <c:pt idx="327">
                  <c:v>Jul 07, 2025</c:v>
                </c:pt>
                <c:pt idx="328">
                  <c:v>Jul 03, 2025</c:v>
                </c:pt>
                <c:pt idx="329">
                  <c:v>Jul 02, 2025</c:v>
                </c:pt>
                <c:pt idx="330">
                  <c:v>Jul 01, 2025</c:v>
                </c:pt>
                <c:pt idx="331">
                  <c:v>Jun 30, 2025</c:v>
                </c:pt>
                <c:pt idx="332">
                  <c:v>Jun 27, 2025</c:v>
                </c:pt>
                <c:pt idx="333">
                  <c:v>Jun 26, 2025</c:v>
                </c:pt>
                <c:pt idx="334">
                  <c:v>Jun 25, 2025</c:v>
                </c:pt>
                <c:pt idx="335">
                  <c:v>Jun 24, 2025</c:v>
                </c:pt>
                <c:pt idx="336">
                  <c:v>Jun 23, 2025</c:v>
                </c:pt>
                <c:pt idx="337">
                  <c:v>Jun 20, 2025</c:v>
                </c:pt>
                <c:pt idx="338">
                  <c:v>Jun 18, 2025</c:v>
                </c:pt>
                <c:pt idx="339">
                  <c:v>Jun 17, 2025</c:v>
                </c:pt>
                <c:pt idx="340">
                  <c:v>Jun 16, 2025</c:v>
                </c:pt>
                <c:pt idx="341">
                  <c:v>Jun 13, 2025</c:v>
                </c:pt>
                <c:pt idx="342">
                  <c:v>Jun 12, 2025</c:v>
                </c:pt>
                <c:pt idx="343">
                  <c:v>Jun 11, 2025</c:v>
                </c:pt>
                <c:pt idx="344">
                  <c:v>Jun 10, 2025</c:v>
                </c:pt>
                <c:pt idx="345">
                  <c:v>Jun 09, 2025</c:v>
                </c:pt>
                <c:pt idx="346">
                  <c:v>Jun 06, 2025</c:v>
                </c:pt>
                <c:pt idx="347">
                  <c:v>Jun 05, 2025</c:v>
                </c:pt>
                <c:pt idx="348">
                  <c:v>Jun 04, 2025</c:v>
                </c:pt>
                <c:pt idx="349">
                  <c:v>Jun 03, 2025</c:v>
                </c:pt>
                <c:pt idx="350">
                  <c:v>Jun 02, 2025</c:v>
                </c:pt>
                <c:pt idx="351">
                  <c:v>May 30, 2025</c:v>
                </c:pt>
                <c:pt idx="352">
                  <c:v>May 29, 2025</c:v>
                </c:pt>
                <c:pt idx="353">
                  <c:v>May 28, 2025</c:v>
                </c:pt>
                <c:pt idx="354">
                  <c:v>May 27, 2025</c:v>
                </c:pt>
                <c:pt idx="355">
                  <c:v>May 23, 2025</c:v>
                </c:pt>
                <c:pt idx="356">
                  <c:v>May 22, 2025</c:v>
                </c:pt>
                <c:pt idx="357">
                  <c:v>May 21, 2025</c:v>
                </c:pt>
                <c:pt idx="358">
                  <c:v>May 20, 2025</c:v>
                </c:pt>
                <c:pt idx="359">
                  <c:v>May 19, 2025</c:v>
                </c:pt>
                <c:pt idx="360">
                  <c:v>May 16, 2025</c:v>
                </c:pt>
                <c:pt idx="361">
                  <c:v>May 15, 2025</c:v>
                </c:pt>
                <c:pt idx="362">
                  <c:v>May 14, 2025</c:v>
                </c:pt>
                <c:pt idx="363">
                  <c:v>May 13, 2025</c:v>
                </c:pt>
                <c:pt idx="364">
                  <c:v>May 12, 2025</c:v>
                </c:pt>
                <c:pt idx="365">
                  <c:v>May 09, 2025</c:v>
                </c:pt>
                <c:pt idx="366">
                  <c:v>May 08, 2025</c:v>
                </c:pt>
                <c:pt idx="367">
                  <c:v>May 07, 2025</c:v>
                </c:pt>
                <c:pt idx="368">
                  <c:v>May 06, 2025</c:v>
                </c:pt>
                <c:pt idx="369">
                  <c:v>May 05, 2025</c:v>
                </c:pt>
                <c:pt idx="370">
                  <c:v>May 02, 2025</c:v>
                </c:pt>
                <c:pt idx="371">
                  <c:v>May 01, 2025</c:v>
                </c:pt>
                <c:pt idx="372">
                  <c:v>Apr 30, 2025</c:v>
                </c:pt>
                <c:pt idx="373">
                  <c:v>Apr 29, 2025</c:v>
                </c:pt>
                <c:pt idx="374">
                  <c:v>Apr 28, 2025</c:v>
                </c:pt>
                <c:pt idx="375">
                  <c:v>Apr 25, 2025</c:v>
                </c:pt>
                <c:pt idx="376">
                  <c:v>Apr 24, 2025</c:v>
                </c:pt>
                <c:pt idx="377">
                  <c:v>Apr 23, 2025</c:v>
                </c:pt>
                <c:pt idx="378">
                  <c:v>Apr 22, 2025</c:v>
                </c:pt>
                <c:pt idx="379">
                  <c:v>Apr 21, 2025</c:v>
                </c:pt>
                <c:pt idx="380">
                  <c:v>Apr 17, 2025</c:v>
                </c:pt>
                <c:pt idx="381">
                  <c:v>Apr 16, 2025</c:v>
                </c:pt>
                <c:pt idx="382">
                  <c:v>Apr 15, 2025</c:v>
                </c:pt>
                <c:pt idx="383">
                  <c:v>Apr 14, 2025</c:v>
                </c:pt>
                <c:pt idx="384">
                  <c:v>Apr 11, 2025</c:v>
                </c:pt>
                <c:pt idx="385">
                  <c:v>Apr 10, 2025</c:v>
                </c:pt>
                <c:pt idx="386">
                  <c:v>Apr 09, 2025</c:v>
                </c:pt>
                <c:pt idx="387">
                  <c:v>Apr 08, 2025</c:v>
                </c:pt>
                <c:pt idx="388">
                  <c:v>Apr 07, 2025</c:v>
                </c:pt>
                <c:pt idx="389">
                  <c:v>Apr 04, 2025</c:v>
                </c:pt>
                <c:pt idx="390">
                  <c:v>Apr 03, 2025</c:v>
                </c:pt>
                <c:pt idx="391">
                  <c:v>Apr 02, 2025</c:v>
                </c:pt>
                <c:pt idx="392">
                  <c:v>Apr 01, 2025</c:v>
                </c:pt>
                <c:pt idx="393">
                  <c:v>Mar 31, 2025</c:v>
                </c:pt>
                <c:pt idx="394">
                  <c:v>Mar 28, 2025</c:v>
                </c:pt>
                <c:pt idx="395">
                  <c:v>Mar 27, 2025</c:v>
                </c:pt>
                <c:pt idx="396">
                  <c:v>Mar 26, 2025</c:v>
                </c:pt>
                <c:pt idx="397">
                  <c:v>Mar 25, 2025</c:v>
                </c:pt>
                <c:pt idx="398">
                  <c:v>Mar 24, 2025</c:v>
                </c:pt>
                <c:pt idx="399">
                  <c:v>Mar 21, 2025</c:v>
                </c:pt>
                <c:pt idx="400">
                  <c:v>Mar 20, 2025</c:v>
                </c:pt>
                <c:pt idx="401">
                  <c:v>Mar 19, 2025</c:v>
                </c:pt>
                <c:pt idx="402">
                  <c:v>Mar 18, 2025</c:v>
                </c:pt>
                <c:pt idx="403">
                  <c:v>Mar 17, 2025</c:v>
                </c:pt>
                <c:pt idx="404">
                  <c:v>Mar 14, 2025</c:v>
                </c:pt>
                <c:pt idx="405">
                  <c:v>Mar 13, 2025</c:v>
                </c:pt>
                <c:pt idx="406">
                  <c:v>Mar 12, 2025</c:v>
                </c:pt>
                <c:pt idx="407">
                  <c:v>Mar 11, 2025</c:v>
                </c:pt>
                <c:pt idx="408">
                  <c:v>Mar 10, 2025</c:v>
                </c:pt>
                <c:pt idx="409">
                  <c:v>Mar 07, 2025</c:v>
                </c:pt>
                <c:pt idx="410">
                  <c:v>Mar 06, 2025</c:v>
                </c:pt>
                <c:pt idx="411">
                  <c:v>Mar 05, 2025</c:v>
                </c:pt>
                <c:pt idx="412">
                  <c:v>Mar 04, 2025</c:v>
                </c:pt>
                <c:pt idx="413">
                  <c:v>Mar 03, 2025</c:v>
                </c:pt>
                <c:pt idx="414">
                  <c:v>Feb 28, 2025</c:v>
                </c:pt>
                <c:pt idx="415">
                  <c:v>Feb 27, 2025</c:v>
                </c:pt>
                <c:pt idx="416">
                  <c:v>Feb 26, 2025</c:v>
                </c:pt>
                <c:pt idx="417">
                  <c:v>Feb 25, 2025</c:v>
                </c:pt>
                <c:pt idx="418">
                  <c:v>Feb 24, 2025</c:v>
                </c:pt>
                <c:pt idx="419">
                  <c:v>Feb 21, 2025</c:v>
                </c:pt>
                <c:pt idx="420">
                  <c:v>Feb 20, 2025</c:v>
                </c:pt>
                <c:pt idx="421">
                  <c:v>Feb 19, 2025</c:v>
                </c:pt>
                <c:pt idx="422">
                  <c:v>Feb 18, 2025</c:v>
                </c:pt>
                <c:pt idx="423">
                  <c:v>Feb 14, 2025</c:v>
                </c:pt>
                <c:pt idx="424">
                  <c:v>Feb 13, 2025</c:v>
                </c:pt>
                <c:pt idx="425">
                  <c:v>Feb 12, 2025</c:v>
                </c:pt>
                <c:pt idx="426">
                  <c:v>Feb 11, 2025</c:v>
                </c:pt>
                <c:pt idx="427">
                  <c:v>Feb 10, 2025</c:v>
                </c:pt>
                <c:pt idx="428">
                  <c:v>Feb 07, 2025</c:v>
                </c:pt>
                <c:pt idx="429">
                  <c:v>Feb 06, 2025</c:v>
                </c:pt>
                <c:pt idx="430">
                  <c:v>Feb 05, 2025</c:v>
                </c:pt>
                <c:pt idx="431">
                  <c:v>Feb 04, 2025</c:v>
                </c:pt>
                <c:pt idx="432">
                  <c:v>Feb 03, 2025</c:v>
                </c:pt>
                <c:pt idx="433">
                  <c:v>Jan 31, 2025</c:v>
                </c:pt>
                <c:pt idx="434">
                  <c:v>Jan 30, 2025</c:v>
                </c:pt>
                <c:pt idx="435">
                  <c:v>Jan 29, 2025</c:v>
                </c:pt>
                <c:pt idx="436">
                  <c:v>Jan 28, 2025</c:v>
                </c:pt>
                <c:pt idx="437">
                  <c:v>Jan 27, 2025</c:v>
                </c:pt>
                <c:pt idx="438">
                  <c:v>Jan 24, 2025</c:v>
                </c:pt>
                <c:pt idx="439">
                  <c:v>Jan 23, 2025</c:v>
                </c:pt>
                <c:pt idx="440">
                  <c:v>Jan 22, 2025</c:v>
                </c:pt>
                <c:pt idx="441">
                  <c:v>Jan 21, 2025</c:v>
                </c:pt>
                <c:pt idx="442">
                  <c:v>Jan 17, 2025</c:v>
                </c:pt>
                <c:pt idx="443">
                  <c:v>Jan 16, 2025</c:v>
                </c:pt>
                <c:pt idx="444">
                  <c:v>Jan 15, 2025</c:v>
                </c:pt>
                <c:pt idx="445">
                  <c:v>Jan 14, 2025</c:v>
                </c:pt>
                <c:pt idx="446">
                  <c:v>Jan 13, 2025</c:v>
                </c:pt>
                <c:pt idx="447">
                  <c:v>Jan 10, 2025</c:v>
                </c:pt>
                <c:pt idx="448">
                  <c:v>Jan 08, 2025</c:v>
                </c:pt>
                <c:pt idx="449">
                  <c:v>Jan 07, 2025</c:v>
                </c:pt>
                <c:pt idx="450">
                  <c:v>Jan 06, 2025</c:v>
                </c:pt>
                <c:pt idx="451">
                  <c:v>Jan 03, 2025</c:v>
                </c:pt>
                <c:pt idx="452">
                  <c:v>Jan 02, 2025</c:v>
                </c:pt>
                <c:pt idx="453">
                  <c:v>Dec 31, 2024</c:v>
                </c:pt>
                <c:pt idx="454">
                  <c:v>Dec 30, 2024</c:v>
                </c:pt>
                <c:pt idx="455">
                  <c:v>Dec 27, 2024</c:v>
                </c:pt>
                <c:pt idx="456">
                  <c:v>Dec 26, 2024</c:v>
                </c:pt>
                <c:pt idx="457">
                  <c:v>Dec 24, 2024</c:v>
                </c:pt>
                <c:pt idx="458">
                  <c:v>Dec 23, 2024</c:v>
                </c:pt>
                <c:pt idx="459">
                  <c:v>Dec 20, 2024</c:v>
                </c:pt>
                <c:pt idx="460">
                  <c:v>Dec 19, 2024</c:v>
                </c:pt>
                <c:pt idx="461">
                  <c:v>Dec 18, 2024</c:v>
                </c:pt>
                <c:pt idx="462">
                  <c:v>Dec 17, 2024</c:v>
                </c:pt>
                <c:pt idx="463">
                  <c:v>Dec 16, 2024</c:v>
                </c:pt>
                <c:pt idx="464">
                  <c:v>Dec 13, 2024</c:v>
                </c:pt>
                <c:pt idx="465">
                  <c:v>Dec 12, 2024</c:v>
                </c:pt>
                <c:pt idx="466">
                  <c:v>Dec 11, 2024</c:v>
                </c:pt>
                <c:pt idx="467">
                  <c:v>Dec 10, 2024</c:v>
                </c:pt>
                <c:pt idx="468">
                  <c:v>Dec 09, 2024</c:v>
                </c:pt>
                <c:pt idx="469">
                  <c:v>Dec 06, 2024</c:v>
                </c:pt>
                <c:pt idx="470">
                  <c:v>Dec 05, 2024</c:v>
                </c:pt>
                <c:pt idx="471">
                  <c:v>Dec 04, 2024</c:v>
                </c:pt>
                <c:pt idx="472">
                  <c:v>Dec 03, 2024</c:v>
                </c:pt>
                <c:pt idx="473">
                  <c:v>Dec 02, 2024</c:v>
                </c:pt>
                <c:pt idx="474">
                  <c:v>Nov 29, 2024</c:v>
                </c:pt>
                <c:pt idx="475">
                  <c:v>Nov 27, 2024</c:v>
                </c:pt>
                <c:pt idx="476">
                  <c:v>Nov 26, 2024</c:v>
                </c:pt>
                <c:pt idx="477">
                  <c:v>Nov 25, 2024</c:v>
                </c:pt>
                <c:pt idx="478">
                  <c:v>Nov 22, 2024</c:v>
                </c:pt>
                <c:pt idx="479">
                  <c:v>Nov 21, 2024</c:v>
                </c:pt>
                <c:pt idx="480">
                  <c:v>Nov 20, 2024</c:v>
                </c:pt>
                <c:pt idx="481">
                  <c:v>Nov 19, 2024</c:v>
                </c:pt>
                <c:pt idx="482">
                  <c:v>Nov 18, 2024</c:v>
                </c:pt>
                <c:pt idx="483">
                  <c:v>Nov 15, 2024</c:v>
                </c:pt>
                <c:pt idx="484">
                  <c:v>Nov 14, 2024</c:v>
                </c:pt>
                <c:pt idx="485">
                  <c:v>Nov 13, 2024</c:v>
                </c:pt>
                <c:pt idx="486">
                  <c:v>Nov 12, 2024</c:v>
                </c:pt>
                <c:pt idx="487">
                  <c:v>Nov 11, 2024</c:v>
                </c:pt>
                <c:pt idx="488">
                  <c:v>Nov 08, 2024</c:v>
                </c:pt>
                <c:pt idx="489">
                  <c:v>Nov 07, 2024</c:v>
                </c:pt>
                <c:pt idx="490">
                  <c:v>Nov 06, 2024</c:v>
                </c:pt>
                <c:pt idx="491">
                  <c:v>Nov 05, 2024</c:v>
                </c:pt>
                <c:pt idx="492">
                  <c:v>Nov 04, 2024</c:v>
                </c:pt>
                <c:pt idx="493">
                  <c:v>Nov 01, 2024</c:v>
                </c:pt>
                <c:pt idx="494">
                  <c:v>Oct 31, 2024</c:v>
                </c:pt>
                <c:pt idx="495">
                  <c:v>Oct 30, 2024</c:v>
                </c:pt>
                <c:pt idx="496">
                  <c:v>Oct 29, 2024</c:v>
                </c:pt>
                <c:pt idx="497">
                  <c:v>Oct 28, 2024</c:v>
                </c:pt>
                <c:pt idx="498">
                  <c:v>Oct 25, 2024</c:v>
                </c:pt>
                <c:pt idx="499">
                  <c:v>Oct 24, 2024</c:v>
                </c:pt>
                <c:pt idx="500">
                  <c:v>Oct 23, 2024</c:v>
                </c:pt>
                <c:pt idx="501">
                  <c:v>Oct 22, 2024</c:v>
                </c:pt>
                <c:pt idx="502">
                  <c:v>Oct 21, 2024</c:v>
                </c:pt>
                <c:pt idx="503">
                  <c:v>Oct 18, 2024</c:v>
                </c:pt>
                <c:pt idx="504">
                  <c:v>Oct 17, 2024</c:v>
                </c:pt>
                <c:pt idx="505">
                  <c:v>Oct 16, 2024</c:v>
                </c:pt>
                <c:pt idx="506">
                  <c:v>Oct 15, 2024</c:v>
                </c:pt>
                <c:pt idx="507">
                  <c:v>Oct 14, 2024</c:v>
                </c:pt>
                <c:pt idx="508">
                  <c:v>Oct 11, 2024</c:v>
                </c:pt>
                <c:pt idx="509">
                  <c:v>Oct 10, 2024</c:v>
                </c:pt>
                <c:pt idx="510">
                  <c:v>Oct 09, 2024</c:v>
                </c:pt>
                <c:pt idx="511">
                  <c:v>Oct 08, 2024</c:v>
                </c:pt>
                <c:pt idx="512">
                  <c:v>Oct 07, 2024</c:v>
                </c:pt>
                <c:pt idx="513">
                  <c:v>Oct 04, 2024</c:v>
                </c:pt>
                <c:pt idx="514">
                  <c:v>Oct 03, 2024</c:v>
                </c:pt>
                <c:pt idx="515">
                  <c:v>Oct 02, 2024</c:v>
                </c:pt>
                <c:pt idx="516">
                  <c:v>Oct 01, 2024</c:v>
                </c:pt>
                <c:pt idx="517">
                  <c:v>Sep 30, 2024</c:v>
                </c:pt>
                <c:pt idx="518">
                  <c:v>Sep 27, 2024</c:v>
                </c:pt>
                <c:pt idx="519">
                  <c:v>Sep 26, 2024</c:v>
                </c:pt>
                <c:pt idx="520">
                  <c:v>Sep 25, 2024</c:v>
                </c:pt>
                <c:pt idx="521">
                  <c:v>Sep 24, 2024</c:v>
                </c:pt>
                <c:pt idx="522">
                  <c:v>Sep 23, 2024</c:v>
                </c:pt>
                <c:pt idx="523">
                  <c:v>Sep 20, 2024</c:v>
                </c:pt>
                <c:pt idx="524">
                  <c:v>Sep 19, 2024</c:v>
                </c:pt>
                <c:pt idx="525">
                  <c:v>Sep 18, 2024</c:v>
                </c:pt>
                <c:pt idx="526">
                  <c:v>Sep 17, 2024</c:v>
                </c:pt>
                <c:pt idx="527">
                  <c:v>Sep 16, 2024</c:v>
                </c:pt>
                <c:pt idx="528">
                  <c:v>Sep 13, 2024</c:v>
                </c:pt>
                <c:pt idx="529">
                  <c:v>Sep 12, 2024</c:v>
                </c:pt>
                <c:pt idx="530">
                  <c:v>Sep 11, 2024</c:v>
                </c:pt>
                <c:pt idx="531">
                  <c:v>Sep 10, 2024</c:v>
                </c:pt>
                <c:pt idx="532">
                  <c:v>Sep 09, 2024</c:v>
                </c:pt>
                <c:pt idx="533">
                  <c:v>Sep 06, 2024</c:v>
                </c:pt>
                <c:pt idx="534">
                  <c:v>Sep 05, 2024</c:v>
                </c:pt>
                <c:pt idx="535">
                  <c:v>Sep 04, 2024</c:v>
                </c:pt>
                <c:pt idx="536">
                  <c:v>Sep 03, 2024</c:v>
                </c:pt>
                <c:pt idx="537">
                  <c:v>Aug 30, 2024</c:v>
                </c:pt>
                <c:pt idx="538">
                  <c:v>Aug 29, 2024</c:v>
                </c:pt>
                <c:pt idx="539">
                  <c:v>Aug 28, 2024</c:v>
                </c:pt>
                <c:pt idx="540">
                  <c:v>Aug 27, 2024</c:v>
                </c:pt>
                <c:pt idx="541">
                  <c:v>Aug 26, 2024</c:v>
                </c:pt>
                <c:pt idx="542">
                  <c:v>Aug 23, 2024</c:v>
                </c:pt>
                <c:pt idx="543">
                  <c:v>Aug 22, 2024</c:v>
                </c:pt>
                <c:pt idx="544">
                  <c:v>Aug 21, 2024</c:v>
                </c:pt>
                <c:pt idx="545">
                  <c:v>Aug 20, 2024</c:v>
                </c:pt>
                <c:pt idx="546">
                  <c:v>Aug 19, 2024</c:v>
                </c:pt>
                <c:pt idx="547">
                  <c:v>Aug 16, 2024</c:v>
                </c:pt>
                <c:pt idx="548">
                  <c:v>Aug 15, 2024</c:v>
                </c:pt>
                <c:pt idx="549">
                  <c:v>Aug 14, 2024</c:v>
                </c:pt>
                <c:pt idx="550">
                  <c:v>Aug 13, 2024</c:v>
                </c:pt>
                <c:pt idx="551">
                  <c:v>Aug 12, 2024</c:v>
                </c:pt>
                <c:pt idx="552">
                  <c:v>Aug 09, 2024</c:v>
                </c:pt>
                <c:pt idx="553">
                  <c:v>Aug 08, 2024</c:v>
                </c:pt>
                <c:pt idx="554">
                  <c:v>Aug 07, 2024</c:v>
                </c:pt>
                <c:pt idx="555">
                  <c:v>Aug 06, 2024</c:v>
                </c:pt>
                <c:pt idx="556">
                  <c:v>Aug 05, 2024</c:v>
                </c:pt>
                <c:pt idx="557">
                  <c:v>Aug 02, 2024</c:v>
                </c:pt>
                <c:pt idx="558">
                  <c:v>Aug 01, 2024</c:v>
                </c:pt>
                <c:pt idx="559">
                  <c:v>Jul 31, 2024</c:v>
                </c:pt>
                <c:pt idx="560">
                  <c:v>Jul 30, 2024</c:v>
                </c:pt>
                <c:pt idx="561">
                  <c:v>Jul 29, 2024</c:v>
                </c:pt>
                <c:pt idx="562">
                  <c:v>Jul 26, 2024</c:v>
                </c:pt>
                <c:pt idx="563">
                  <c:v>Jul 25, 2024</c:v>
                </c:pt>
                <c:pt idx="564">
                  <c:v>Jul 24, 2024</c:v>
                </c:pt>
                <c:pt idx="565">
                  <c:v>Jul 23, 2024</c:v>
                </c:pt>
                <c:pt idx="566">
                  <c:v>Jul 22, 2024</c:v>
                </c:pt>
                <c:pt idx="567">
                  <c:v>Jul 19, 2024</c:v>
                </c:pt>
                <c:pt idx="568">
                  <c:v>Jul 18, 2024</c:v>
                </c:pt>
                <c:pt idx="569">
                  <c:v>Jul 17, 2024</c:v>
                </c:pt>
                <c:pt idx="570">
                  <c:v>Jul 16, 2024</c:v>
                </c:pt>
                <c:pt idx="571">
                  <c:v>Jul 15, 2024</c:v>
                </c:pt>
                <c:pt idx="572">
                  <c:v>Jul 12, 2024</c:v>
                </c:pt>
                <c:pt idx="573">
                  <c:v>Jul 11, 2024</c:v>
                </c:pt>
                <c:pt idx="574">
                  <c:v>Jul 10, 2024</c:v>
                </c:pt>
                <c:pt idx="575">
                  <c:v>Jul 09, 2024</c:v>
                </c:pt>
                <c:pt idx="576">
                  <c:v>Jul 08, 2024</c:v>
                </c:pt>
                <c:pt idx="577">
                  <c:v>Jul 05, 2024</c:v>
                </c:pt>
                <c:pt idx="578">
                  <c:v>Jul 03, 2024</c:v>
                </c:pt>
                <c:pt idx="579">
                  <c:v>Jul 02, 2024</c:v>
                </c:pt>
                <c:pt idx="580">
                  <c:v>Jul 01, 2024</c:v>
                </c:pt>
                <c:pt idx="581">
                  <c:v>Jun 28, 2024</c:v>
                </c:pt>
                <c:pt idx="582">
                  <c:v>Jun 27, 2024</c:v>
                </c:pt>
                <c:pt idx="583">
                  <c:v>Jun 26, 2024</c:v>
                </c:pt>
                <c:pt idx="584">
                  <c:v>Jun 25, 2024</c:v>
                </c:pt>
                <c:pt idx="585">
                  <c:v>Jun 24, 2024</c:v>
                </c:pt>
                <c:pt idx="586">
                  <c:v>Jun 21, 2024</c:v>
                </c:pt>
                <c:pt idx="587">
                  <c:v>Jun 20, 2024</c:v>
                </c:pt>
                <c:pt idx="588">
                  <c:v>Jun 18, 2024</c:v>
                </c:pt>
                <c:pt idx="589">
                  <c:v>Jun 17, 2024</c:v>
                </c:pt>
                <c:pt idx="590">
                  <c:v>Jun 14, 2024</c:v>
                </c:pt>
                <c:pt idx="591">
                  <c:v>Jun 13, 2024</c:v>
                </c:pt>
                <c:pt idx="592">
                  <c:v>Jun 12, 2024</c:v>
                </c:pt>
                <c:pt idx="593">
                  <c:v>Jun 11, 2024</c:v>
                </c:pt>
                <c:pt idx="594">
                  <c:v>Jun 10, 2024</c:v>
                </c:pt>
                <c:pt idx="595">
                  <c:v>Jun 07, 2024</c:v>
                </c:pt>
                <c:pt idx="596">
                  <c:v>Jun 06, 2024</c:v>
                </c:pt>
                <c:pt idx="597">
                  <c:v>Jun 05, 2024</c:v>
                </c:pt>
                <c:pt idx="598">
                  <c:v>Jun 04, 2024</c:v>
                </c:pt>
                <c:pt idx="599">
                  <c:v>Jun 03, 2024</c:v>
                </c:pt>
                <c:pt idx="600">
                  <c:v>May 31, 2024</c:v>
                </c:pt>
                <c:pt idx="601">
                  <c:v>May 30, 2024</c:v>
                </c:pt>
                <c:pt idx="602">
                  <c:v>May 29, 2024</c:v>
                </c:pt>
                <c:pt idx="603">
                  <c:v>May 28, 2024</c:v>
                </c:pt>
                <c:pt idx="604">
                  <c:v>May 24, 2024</c:v>
                </c:pt>
                <c:pt idx="605">
                  <c:v>May 23, 2024</c:v>
                </c:pt>
                <c:pt idx="606">
                  <c:v>May 22, 2024</c:v>
                </c:pt>
                <c:pt idx="607">
                  <c:v>May 21, 2024</c:v>
                </c:pt>
                <c:pt idx="608">
                  <c:v>May 20, 2024</c:v>
                </c:pt>
                <c:pt idx="609">
                  <c:v>May 17, 2024</c:v>
                </c:pt>
                <c:pt idx="610">
                  <c:v>May 16, 2024</c:v>
                </c:pt>
                <c:pt idx="611">
                  <c:v>May 15, 2024</c:v>
                </c:pt>
                <c:pt idx="612">
                  <c:v>May 14, 2024</c:v>
                </c:pt>
                <c:pt idx="613">
                  <c:v>May 13, 2024</c:v>
                </c:pt>
                <c:pt idx="614">
                  <c:v>May 10, 2024</c:v>
                </c:pt>
                <c:pt idx="615">
                  <c:v>May 09, 2024</c:v>
                </c:pt>
                <c:pt idx="616">
                  <c:v>May 08, 2024</c:v>
                </c:pt>
                <c:pt idx="617">
                  <c:v>May 07, 2024</c:v>
                </c:pt>
                <c:pt idx="618">
                  <c:v>May 06, 2024</c:v>
                </c:pt>
                <c:pt idx="619">
                  <c:v>May 03, 2024</c:v>
                </c:pt>
                <c:pt idx="620">
                  <c:v>May 02, 2024</c:v>
                </c:pt>
                <c:pt idx="621">
                  <c:v>May 01, 2024</c:v>
                </c:pt>
                <c:pt idx="622">
                  <c:v>Apr 30, 2024</c:v>
                </c:pt>
                <c:pt idx="623">
                  <c:v>Apr 29, 2024</c:v>
                </c:pt>
                <c:pt idx="624">
                  <c:v>Apr 26, 2024</c:v>
                </c:pt>
                <c:pt idx="625">
                  <c:v>Apr 25, 2024</c:v>
                </c:pt>
                <c:pt idx="626">
                  <c:v>Apr 24, 2024</c:v>
                </c:pt>
                <c:pt idx="627">
                  <c:v>Apr 23, 2024</c:v>
                </c:pt>
                <c:pt idx="628">
                  <c:v>Apr 22, 2024</c:v>
                </c:pt>
                <c:pt idx="629">
                  <c:v>Apr 19, 2024</c:v>
                </c:pt>
                <c:pt idx="630">
                  <c:v>Apr 18, 2024</c:v>
                </c:pt>
                <c:pt idx="631">
                  <c:v>Apr 17, 2024</c:v>
                </c:pt>
                <c:pt idx="632">
                  <c:v>Apr 16, 2024</c:v>
                </c:pt>
                <c:pt idx="633">
                  <c:v>Apr 15, 2024</c:v>
                </c:pt>
                <c:pt idx="634">
                  <c:v>Apr 12, 2024</c:v>
                </c:pt>
                <c:pt idx="635">
                  <c:v>Apr 11, 2024</c:v>
                </c:pt>
                <c:pt idx="636">
                  <c:v>Apr 10, 2024</c:v>
                </c:pt>
                <c:pt idx="637">
                  <c:v>Apr 09, 2024</c:v>
                </c:pt>
                <c:pt idx="638">
                  <c:v>Apr 08, 2024</c:v>
                </c:pt>
                <c:pt idx="639">
                  <c:v>Apr 05, 2024</c:v>
                </c:pt>
                <c:pt idx="640">
                  <c:v>Apr 04, 2024</c:v>
                </c:pt>
                <c:pt idx="641">
                  <c:v>Apr 03, 2024</c:v>
                </c:pt>
                <c:pt idx="642">
                  <c:v>Apr 02, 2024</c:v>
                </c:pt>
                <c:pt idx="643">
                  <c:v>Apr 01, 2024</c:v>
                </c:pt>
                <c:pt idx="644">
                  <c:v>Mar 28, 2024</c:v>
                </c:pt>
                <c:pt idx="645">
                  <c:v>Mar 27, 2024</c:v>
                </c:pt>
                <c:pt idx="646">
                  <c:v>Mar 26, 2024</c:v>
                </c:pt>
                <c:pt idx="647">
                  <c:v>Mar 25, 2024</c:v>
                </c:pt>
                <c:pt idx="648">
                  <c:v>Mar 22, 2024</c:v>
                </c:pt>
                <c:pt idx="649">
                  <c:v>Mar 21, 2024</c:v>
                </c:pt>
                <c:pt idx="650">
                  <c:v>Mar 20, 2024</c:v>
                </c:pt>
                <c:pt idx="651">
                  <c:v>Mar 19, 2024</c:v>
                </c:pt>
                <c:pt idx="652">
                  <c:v>Mar 18, 2024</c:v>
                </c:pt>
                <c:pt idx="653">
                  <c:v>Mar 15, 2024</c:v>
                </c:pt>
                <c:pt idx="654">
                  <c:v>Mar 14, 2024</c:v>
                </c:pt>
                <c:pt idx="655">
                  <c:v>Mar 13, 2024</c:v>
                </c:pt>
                <c:pt idx="656">
                  <c:v>Mar 12, 2024</c:v>
                </c:pt>
                <c:pt idx="657">
                  <c:v>Mar 11, 2024</c:v>
                </c:pt>
                <c:pt idx="658">
                  <c:v>Mar 08, 2024</c:v>
                </c:pt>
                <c:pt idx="659">
                  <c:v>Mar 07, 2024</c:v>
                </c:pt>
                <c:pt idx="660">
                  <c:v>Mar 06, 2024</c:v>
                </c:pt>
                <c:pt idx="661">
                  <c:v>Mar 05, 2024</c:v>
                </c:pt>
                <c:pt idx="662">
                  <c:v>Mar 04, 2024</c:v>
                </c:pt>
                <c:pt idx="663">
                  <c:v>Mar 01, 2024</c:v>
                </c:pt>
                <c:pt idx="664">
                  <c:v>Feb 29, 2024</c:v>
                </c:pt>
                <c:pt idx="665">
                  <c:v>Feb 28, 2024</c:v>
                </c:pt>
                <c:pt idx="666">
                  <c:v>Feb 27, 2024</c:v>
                </c:pt>
                <c:pt idx="667">
                  <c:v>Feb 26, 2024</c:v>
                </c:pt>
                <c:pt idx="668">
                  <c:v>Feb 23, 2024</c:v>
                </c:pt>
                <c:pt idx="669">
                  <c:v>Feb 22, 2024</c:v>
                </c:pt>
                <c:pt idx="670">
                  <c:v>Feb 21, 2024</c:v>
                </c:pt>
                <c:pt idx="671">
                  <c:v>Feb 20, 2024</c:v>
                </c:pt>
                <c:pt idx="672">
                  <c:v>Feb 16, 2024</c:v>
                </c:pt>
                <c:pt idx="673">
                  <c:v>Feb 15, 2024</c:v>
                </c:pt>
                <c:pt idx="674">
                  <c:v>Feb 14, 2024</c:v>
                </c:pt>
                <c:pt idx="675">
                  <c:v>Feb 13, 2024</c:v>
                </c:pt>
                <c:pt idx="676">
                  <c:v>Feb 12, 2024</c:v>
                </c:pt>
                <c:pt idx="677">
                  <c:v>Feb 09, 2024</c:v>
                </c:pt>
                <c:pt idx="678">
                  <c:v>Feb 08, 2024</c:v>
                </c:pt>
                <c:pt idx="679">
                  <c:v>Feb 07, 2024</c:v>
                </c:pt>
                <c:pt idx="680">
                  <c:v>Feb 06, 2024</c:v>
                </c:pt>
                <c:pt idx="681">
                  <c:v>Feb 05, 2024</c:v>
                </c:pt>
                <c:pt idx="682">
                  <c:v>Feb 02, 2024</c:v>
                </c:pt>
                <c:pt idx="683">
                  <c:v>Feb 01, 2024</c:v>
                </c:pt>
                <c:pt idx="684">
                  <c:v>Jan 31, 2024</c:v>
                </c:pt>
                <c:pt idx="685">
                  <c:v>Jan 30, 2024</c:v>
                </c:pt>
                <c:pt idx="686">
                  <c:v>Jan 29, 2024</c:v>
                </c:pt>
                <c:pt idx="687">
                  <c:v>Jan 26, 2024</c:v>
                </c:pt>
                <c:pt idx="688">
                  <c:v>Jan 25, 2024</c:v>
                </c:pt>
                <c:pt idx="689">
                  <c:v>Jan 24, 2024</c:v>
                </c:pt>
                <c:pt idx="690">
                  <c:v>Jan 23, 2024</c:v>
                </c:pt>
                <c:pt idx="691">
                  <c:v>Jan 22, 2024</c:v>
                </c:pt>
                <c:pt idx="692">
                  <c:v>Jan 19, 2024</c:v>
                </c:pt>
                <c:pt idx="693">
                  <c:v>Jan 18, 2024</c:v>
                </c:pt>
                <c:pt idx="694">
                  <c:v>Jan 17, 2024</c:v>
                </c:pt>
                <c:pt idx="695">
                  <c:v>Jan 16, 2024</c:v>
                </c:pt>
                <c:pt idx="696">
                  <c:v>Jan 12, 2024</c:v>
                </c:pt>
                <c:pt idx="697">
                  <c:v>Jan 11, 2024</c:v>
                </c:pt>
                <c:pt idx="698">
                  <c:v>Jan 10, 2024</c:v>
                </c:pt>
                <c:pt idx="699">
                  <c:v>Jan 09, 2024</c:v>
                </c:pt>
                <c:pt idx="700">
                  <c:v>Jan 08, 2024</c:v>
                </c:pt>
                <c:pt idx="701">
                  <c:v>Jan 05, 2024</c:v>
                </c:pt>
                <c:pt idx="702">
                  <c:v>Jan 04, 2024</c:v>
                </c:pt>
                <c:pt idx="703">
                  <c:v>Jan 03, 2024</c:v>
                </c:pt>
                <c:pt idx="704">
                  <c:v>Jan 02, 2024</c:v>
                </c:pt>
                <c:pt idx="705">
                  <c:v>Dec 29, 2023</c:v>
                </c:pt>
                <c:pt idx="706">
                  <c:v>Dec 28, 2023</c:v>
                </c:pt>
                <c:pt idx="707">
                  <c:v>Dec 27, 2023</c:v>
                </c:pt>
                <c:pt idx="708">
                  <c:v>Dec 26, 2023</c:v>
                </c:pt>
                <c:pt idx="709">
                  <c:v>Dec 22, 2023</c:v>
                </c:pt>
                <c:pt idx="710">
                  <c:v>Dec 21, 2023</c:v>
                </c:pt>
                <c:pt idx="711">
                  <c:v>Dec 20, 2023</c:v>
                </c:pt>
                <c:pt idx="712">
                  <c:v>Dec 19, 2023</c:v>
                </c:pt>
                <c:pt idx="713">
                  <c:v>Dec 18, 2023</c:v>
                </c:pt>
                <c:pt idx="714">
                  <c:v>Dec 15, 2023</c:v>
                </c:pt>
                <c:pt idx="715">
                  <c:v>Dec 14, 2023</c:v>
                </c:pt>
                <c:pt idx="716">
                  <c:v>Dec 13, 2023</c:v>
                </c:pt>
                <c:pt idx="717">
                  <c:v>Dec 12, 2023</c:v>
                </c:pt>
                <c:pt idx="718">
                  <c:v>Dec 11, 2023</c:v>
                </c:pt>
                <c:pt idx="719">
                  <c:v>Dec 08, 2023</c:v>
                </c:pt>
                <c:pt idx="720">
                  <c:v>Dec 07, 2023</c:v>
                </c:pt>
                <c:pt idx="721">
                  <c:v>Dec 06, 2023</c:v>
                </c:pt>
                <c:pt idx="722">
                  <c:v>Dec 05, 2023</c:v>
                </c:pt>
                <c:pt idx="723">
                  <c:v>Dec 04, 2023</c:v>
                </c:pt>
                <c:pt idx="724">
                  <c:v>Dec 01, 2023</c:v>
                </c:pt>
                <c:pt idx="725">
                  <c:v>Nov 30, 2023</c:v>
                </c:pt>
                <c:pt idx="726">
                  <c:v>Nov 29, 2023</c:v>
                </c:pt>
                <c:pt idx="727">
                  <c:v>Nov 28, 2023</c:v>
                </c:pt>
                <c:pt idx="728">
                  <c:v>Nov 27, 2023</c:v>
                </c:pt>
                <c:pt idx="729">
                  <c:v>Nov 24, 2023</c:v>
                </c:pt>
                <c:pt idx="730">
                  <c:v>Nov 22, 2023</c:v>
                </c:pt>
                <c:pt idx="731">
                  <c:v>Nov 21, 2023</c:v>
                </c:pt>
                <c:pt idx="732">
                  <c:v>Nov 20, 2023</c:v>
                </c:pt>
                <c:pt idx="733">
                  <c:v>Nov 17, 2023</c:v>
                </c:pt>
                <c:pt idx="734">
                  <c:v>Nov 16, 2023</c:v>
                </c:pt>
                <c:pt idx="735">
                  <c:v>Nov 15, 2023</c:v>
                </c:pt>
                <c:pt idx="736">
                  <c:v>Nov 14, 2023</c:v>
                </c:pt>
                <c:pt idx="737">
                  <c:v>Nov 13, 2023</c:v>
                </c:pt>
                <c:pt idx="738">
                  <c:v>Nov 10, 2023</c:v>
                </c:pt>
                <c:pt idx="739">
                  <c:v>Nov 09, 2023</c:v>
                </c:pt>
                <c:pt idx="740">
                  <c:v>Nov 08, 2023</c:v>
                </c:pt>
                <c:pt idx="741">
                  <c:v>Nov 07, 2023</c:v>
                </c:pt>
                <c:pt idx="742">
                  <c:v>Nov 06, 2023</c:v>
                </c:pt>
                <c:pt idx="743">
                  <c:v>Nov 03, 2023</c:v>
                </c:pt>
                <c:pt idx="744">
                  <c:v>Nov 02, 2023</c:v>
                </c:pt>
                <c:pt idx="745">
                  <c:v>Nov 01, 2023</c:v>
                </c:pt>
                <c:pt idx="746">
                  <c:v>Oct 31, 2023</c:v>
                </c:pt>
                <c:pt idx="747">
                  <c:v>Oct 30, 2023</c:v>
                </c:pt>
                <c:pt idx="748">
                  <c:v>Oct 27, 2023</c:v>
                </c:pt>
                <c:pt idx="749">
                  <c:v>Oct 26, 2023</c:v>
                </c:pt>
                <c:pt idx="750">
                  <c:v>Oct 25, 2023</c:v>
                </c:pt>
                <c:pt idx="751">
                  <c:v>Oct 24, 2023</c:v>
                </c:pt>
                <c:pt idx="752">
                  <c:v>Oct 23, 2023</c:v>
                </c:pt>
                <c:pt idx="753">
                  <c:v>Oct 20, 2023</c:v>
                </c:pt>
                <c:pt idx="754">
                  <c:v>Oct 19, 2023</c:v>
                </c:pt>
                <c:pt idx="755">
                  <c:v>Oct 18, 2023</c:v>
                </c:pt>
                <c:pt idx="756">
                  <c:v>Oct 17, 2023</c:v>
                </c:pt>
                <c:pt idx="757">
                  <c:v>Oct 16, 2023</c:v>
                </c:pt>
                <c:pt idx="758">
                  <c:v>Oct 13, 2023</c:v>
                </c:pt>
                <c:pt idx="759">
                  <c:v>Oct 12, 2023</c:v>
                </c:pt>
                <c:pt idx="760">
                  <c:v>Oct 11, 2023</c:v>
                </c:pt>
                <c:pt idx="761">
                  <c:v>Oct 10, 2023</c:v>
                </c:pt>
                <c:pt idx="762">
                  <c:v>Oct 09, 2023</c:v>
                </c:pt>
                <c:pt idx="763">
                  <c:v>Oct 06, 2023</c:v>
                </c:pt>
                <c:pt idx="764">
                  <c:v>Oct 05, 2023</c:v>
                </c:pt>
                <c:pt idx="765">
                  <c:v>Oct 04, 2023</c:v>
                </c:pt>
                <c:pt idx="766">
                  <c:v>Oct 03, 2023</c:v>
                </c:pt>
                <c:pt idx="767">
                  <c:v>Oct 02, 2023</c:v>
                </c:pt>
                <c:pt idx="768">
                  <c:v>Sep 29, 2023</c:v>
                </c:pt>
                <c:pt idx="769">
                  <c:v>Sep 28, 2023</c:v>
                </c:pt>
                <c:pt idx="770">
                  <c:v>Sep 27, 2023</c:v>
                </c:pt>
                <c:pt idx="771">
                  <c:v>Sep 26, 2023</c:v>
                </c:pt>
                <c:pt idx="772">
                  <c:v>Sep 25, 2023</c:v>
                </c:pt>
                <c:pt idx="773">
                  <c:v>Sep 22, 2023</c:v>
                </c:pt>
                <c:pt idx="774">
                  <c:v>Sep 21, 2023</c:v>
                </c:pt>
                <c:pt idx="775">
                  <c:v>Sep 20, 2023</c:v>
                </c:pt>
                <c:pt idx="776">
                  <c:v>Sep 19, 2023</c:v>
                </c:pt>
                <c:pt idx="777">
                  <c:v>Sep 18, 2023</c:v>
                </c:pt>
                <c:pt idx="778">
                  <c:v>Sep 15, 2023</c:v>
                </c:pt>
                <c:pt idx="779">
                  <c:v>Sep 14, 2023</c:v>
                </c:pt>
                <c:pt idx="780">
                  <c:v>Sep 13, 2023</c:v>
                </c:pt>
                <c:pt idx="781">
                  <c:v>Sep 12, 2023</c:v>
                </c:pt>
                <c:pt idx="782">
                  <c:v>Sep 11, 2023</c:v>
                </c:pt>
                <c:pt idx="783">
                  <c:v>Sep 08, 2023</c:v>
                </c:pt>
                <c:pt idx="784">
                  <c:v>Sep 07, 2023</c:v>
                </c:pt>
                <c:pt idx="785">
                  <c:v>Sep 06, 2023</c:v>
                </c:pt>
                <c:pt idx="786">
                  <c:v>Sep 05, 2023</c:v>
                </c:pt>
                <c:pt idx="787">
                  <c:v>Sep 01, 2023</c:v>
                </c:pt>
                <c:pt idx="788">
                  <c:v>Aug 31, 2023</c:v>
                </c:pt>
                <c:pt idx="789">
                  <c:v>Aug 30, 2023</c:v>
                </c:pt>
                <c:pt idx="790">
                  <c:v>Aug 29, 2023</c:v>
                </c:pt>
                <c:pt idx="791">
                  <c:v>Aug 28, 2023</c:v>
                </c:pt>
                <c:pt idx="792">
                  <c:v>Aug 25, 2023</c:v>
                </c:pt>
                <c:pt idx="793">
                  <c:v>Aug 24, 2023</c:v>
                </c:pt>
                <c:pt idx="794">
                  <c:v>Aug 23, 2023</c:v>
                </c:pt>
                <c:pt idx="795">
                  <c:v>Aug 22, 2023</c:v>
                </c:pt>
                <c:pt idx="796">
                  <c:v>Aug 21, 2023</c:v>
                </c:pt>
                <c:pt idx="797">
                  <c:v>Aug 18, 2023</c:v>
                </c:pt>
                <c:pt idx="798">
                  <c:v>Aug 17, 2023</c:v>
                </c:pt>
                <c:pt idx="799">
                  <c:v>Aug 16, 2023</c:v>
                </c:pt>
                <c:pt idx="800">
                  <c:v>Aug 15, 2023</c:v>
                </c:pt>
                <c:pt idx="801">
                  <c:v>Aug 14, 2023</c:v>
                </c:pt>
                <c:pt idx="802">
                  <c:v>Aug 11, 2023</c:v>
                </c:pt>
                <c:pt idx="803">
                  <c:v>Aug 10, 2023</c:v>
                </c:pt>
                <c:pt idx="804">
                  <c:v>Aug 09, 2023</c:v>
                </c:pt>
                <c:pt idx="805">
                  <c:v>Aug 08, 2023</c:v>
                </c:pt>
                <c:pt idx="806">
                  <c:v>Aug 07, 2023</c:v>
                </c:pt>
                <c:pt idx="807">
                  <c:v>Aug 04, 2023</c:v>
                </c:pt>
                <c:pt idx="808">
                  <c:v>Aug 03, 2023</c:v>
                </c:pt>
                <c:pt idx="809">
                  <c:v>Aug 02, 2023</c:v>
                </c:pt>
                <c:pt idx="810">
                  <c:v>Aug 01, 2023</c:v>
                </c:pt>
                <c:pt idx="811">
                  <c:v>Jul 31, 2023</c:v>
                </c:pt>
                <c:pt idx="812">
                  <c:v>Jul 28, 2023</c:v>
                </c:pt>
                <c:pt idx="813">
                  <c:v>Jul 27, 2023</c:v>
                </c:pt>
                <c:pt idx="814">
                  <c:v>Jul 26, 2023</c:v>
                </c:pt>
                <c:pt idx="815">
                  <c:v>Jul 25, 2023</c:v>
                </c:pt>
                <c:pt idx="816">
                  <c:v>Jul 24, 2023</c:v>
                </c:pt>
                <c:pt idx="817">
                  <c:v>Jul 21, 2023</c:v>
                </c:pt>
                <c:pt idx="818">
                  <c:v>Jul 20, 2023</c:v>
                </c:pt>
                <c:pt idx="819">
                  <c:v>Jul 19, 2023</c:v>
                </c:pt>
                <c:pt idx="820">
                  <c:v>Jul 18, 2023</c:v>
                </c:pt>
                <c:pt idx="821">
                  <c:v>Jul 17, 2023</c:v>
                </c:pt>
                <c:pt idx="822">
                  <c:v>Jul 14, 2023</c:v>
                </c:pt>
                <c:pt idx="823">
                  <c:v>Jul 13, 2023</c:v>
                </c:pt>
                <c:pt idx="824">
                  <c:v>Jul 12, 2023</c:v>
                </c:pt>
                <c:pt idx="825">
                  <c:v>Jul 11, 2023</c:v>
                </c:pt>
                <c:pt idx="826">
                  <c:v>Jul 10, 2023</c:v>
                </c:pt>
                <c:pt idx="827">
                  <c:v>Jul 07, 2023</c:v>
                </c:pt>
                <c:pt idx="828">
                  <c:v>Jul 06, 2023</c:v>
                </c:pt>
                <c:pt idx="829">
                  <c:v>Jul 05, 2023</c:v>
                </c:pt>
                <c:pt idx="830">
                  <c:v>Jul 03, 2023</c:v>
                </c:pt>
                <c:pt idx="831">
                  <c:v>Jun 30, 2023</c:v>
                </c:pt>
                <c:pt idx="832">
                  <c:v>Jun 29, 2023</c:v>
                </c:pt>
                <c:pt idx="833">
                  <c:v>Jun 28, 2023</c:v>
                </c:pt>
                <c:pt idx="834">
                  <c:v>Jun 27, 2023</c:v>
                </c:pt>
                <c:pt idx="835">
                  <c:v>Jun 26, 2023</c:v>
                </c:pt>
                <c:pt idx="836">
                  <c:v>Jun 23, 2023</c:v>
                </c:pt>
                <c:pt idx="837">
                  <c:v>Jun 22, 2023</c:v>
                </c:pt>
                <c:pt idx="838">
                  <c:v>Jun 21, 2023</c:v>
                </c:pt>
                <c:pt idx="839">
                  <c:v>Jun 20, 2023</c:v>
                </c:pt>
                <c:pt idx="840">
                  <c:v>Jun 16, 2023</c:v>
                </c:pt>
                <c:pt idx="841">
                  <c:v>Jun 15, 2023</c:v>
                </c:pt>
                <c:pt idx="842">
                  <c:v>Jun 14, 2023</c:v>
                </c:pt>
                <c:pt idx="843">
                  <c:v>Jun 13, 2023</c:v>
                </c:pt>
                <c:pt idx="844">
                  <c:v>Jun 12, 2023</c:v>
                </c:pt>
                <c:pt idx="845">
                  <c:v>Jun 09, 2023</c:v>
                </c:pt>
                <c:pt idx="846">
                  <c:v>Jun 08, 2023</c:v>
                </c:pt>
                <c:pt idx="847">
                  <c:v>Jun 07, 2023</c:v>
                </c:pt>
                <c:pt idx="848">
                  <c:v>Jun 06, 2023</c:v>
                </c:pt>
                <c:pt idx="849">
                  <c:v>Jun 05, 2023</c:v>
                </c:pt>
                <c:pt idx="850">
                  <c:v>Jun 02, 2023</c:v>
                </c:pt>
                <c:pt idx="851">
                  <c:v>Jun 01, 2023</c:v>
                </c:pt>
                <c:pt idx="852">
                  <c:v>May 31, 2023</c:v>
                </c:pt>
                <c:pt idx="853">
                  <c:v>May 30, 2023</c:v>
                </c:pt>
                <c:pt idx="854">
                  <c:v>May 26, 2023</c:v>
                </c:pt>
                <c:pt idx="855">
                  <c:v>May 25, 2023</c:v>
                </c:pt>
                <c:pt idx="856">
                  <c:v>May 24, 2023</c:v>
                </c:pt>
                <c:pt idx="857">
                  <c:v>May 23, 2023</c:v>
                </c:pt>
                <c:pt idx="858">
                  <c:v>May 22, 2023</c:v>
                </c:pt>
                <c:pt idx="859">
                  <c:v>May 19, 2023</c:v>
                </c:pt>
                <c:pt idx="860">
                  <c:v>May 18, 2023</c:v>
                </c:pt>
                <c:pt idx="861">
                  <c:v>May 17, 2023</c:v>
                </c:pt>
                <c:pt idx="862">
                  <c:v>May 16, 2023</c:v>
                </c:pt>
                <c:pt idx="863">
                  <c:v>May 15, 2023</c:v>
                </c:pt>
                <c:pt idx="864">
                  <c:v>May 12, 2023</c:v>
                </c:pt>
                <c:pt idx="865">
                  <c:v>May 11, 2023</c:v>
                </c:pt>
                <c:pt idx="866">
                  <c:v>May 10, 2023</c:v>
                </c:pt>
                <c:pt idx="867">
                  <c:v>May 09, 2023</c:v>
                </c:pt>
                <c:pt idx="868">
                  <c:v>May 08, 2023</c:v>
                </c:pt>
                <c:pt idx="869">
                  <c:v>May 05, 2023</c:v>
                </c:pt>
                <c:pt idx="870">
                  <c:v>May 04, 2023</c:v>
                </c:pt>
                <c:pt idx="871">
                  <c:v>May 03, 2023</c:v>
                </c:pt>
                <c:pt idx="872">
                  <c:v>May 02, 2023</c:v>
                </c:pt>
                <c:pt idx="873">
                  <c:v>May 01, 2023</c:v>
                </c:pt>
                <c:pt idx="874">
                  <c:v>Apr 28, 2023</c:v>
                </c:pt>
                <c:pt idx="875">
                  <c:v>Apr 27, 2023</c:v>
                </c:pt>
                <c:pt idx="876">
                  <c:v>Apr 26, 2023</c:v>
                </c:pt>
                <c:pt idx="877">
                  <c:v>Apr 25, 2023</c:v>
                </c:pt>
                <c:pt idx="878">
                  <c:v>Apr 24, 2023</c:v>
                </c:pt>
                <c:pt idx="879">
                  <c:v>Apr 21, 2023</c:v>
                </c:pt>
                <c:pt idx="880">
                  <c:v>Apr 20, 2023</c:v>
                </c:pt>
                <c:pt idx="881">
                  <c:v>Apr 19, 2023</c:v>
                </c:pt>
                <c:pt idx="882">
                  <c:v>Apr 18, 2023</c:v>
                </c:pt>
                <c:pt idx="883">
                  <c:v>Apr 17, 2023</c:v>
                </c:pt>
                <c:pt idx="884">
                  <c:v>Apr 14, 2023</c:v>
                </c:pt>
                <c:pt idx="885">
                  <c:v>Apr 13, 2023</c:v>
                </c:pt>
                <c:pt idx="886">
                  <c:v>Apr 12, 2023</c:v>
                </c:pt>
                <c:pt idx="887">
                  <c:v>Apr 11, 2023</c:v>
                </c:pt>
                <c:pt idx="888">
                  <c:v>Apr 10, 2023</c:v>
                </c:pt>
                <c:pt idx="889">
                  <c:v>Apr 06, 2023</c:v>
                </c:pt>
                <c:pt idx="890">
                  <c:v>Apr 05, 2023</c:v>
                </c:pt>
                <c:pt idx="891">
                  <c:v>Apr 04, 2023</c:v>
                </c:pt>
                <c:pt idx="892">
                  <c:v>Apr 03, 2023</c:v>
                </c:pt>
                <c:pt idx="893">
                  <c:v>Mar 31, 2023</c:v>
                </c:pt>
                <c:pt idx="894">
                  <c:v>Mar 30, 2023</c:v>
                </c:pt>
                <c:pt idx="895">
                  <c:v>Mar 29, 2023</c:v>
                </c:pt>
                <c:pt idx="896">
                  <c:v>Mar 28, 2023</c:v>
                </c:pt>
                <c:pt idx="897">
                  <c:v>Mar 27, 2023</c:v>
                </c:pt>
                <c:pt idx="898">
                  <c:v>Mar 24, 2023</c:v>
                </c:pt>
                <c:pt idx="899">
                  <c:v>Mar 23, 2023</c:v>
                </c:pt>
                <c:pt idx="900">
                  <c:v>Mar 22, 2023</c:v>
                </c:pt>
                <c:pt idx="901">
                  <c:v>Mar 21, 2023</c:v>
                </c:pt>
                <c:pt idx="902">
                  <c:v>Mar 20, 2023</c:v>
                </c:pt>
                <c:pt idx="903">
                  <c:v>Mar 17, 2023</c:v>
                </c:pt>
                <c:pt idx="904">
                  <c:v>Mar 16, 2023</c:v>
                </c:pt>
                <c:pt idx="905">
                  <c:v>Mar 15, 2023</c:v>
                </c:pt>
                <c:pt idx="906">
                  <c:v>Mar 14, 2023</c:v>
                </c:pt>
                <c:pt idx="907">
                  <c:v>Mar 13, 2023</c:v>
                </c:pt>
                <c:pt idx="908">
                  <c:v>Mar 10, 2023</c:v>
                </c:pt>
                <c:pt idx="909">
                  <c:v>Mar 09, 2023</c:v>
                </c:pt>
                <c:pt idx="910">
                  <c:v>Mar 08, 2023</c:v>
                </c:pt>
                <c:pt idx="911">
                  <c:v>Mar 07, 2023</c:v>
                </c:pt>
                <c:pt idx="912">
                  <c:v>Mar 06, 2023</c:v>
                </c:pt>
                <c:pt idx="913">
                  <c:v>Mar 03, 2023</c:v>
                </c:pt>
                <c:pt idx="914">
                  <c:v>Mar 02, 2023</c:v>
                </c:pt>
                <c:pt idx="915">
                  <c:v>Mar 01, 2023</c:v>
                </c:pt>
                <c:pt idx="916">
                  <c:v>Feb 28, 2023</c:v>
                </c:pt>
                <c:pt idx="917">
                  <c:v>Feb 27, 2023</c:v>
                </c:pt>
                <c:pt idx="918">
                  <c:v>Feb 24, 2023</c:v>
                </c:pt>
                <c:pt idx="919">
                  <c:v>Feb 23, 2023</c:v>
                </c:pt>
                <c:pt idx="920">
                  <c:v>Feb 22, 2023</c:v>
                </c:pt>
                <c:pt idx="921">
                  <c:v>Feb 21, 2023</c:v>
                </c:pt>
                <c:pt idx="922">
                  <c:v>Feb 17, 2023</c:v>
                </c:pt>
                <c:pt idx="923">
                  <c:v>Feb 16, 2023</c:v>
                </c:pt>
                <c:pt idx="924">
                  <c:v>Feb 15, 2023</c:v>
                </c:pt>
                <c:pt idx="925">
                  <c:v>Feb 14, 2023</c:v>
                </c:pt>
                <c:pt idx="926">
                  <c:v>Feb 13, 2023</c:v>
                </c:pt>
                <c:pt idx="927">
                  <c:v>Feb 10, 2023</c:v>
                </c:pt>
                <c:pt idx="928">
                  <c:v>Feb 09, 2023</c:v>
                </c:pt>
                <c:pt idx="929">
                  <c:v>Feb 08, 2023</c:v>
                </c:pt>
                <c:pt idx="930">
                  <c:v>Feb 07, 2023</c:v>
                </c:pt>
                <c:pt idx="931">
                  <c:v>Feb 06, 2023</c:v>
                </c:pt>
                <c:pt idx="932">
                  <c:v>Feb 03, 2023</c:v>
                </c:pt>
                <c:pt idx="933">
                  <c:v>Feb 02, 2023</c:v>
                </c:pt>
                <c:pt idx="934">
                  <c:v>Feb 01, 2023</c:v>
                </c:pt>
                <c:pt idx="935">
                  <c:v>Jan 31, 2023</c:v>
                </c:pt>
                <c:pt idx="936">
                  <c:v>Jan 30, 2023</c:v>
                </c:pt>
                <c:pt idx="937">
                  <c:v>Jan 27, 2023</c:v>
                </c:pt>
                <c:pt idx="938">
                  <c:v>Jan 26, 2023</c:v>
                </c:pt>
                <c:pt idx="939">
                  <c:v>Jan 25, 2023</c:v>
                </c:pt>
                <c:pt idx="940">
                  <c:v>Jan 24, 2023</c:v>
                </c:pt>
                <c:pt idx="941">
                  <c:v>Jan 23, 2023</c:v>
                </c:pt>
                <c:pt idx="942">
                  <c:v>Jan 20, 2023</c:v>
                </c:pt>
                <c:pt idx="943">
                  <c:v>Jan 19, 2023</c:v>
                </c:pt>
                <c:pt idx="944">
                  <c:v>Jan 18, 2023</c:v>
                </c:pt>
                <c:pt idx="945">
                  <c:v>Jan 17, 2023</c:v>
                </c:pt>
                <c:pt idx="946">
                  <c:v>Jan 13, 2023</c:v>
                </c:pt>
                <c:pt idx="947">
                  <c:v>Jan 12, 2023</c:v>
                </c:pt>
                <c:pt idx="948">
                  <c:v>Jan 11, 2023</c:v>
                </c:pt>
                <c:pt idx="949">
                  <c:v>Jan 10, 2023</c:v>
                </c:pt>
                <c:pt idx="950">
                  <c:v>Jan 09, 2023</c:v>
                </c:pt>
                <c:pt idx="951">
                  <c:v>Jan 06, 2023</c:v>
                </c:pt>
                <c:pt idx="952">
                  <c:v>Jan 05, 2023</c:v>
                </c:pt>
                <c:pt idx="953">
                  <c:v>Jan 04, 2023</c:v>
                </c:pt>
                <c:pt idx="954">
                  <c:v>Jan 03, 2023</c:v>
                </c:pt>
                <c:pt idx="955">
                  <c:v>Dec 30, 2022</c:v>
                </c:pt>
                <c:pt idx="956">
                  <c:v>Dec 29, 2022</c:v>
                </c:pt>
                <c:pt idx="957">
                  <c:v>Dec 28, 2022</c:v>
                </c:pt>
                <c:pt idx="958">
                  <c:v>Dec 27, 2022</c:v>
                </c:pt>
                <c:pt idx="959">
                  <c:v>Dec 23, 2022</c:v>
                </c:pt>
                <c:pt idx="960">
                  <c:v>Dec 22, 2022</c:v>
                </c:pt>
                <c:pt idx="961">
                  <c:v>Dec 21, 2022</c:v>
                </c:pt>
                <c:pt idx="962">
                  <c:v>Dec 20, 2022</c:v>
                </c:pt>
                <c:pt idx="963">
                  <c:v>Dec 19, 2022</c:v>
                </c:pt>
                <c:pt idx="964">
                  <c:v>Dec 16, 2022</c:v>
                </c:pt>
                <c:pt idx="965">
                  <c:v>Dec 15, 2022</c:v>
                </c:pt>
                <c:pt idx="966">
                  <c:v>Dec 14, 2022</c:v>
                </c:pt>
                <c:pt idx="967">
                  <c:v>Dec 13, 2022</c:v>
                </c:pt>
                <c:pt idx="968">
                  <c:v>Dec 12, 2022</c:v>
                </c:pt>
                <c:pt idx="969">
                  <c:v>Dec 09, 2022</c:v>
                </c:pt>
                <c:pt idx="970">
                  <c:v>Dec 08, 2022</c:v>
                </c:pt>
                <c:pt idx="971">
                  <c:v>Dec 07, 2022</c:v>
                </c:pt>
                <c:pt idx="972">
                  <c:v>Dec 06, 2022</c:v>
                </c:pt>
                <c:pt idx="973">
                  <c:v>Dec 05, 2022</c:v>
                </c:pt>
                <c:pt idx="974">
                  <c:v>Dec 02, 2022</c:v>
                </c:pt>
                <c:pt idx="975">
                  <c:v>Dec 01, 2022</c:v>
                </c:pt>
                <c:pt idx="976">
                  <c:v>Nov 30, 2022</c:v>
                </c:pt>
                <c:pt idx="977">
                  <c:v>Nov 29, 2022</c:v>
                </c:pt>
                <c:pt idx="978">
                  <c:v>Nov 28, 2022</c:v>
                </c:pt>
                <c:pt idx="979">
                  <c:v>Nov 25, 2022</c:v>
                </c:pt>
                <c:pt idx="980">
                  <c:v>Nov 23, 2022</c:v>
                </c:pt>
                <c:pt idx="981">
                  <c:v>Nov 22, 2022</c:v>
                </c:pt>
                <c:pt idx="982">
                  <c:v>Nov 21, 2022</c:v>
                </c:pt>
                <c:pt idx="983">
                  <c:v>Nov 18, 2022</c:v>
                </c:pt>
                <c:pt idx="984">
                  <c:v>Nov 17, 2022</c:v>
                </c:pt>
                <c:pt idx="985">
                  <c:v>Nov 16, 2022</c:v>
                </c:pt>
                <c:pt idx="986">
                  <c:v>Nov 15, 2022</c:v>
                </c:pt>
                <c:pt idx="987">
                  <c:v>Nov 14, 2022</c:v>
                </c:pt>
                <c:pt idx="988">
                  <c:v>Nov 11, 2022</c:v>
                </c:pt>
                <c:pt idx="989">
                  <c:v>Nov 10, 2022</c:v>
                </c:pt>
                <c:pt idx="990">
                  <c:v>Nov 09, 2022</c:v>
                </c:pt>
                <c:pt idx="991">
                  <c:v>Nov 08, 2022</c:v>
                </c:pt>
                <c:pt idx="992">
                  <c:v>Nov 07, 2022</c:v>
                </c:pt>
                <c:pt idx="993">
                  <c:v>Nov 04, 2022</c:v>
                </c:pt>
                <c:pt idx="994">
                  <c:v>Nov 03, 2022</c:v>
                </c:pt>
                <c:pt idx="995">
                  <c:v>Nov 02, 2022</c:v>
                </c:pt>
                <c:pt idx="996">
                  <c:v>Nov 01, 2022</c:v>
                </c:pt>
                <c:pt idx="997">
                  <c:v>Oct 31, 2022</c:v>
                </c:pt>
                <c:pt idx="998">
                  <c:v>Oct 28, 2022</c:v>
                </c:pt>
                <c:pt idx="999">
                  <c:v>Oct 27, 2022</c:v>
                </c:pt>
                <c:pt idx="1000">
                  <c:v>Oct 26, 2022</c:v>
                </c:pt>
                <c:pt idx="1001">
                  <c:v>Oct 25, 2022</c:v>
                </c:pt>
                <c:pt idx="1002">
                  <c:v>Oct 24, 2022</c:v>
                </c:pt>
                <c:pt idx="1003">
                  <c:v>Oct 21, 2022</c:v>
                </c:pt>
                <c:pt idx="1004">
                  <c:v>Oct 20, 2022</c:v>
                </c:pt>
                <c:pt idx="1005">
                  <c:v>Oct 19, 2022</c:v>
                </c:pt>
                <c:pt idx="1006">
                  <c:v>Oct 18, 2022</c:v>
                </c:pt>
                <c:pt idx="1007">
                  <c:v>Oct 17, 2022</c:v>
                </c:pt>
                <c:pt idx="1008">
                  <c:v>Oct 14, 2022</c:v>
                </c:pt>
                <c:pt idx="1009">
                  <c:v>Oct 13, 2022</c:v>
                </c:pt>
                <c:pt idx="1010">
                  <c:v>Oct 12, 2022</c:v>
                </c:pt>
                <c:pt idx="1011">
                  <c:v>Oct 11, 2022</c:v>
                </c:pt>
                <c:pt idx="1012">
                  <c:v>Oct 10, 2022</c:v>
                </c:pt>
                <c:pt idx="1013">
                  <c:v>Oct 07, 2022</c:v>
                </c:pt>
                <c:pt idx="1014">
                  <c:v>Oct 06, 2022</c:v>
                </c:pt>
                <c:pt idx="1015">
                  <c:v>Oct 05, 2022</c:v>
                </c:pt>
                <c:pt idx="1016">
                  <c:v>Oct 04, 2022</c:v>
                </c:pt>
                <c:pt idx="1017">
                  <c:v>Oct 03, 2022</c:v>
                </c:pt>
                <c:pt idx="1018">
                  <c:v>Sep 30, 2022</c:v>
                </c:pt>
                <c:pt idx="1019">
                  <c:v>Sep 29, 2022</c:v>
                </c:pt>
                <c:pt idx="1020">
                  <c:v>Sep 28, 2022</c:v>
                </c:pt>
                <c:pt idx="1021">
                  <c:v>Sep 27, 2022</c:v>
                </c:pt>
                <c:pt idx="1022">
                  <c:v>Sep 26, 2022</c:v>
                </c:pt>
                <c:pt idx="1023">
                  <c:v>Sep 23, 2022</c:v>
                </c:pt>
                <c:pt idx="1024">
                  <c:v>Sep 22, 2022</c:v>
                </c:pt>
                <c:pt idx="1025">
                  <c:v>Sep 21, 2022</c:v>
                </c:pt>
                <c:pt idx="1026">
                  <c:v>Sep 20, 2022</c:v>
                </c:pt>
                <c:pt idx="1027">
                  <c:v>Sep 19, 2022</c:v>
                </c:pt>
                <c:pt idx="1028">
                  <c:v>Sep 16, 2022</c:v>
                </c:pt>
                <c:pt idx="1029">
                  <c:v>Sep 15, 2022</c:v>
                </c:pt>
                <c:pt idx="1030">
                  <c:v>Sep 14, 2022</c:v>
                </c:pt>
                <c:pt idx="1031">
                  <c:v>Sep 13, 2022</c:v>
                </c:pt>
                <c:pt idx="1032">
                  <c:v>Sep 12, 2022</c:v>
                </c:pt>
                <c:pt idx="1033">
                  <c:v>Sep 09, 2022</c:v>
                </c:pt>
                <c:pt idx="1034">
                  <c:v>Sep 08, 2022</c:v>
                </c:pt>
                <c:pt idx="1035">
                  <c:v>Sep 07, 2022</c:v>
                </c:pt>
                <c:pt idx="1036">
                  <c:v>Sep 06, 2022</c:v>
                </c:pt>
                <c:pt idx="1037">
                  <c:v>Sep 02, 2022</c:v>
                </c:pt>
                <c:pt idx="1038">
                  <c:v>Sep 01, 2022</c:v>
                </c:pt>
                <c:pt idx="1039">
                  <c:v>Aug 31, 2022</c:v>
                </c:pt>
                <c:pt idx="1040">
                  <c:v>Aug 30, 2022</c:v>
                </c:pt>
                <c:pt idx="1041">
                  <c:v>Aug 29, 2022</c:v>
                </c:pt>
                <c:pt idx="1042">
                  <c:v>Aug 26, 2022</c:v>
                </c:pt>
                <c:pt idx="1043">
                  <c:v>Aug 25, 2022</c:v>
                </c:pt>
                <c:pt idx="1044">
                  <c:v>Aug 24, 2022</c:v>
                </c:pt>
                <c:pt idx="1045">
                  <c:v>Aug 23, 2022</c:v>
                </c:pt>
                <c:pt idx="1046">
                  <c:v>Aug 22, 2022</c:v>
                </c:pt>
                <c:pt idx="1047">
                  <c:v>Aug 19, 2022</c:v>
                </c:pt>
                <c:pt idx="1048">
                  <c:v>Aug 18, 2022</c:v>
                </c:pt>
                <c:pt idx="1049">
                  <c:v>Aug 17, 2022</c:v>
                </c:pt>
                <c:pt idx="1050">
                  <c:v>Aug 16, 2022</c:v>
                </c:pt>
                <c:pt idx="1051">
                  <c:v>Aug 15, 2022</c:v>
                </c:pt>
                <c:pt idx="1052">
                  <c:v>Aug 12, 2022</c:v>
                </c:pt>
                <c:pt idx="1053">
                  <c:v>Aug 11, 2022</c:v>
                </c:pt>
                <c:pt idx="1054">
                  <c:v>Aug 10, 2022</c:v>
                </c:pt>
                <c:pt idx="1055">
                  <c:v>Aug 09, 2022</c:v>
                </c:pt>
                <c:pt idx="1056">
                  <c:v>Aug 08, 2022</c:v>
                </c:pt>
                <c:pt idx="1057">
                  <c:v>Aug 05, 2022</c:v>
                </c:pt>
                <c:pt idx="1058">
                  <c:v>Aug 04, 2022</c:v>
                </c:pt>
                <c:pt idx="1059">
                  <c:v>Aug 03, 2022</c:v>
                </c:pt>
                <c:pt idx="1060">
                  <c:v>Aug 02, 2022</c:v>
                </c:pt>
                <c:pt idx="1061">
                  <c:v>Aug 01, 2022</c:v>
                </c:pt>
                <c:pt idx="1062">
                  <c:v>Jul 29, 2022</c:v>
                </c:pt>
                <c:pt idx="1063">
                  <c:v>Jul 28, 2022</c:v>
                </c:pt>
                <c:pt idx="1064">
                  <c:v>Jul 27, 2022</c:v>
                </c:pt>
                <c:pt idx="1065">
                  <c:v>Jul 26, 2022</c:v>
                </c:pt>
                <c:pt idx="1066">
                  <c:v>Jul 25, 2022</c:v>
                </c:pt>
                <c:pt idx="1067">
                  <c:v>Jul 22, 2022</c:v>
                </c:pt>
                <c:pt idx="1068">
                  <c:v>Jul 21, 2022</c:v>
                </c:pt>
                <c:pt idx="1069">
                  <c:v>Jul 20, 2022</c:v>
                </c:pt>
                <c:pt idx="1070">
                  <c:v>Jul 19, 2022</c:v>
                </c:pt>
                <c:pt idx="1071">
                  <c:v>Jul 18, 2022</c:v>
                </c:pt>
                <c:pt idx="1072">
                  <c:v>Jul 15, 2022</c:v>
                </c:pt>
                <c:pt idx="1073">
                  <c:v>Jul 14, 2022</c:v>
                </c:pt>
                <c:pt idx="1074">
                  <c:v>Jul 13, 2022</c:v>
                </c:pt>
                <c:pt idx="1075">
                  <c:v>Jul 12, 2022</c:v>
                </c:pt>
                <c:pt idx="1076">
                  <c:v>Jul 11, 2022</c:v>
                </c:pt>
                <c:pt idx="1077">
                  <c:v>Jul 08, 2022</c:v>
                </c:pt>
                <c:pt idx="1078">
                  <c:v>Jul 07, 2022</c:v>
                </c:pt>
                <c:pt idx="1079">
                  <c:v>Jul 06, 2022</c:v>
                </c:pt>
                <c:pt idx="1080">
                  <c:v>Jul 05, 2022</c:v>
                </c:pt>
                <c:pt idx="1081">
                  <c:v>Jul 01, 2022</c:v>
                </c:pt>
                <c:pt idx="1082">
                  <c:v>Jun 30, 2022</c:v>
                </c:pt>
                <c:pt idx="1083">
                  <c:v>Jun 29, 2022</c:v>
                </c:pt>
                <c:pt idx="1084">
                  <c:v>Jun 28, 2022</c:v>
                </c:pt>
                <c:pt idx="1085">
                  <c:v>Jun 27, 2022</c:v>
                </c:pt>
                <c:pt idx="1086">
                  <c:v>Jun 24, 2022</c:v>
                </c:pt>
                <c:pt idx="1087">
                  <c:v>Jun 23, 2022</c:v>
                </c:pt>
                <c:pt idx="1088">
                  <c:v>Jun 22, 2022</c:v>
                </c:pt>
                <c:pt idx="1089">
                  <c:v>Jun 21, 2022</c:v>
                </c:pt>
                <c:pt idx="1090">
                  <c:v>Jun 17, 2022</c:v>
                </c:pt>
                <c:pt idx="1091">
                  <c:v>Jun 16, 2022</c:v>
                </c:pt>
                <c:pt idx="1092">
                  <c:v>Jun 15, 2022</c:v>
                </c:pt>
                <c:pt idx="1093">
                  <c:v>Jun 14, 2022</c:v>
                </c:pt>
                <c:pt idx="1094">
                  <c:v>Jun 13, 2022</c:v>
                </c:pt>
                <c:pt idx="1095">
                  <c:v>Jun 10, 2022</c:v>
                </c:pt>
                <c:pt idx="1096">
                  <c:v>Jun 09, 2022</c:v>
                </c:pt>
                <c:pt idx="1097">
                  <c:v>Jun 08, 2022</c:v>
                </c:pt>
                <c:pt idx="1098">
                  <c:v>Jun 07, 2022</c:v>
                </c:pt>
                <c:pt idx="1099">
                  <c:v>Jun 06, 2022</c:v>
                </c:pt>
                <c:pt idx="1100">
                  <c:v>Jun 03, 2022</c:v>
                </c:pt>
                <c:pt idx="1101">
                  <c:v>Jun 02, 2022</c:v>
                </c:pt>
                <c:pt idx="1102">
                  <c:v>Jun 01, 2022</c:v>
                </c:pt>
                <c:pt idx="1103">
                  <c:v>May 31, 2022</c:v>
                </c:pt>
                <c:pt idx="1104">
                  <c:v>May 27, 2022</c:v>
                </c:pt>
                <c:pt idx="1105">
                  <c:v>May 26, 2022</c:v>
                </c:pt>
                <c:pt idx="1106">
                  <c:v>May 25, 2022</c:v>
                </c:pt>
                <c:pt idx="1107">
                  <c:v>May 24, 2022</c:v>
                </c:pt>
                <c:pt idx="1108">
                  <c:v>May 23, 2022</c:v>
                </c:pt>
                <c:pt idx="1109">
                  <c:v>May 20, 2022</c:v>
                </c:pt>
                <c:pt idx="1110">
                  <c:v>May 19, 2022</c:v>
                </c:pt>
                <c:pt idx="1111">
                  <c:v>May 18, 2022</c:v>
                </c:pt>
                <c:pt idx="1112">
                  <c:v>May 17, 2022</c:v>
                </c:pt>
                <c:pt idx="1113">
                  <c:v>May 16, 2022</c:v>
                </c:pt>
                <c:pt idx="1114">
                  <c:v>May 13, 2022</c:v>
                </c:pt>
                <c:pt idx="1115">
                  <c:v>May 12, 2022</c:v>
                </c:pt>
                <c:pt idx="1116">
                  <c:v>May 11, 2022</c:v>
                </c:pt>
                <c:pt idx="1117">
                  <c:v>May 10, 2022</c:v>
                </c:pt>
                <c:pt idx="1118">
                  <c:v>May 09, 2022</c:v>
                </c:pt>
                <c:pt idx="1119">
                  <c:v>May 06, 2022</c:v>
                </c:pt>
                <c:pt idx="1120">
                  <c:v>May 05, 2022</c:v>
                </c:pt>
                <c:pt idx="1121">
                  <c:v>May 04, 2022</c:v>
                </c:pt>
                <c:pt idx="1122">
                  <c:v>May 03, 2022</c:v>
                </c:pt>
                <c:pt idx="1123">
                  <c:v>May 02, 2022</c:v>
                </c:pt>
                <c:pt idx="1124">
                  <c:v>Apr 29, 2022</c:v>
                </c:pt>
                <c:pt idx="1125">
                  <c:v>Apr 28, 2022</c:v>
                </c:pt>
                <c:pt idx="1126">
                  <c:v>Apr 27, 2022</c:v>
                </c:pt>
                <c:pt idx="1127">
                  <c:v>Apr 26, 2022</c:v>
                </c:pt>
                <c:pt idx="1128">
                  <c:v>Apr 25, 2022</c:v>
                </c:pt>
                <c:pt idx="1129">
                  <c:v>Apr 22, 2022</c:v>
                </c:pt>
                <c:pt idx="1130">
                  <c:v>Apr 21, 2022</c:v>
                </c:pt>
                <c:pt idx="1131">
                  <c:v>Apr 20, 2022</c:v>
                </c:pt>
                <c:pt idx="1132">
                  <c:v>Apr 19, 2022</c:v>
                </c:pt>
                <c:pt idx="1133">
                  <c:v>Apr 18, 2022</c:v>
                </c:pt>
                <c:pt idx="1134">
                  <c:v>Apr 14, 2022</c:v>
                </c:pt>
                <c:pt idx="1135">
                  <c:v>Apr 13, 2022</c:v>
                </c:pt>
                <c:pt idx="1136">
                  <c:v>Apr 12, 2022</c:v>
                </c:pt>
                <c:pt idx="1137">
                  <c:v>Apr 11, 2022</c:v>
                </c:pt>
                <c:pt idx="1138">
                  <c:v>Apr 08, 2022</c:v>
                </c:pt>
                <c:pt idx="1139">
                  <c:v>Apr 07, 2022</c:v>
                </c:pt>
                <c:pt idx="1140">
                  <c:v>Apr 06, 2022</c:v>
                </c:pt>
                <c:pt idx="1141">
                  <c:v>Apr 05, 2022</c:v>
                </c:pt>
                <c:pt idx="1142">
                  <c:v>Apr 04, 2022</c:v>
                </c:pt>
                <c:pt idx="1143">
                  <c:v>Apr 01, 2022</c:v>
                </c:pt>
                <c:pt idx="1144">
                  <c:v>Mar 31, 2022</c:v>
                </c:pt>
                <c:pt idx="1145">
                  <c:v>Mar 30, 2022</c:v>
                </c:pt>
                <c:pt idx="1146">
                  <c:v>Mar 29, 2022</c:v>
                </c:pt>
                <c:pt idx="1147">
                  <c:v>Mar 28, 2022</c:v>
                </c:pt>
                <c:pt idx="1148">
                  <c:v>Mar 25, 2022</c:v>
                </c:pt>
                <c:pt idx="1149">
                  <c:v>Mar 24, 2022</c:v>
                </c:pt>
                <c:pt idx="1150">
                  <c:v>Mar 23, 2022</c:v>
                </c:pt>
                <c:pt idx="1151">
                  <c:v>Mar 22, 2022</c:v>
                </c:pt>
                <c:pt idx="1152">
                  <c:v>Mar 21, 2022</c:v>
                </c:pt>
                <c:pt idx="1153">
                  <c:v>Mar 18, 2022</c:v>
                </c:pt>
                <c:pt idx="1154">
                  <c:v>Mar 17, 2022</c:v>
                </c:pt>
                <c:pt idx="1155">
                  <c:v>Mar 16, 2022</c:v>
                </c:pt>
                <c:pt idx="1156">
                  <c:v>Mar 15, 2022</c:v>
                </c:pt>
                <c:pt idx="1157">
                  <c:v>Mar 14, 2022</c:v>
                </c:pt>
                <c:pt idx="1158">
                  <c:v>Mar 11, 2022</c:v>
                </c:pt>
                <c:pt idx="1159">
                  <c:v>Mar 10, 2022</c:v>
                </c:pt>
                <c:pt idx="1160">
                  <c:v>Mar 09, 2022</c:v>
                </c:pt>
                <c:pt idx="1161">
                  <c:v>Mar 08, 2022</c:v>
                </c:pt>
                <c:pt idx="1162">
                  <c:v>Mar 07, 2022</c:v>
                </c:pt>
                <c:pt idx="1163">
                  <c:v>Mar 04, 2022</c:v>
                </c:pt>
                <c:pt idx="1164">
                  <c:v>Mar 03, 2022</c:v>
                </c:pt>
                <c:pt idx="1165">
                  <c:v>Mar 02, 2022</c:v>
                </c:pt>
                <c:pt idx="1166">
                  <c:v>Mar 01, 2022</c:v>
                </c:pt>
                <c:pt idx="1167">
                  <c:v>Feb 28, 2022</c:v>
                </c:pt>
                <c:pt idx="1168">
                  <c:v>Feb 25, 2022</c:v>
                </c:pt>
                <c:pt idx="1169">
                  <c:v>Feb 24, 2022</c:v>
                </c:pt>
                <c:pt idx="1170">
                  <c:v>Feb 23, 2022</c:v>
                </c:pt>
                <c:pt idx="1171">
                  <c:v>Feb 22, 2022</c:v>
                </c:pt>
                <c:pt idx="1172">
                  <c:v>Feb 18, 2022</c:v>
                </c:pt>
                <c:pt idx="1173">
                  <c:v>Feb 17, 2022</c:v>
                </c:pt>
                <c:pt idx="1174">
                  <c:v>Feb 16, 2022</c:v>
                </c:pt>
                <c:pt idx="1175">
                  <c:v>Feb 15, 2022</c:v>
                </c:pt>
                <c:pt idx="1176">
                  <c:v>Feb 14, 2022</c:v>
                </c:pt>
                <c:pt idx="1177">
                  <c:v>Feb 11, 2022</c:v>
                </c:pt>
                <c:pt idx="1178">
                  <c:v>Feb 10, 2022</c:v>
                </c:pt>
                <c:pt idx="1179">
                  <c:v>Feb 09, 2022</c:v>
                </c:pt>
                <c:pt idx="1180">
                  <c:v>Feb 08, 2022</c:v>
                </c:pt>
                <c:pt idx="1181">
                  <c:v>Feb 07, 2022</c:v>
                </c:pt>
                <c:pt idx="1182">
                  <c:v>Feb 04, 2022</c:v>
                </c:pt>
                <c:pt idx="1183">
                  <c:v>Feb 03, 2022</c:v>
                </c:pt>
                <c:pt idx="1184">
                  <c:v>Feb 02, 2022</c:v>
                </c:pt>
                <c:pt idx="1185">
                  <c:v>Feb 01, 2022</c:v>
                </c:pt>
                <c:pt idx="1186">
                  <c:v>Jan 31, 2022</c:v>
                </c:pt>
                <c:pt idx="1187">
                  <c:v>Jan 28, 2022</c:v>
                </c:pt>
                <c:pt idx="1188">
                  <c:v>Jan 27, 2022</c:v>
                </c:pt>
                <c:pt idx="1189">
                  <c:v>Jan 26, 2022</c:v>
                </c:pt>
                <c:pt idx="1190">
                  <c:v>Jan 25, 2022</c:v>
                </c:pt>
                <c:pt idx="1191">
                  <c:v>Jan 24, 2022</c:v>
                </c:pt>
                <c:pt idx="1192">
                  <c:v>Jan 21, 2022</c:v>
                </c:pt>
                <c:pt idx="1193">
                  <c:v>Jan 20, 2022</c:v>
                </c:pt>
                <c:pt idx="1194">
                  <c:v>Jan 19, 2022</c:v>
                </c:pt>
                <c:pt idx="1195">
                  <c:v>Jan 18, 2022</c:v>
                </c:pt>
                <c:pt idx="1196">
                  <c:v>Jan 14, 2022</c:v>
                </c:pt>
                <c:pt idx="1197">
                  <c:v>Jan 13, 2022</c:v>
                </c:pt>
                <c:pt idx="1198">
                  <c:v>Jan 12, 2022</c:v>
                </c:pt>
                <c:pt idx="1199">
                  <c:v>Jan 11, 2022</c:v>
                </c:pt>
                <c:pt idx="1200">
                  <c:v>Jan 10, 2022</c:v>
                </c:pt>
                <c:pt idx="1201">
                  <c:v>Jan 07, 2022</c:v>
                </c:pt>
                <c:pt idx="1202">
                  <c:v>Jan 06, 2022</c:v>
                </c:pt>
                <c:pt idx="1203">
                  <c:v>Jan 05, 2022</c:v>
                </c:pt>
                <c:pt idx="1204">
                  <c:v>Jan 04, 2022</c:v>
                </c:pt>
                <c:pt idx="1205">
                  <c:v>Jan 03, 2022</c:v>
                </c:pt>
                <c:pt idx="1206">
                  <c:v>Dec 31, 2021</c:v>
                </c:pt>
                <c:pt idx="1207">
                  <c:v>Dec 30, 2021</c:v>
                </c:pt>
                <c:pt idx="1208">
                  <c:v>Dec 29, 2021</c:v>
                </c:pt>
                <c:pt idx="1209">
                  <c:v>Dec 28, 2021</c:v>
                </c:pt>
                <c:pt idx="1210">
                  <c:v>Dec 27, 2021</c:v>
                </c:pt>
                <c:pt idx="1211">
                  <c:v>Dec 23, 2021</c:v>
                </c:pt>
                <c:pt idx="1212">
                  <c:v>Dec 22, 2021</c:v>
                </c:pt>
                <c:pt idx="1213">
                  <c:v>Dec 21, 2021</c:v>
                </c:pt>
                <c:pt idx="1214">
                  <c:v>Dec 20, 2021</c:v>
                </c:pt>
                <c:pt idx="1215">
                  <c:v>Dec 17, 2021</c:v>
                </c:pt>
                <c:pt idx="1216">
                  <c:v>Dec 16, 2021</c:v>
                </c:pt>
                <c:pt idx="1217">
                  <c:v>Dec 15, 2021</c:v>
                </c:pt>
                <c:pt idx="1218">
                  <c:v>Dec 14, 2021</c:v>
                </c:pt>
                <c:pt idx="1219">
                  <c:v>Dec 13, 2021</c:v>
                </c:pt>
                <c:pt idx="1220">
                  <c:v>Dec 10, 2021</c:v>
                </c:pt>
                <c:pt idx="1221">
                  <c:v>Dec 09, 2021</c:v>
                </c:pt>
                <c:pt idx="1222">
                  <c:v>Dec 08, 2021</c:v>
                </c:pt>
                <c:pt idx="1223">
                  <c:v>Dec 07, 2021</c:v>
                </c:pt>
                <c:pt idx="1224">
                  <c:v>Dec 06, 2021</c:v>
                </c:pt>
                <c:pt idx="1225">
                  <c:v>Dec 03, 2021</c:v>
                </c:pt>
                <c:pt idx="1226">
                  <c:v>Dec 02, 2021</c:v>
                </c:pt>
                <c:pt idx="1227">
                  <c:v>Dec 01, 2021</c:v>
                </c:pt>
                <c:pt idx="1228">
                  <c:v>Nov 30, 2021</c:v>
                </c:pt>
                <c:pt idx="1229">
                  <c:v>Nov 29, 2021</c:v>
                </c:pt>
                <c:pt idx="1230">
                  <c:v>Nov 26, 2021</c:v>
                </c:pt>
                <c:pt idx="1231">
                  <c:v>Nov 24, 2021</c:v>
                </c:pt>
                <c:pt idx="1232">
                  <c:v>Nov 23, 2021</c:v>
                </c:pt>
                <c:pt idx="1233">
                  <c:v>Nov 22, 2021</c:v>
                </c:pt>
                <c:pt idx="1234">
                  <c:v>Nov 19, 2021</c:v>
                </c:pt>
                <c:pt idx="1235">
                  <c:v>Nov 18, 2021</c:v>
                </c:pt>
                <c:pt idx="1236">
                  <c:v>Nov 17, 2021</c:v>
                </c:pt>
                <c:pt idx="1237">
                  <c:v>Nov 16, 2021</c:v>
                </c:pt>
                <c:pt idx="1238">
                  <c:v>Nov 15, 2021</c:v>
                </c:pt>
                <c:pt idx="1239">
                  <c:v>Nov 12, 2021</c:v>
                </c:pt>
                <c:pt idx="1240">
                  <c:v>Nov 11, 2021</c:v>
                </c:pt>
                <c:pt idx="1241">
                  <c:v>Nov 10, 2021</c:v>
                </c:pt>
                <c:pt idx="1242">
                  <c:v>Nov 09, 2021</c:v>
                </c:pt>
                <c:pt idx="1243">
                  <c:v>Nov 08, 2021</c:v>
                </c:pt>
                <c:pt idx="1244">
                  <c:v>Nov 05, 2021</c:v>
                </c:pt>
                <c:pt idx="1245">
                  <c:v>Nov 04, 2021</c:v>
                </c:pt>
                <c:pt idx="1246">
                  <c:v>Nov 03, 2021</c:v>
                </c:pt>
                <c:pt idx="1247">
                  <c:v>Nov 02, 2021</c:v>
                </c:pt>
                <c:pt idx="1248">
                  <c:v>Nov 01, 2021</c:v>
                </c:pt>
                <c:pt idx="1249">
                  <c:v>Oct 29, 2021</c:v>
                </c:pt>
                <c:pt idx="1250">
                  <c:v>Oct 28, 2021</c:v>
                </c:pt>
                <c:pt idx="1251">
                  <c:v>Oct 27, 2021</c:v>
                </c:pt>
                <c:pt idx="1252">
                  <c:v>Oct 26, 2021</c:v>
                </c:pt>
                <c:pt idx="1253">
                  <c:v>Oct 25, 2021</c:v>
                </c:pt>
              </c:strCache>
            </c:strRef>
          </c:cat>
          <c:val>
            <c:numRef>
              <c:f>'Input Sheet'!$O$4:$O$1257</c:f>
              <c:numCache>
                <c:formatCode>General</c:formatCode>
                <c:ptCount val="1254"/>
                <c:pt idx="0">
                  <c:v>22668585</c:v>
                </c:pt>
                <c:pt idx="1">
                  <c:v>22042900</c:v>
                </c:pt>
                <c:pt idx="2">
                  <c:v>22799200</c:v>
                </c:pt>
                <c:pt idx="3">
                  <c:v>20804200</c:v>
                </c:pt>
                <c:pt idx="4">
                  <c:v>17932300</c:v>
                </c:pt>
                <c:pt idx="5">
                  <c:v>29560200</c:v>
                </c:pt>
                <c:pt idx="6">
                  <c:v>14209400</c:v>
                </c:pt>
                <c:pt idx="7">
                  <c:v>25564500</c:v>
                </c:pt>
                <c:pt idx="8">
                  <c:v>13025600</c:v>
                </c:pt>
                <c:pt idx="9">
                  <c:v>12902100</c:v>
                </c:pt>
                <c:pt idx="10">
                  <c:v>31359300</c:v>
                </c:pt>
                <c:pt idx="11">
                  <c:v>28397400</c:v>
                </c:pt>
                <c:pt idx="12">
                  <c:v>20107800</c:v>
                </c:pt>
                <c:pt idx="13">
                  <c:v>17223000</c:v>
                </c:pt>
                <c:pt idx="14">
                  <c:v>19592500</c:v>
                </c:pt>
                <c:pt idx="15">
                  <c:v>38330500</c:v>
                </c:pt>
                <c:pt idx="16">
                  <c:v>20322700</c:v>
                </c:pt>
                <c:pt idx="17">
                  <c:v>14285700</c:v>
                </c:pt>
                <c:pt idx="18">
                  <c:v>13014600</c:v>
                </c:pt>
                <c:pt idx="19">
                  <c:v>17570900</c:v>
                </c:pt>
                <c:pt idx="20">
                  <c:v>14511200</c:v>
                </c:pt>
                <c:pt idx="21">
                  <c:v>17357500</c:v>
                </c:pt>
                <c:pt idx="22">
                  <c:v>17671200</c:v>
                </c:pt>
                <c:pt idx="23">
                  <c:v>9680900</c:v>
                </c:pt>
                <c:pt idx="24">
                  <c:v>17157100</c:v>
                </c:pt>
                <c:pt idx="25">
                  <c:v>9199200</c:v>
                </c:pt>
                <c:pt idx="26">
                  <c:v>11497600</c:v>
                </c:pt>
                <c:pt idx="27">
                  <c:v>17333900</c:v>
                </c:pt>
                <c:pt idx="28">
                  <c:v>24835300</c:v>
                </c:pt>
                <c:pt idx="29">
                  <c:v>16797600</c:v>
                </c:pt>
                <c:pt idx="30">
                  <c:v>14030500</c:v>
                </c:pt>
                <c:pt idx="31">
                  <c:v>17975200</c:v>
                </c:pt>
                <c:pt idx="32">
                  <c:v>20180800</c:v>
                </c:pt>
                <c:pt idx="33">
                  <c:v>19837900</c:v>
                </c:pt>
                <c:pt idx="34">
                  <c:v>11957100</c:v>
                </c:pt>
                <c:pt idx="35">
                  <c:v>11007700</c:v>
                </c:pt>
                <c:pt idx="36">
                  <c:v>16393700</c:v>
                </c:pt>
                <c:pt idx="37">
                  <c:v>14547900</c:v>
                </c:pt>
                <c:pt idx="38">
                  <c:v>11604300</c:v>
                </c:pt>
                <c:pt idx="39">
                  <c:v>17711800</c:v>
                </c:pt>
                <c:pt idx="40">
                  <c:v>6728000</c:v>
                </c:pt>
                <c:pt idx="41">
                  <c:v>8604700</c:v>
                </c:pt>
                <c:pt idx="42">
                  <c:v>15911000</c:v>
                </c:pt>
                <c:pt idx="43">
                  <c:v>16035200</c:v>
                </c:pt>
                <c:pt idx="44">
                  <c:v>14693100</c:v>
                </c:pt>
                <c:pt idx="45">
                  <c:v>21522300</c:v>
                </c:pt>
                <c:pt idx="46">
                  <c:v>19065200</c:v>
                </c:pt>
                <c:pt idx="47">
                  <c:v>15418500</c:v>
                </c:pt>
                <c:pt idx="48">
                  <c:v>11033200</c:v>
                </c:pt>
                <c:pt idx="49">
                  <c:v>15555300</c:v>
                </c:pt>
                <c:pt idx="50">
                  <c:v>16074700</c:v>
                </c:pt>
                <c:pt idx="51">
                  <c:v>14448800</c:v>
                </c:pt>
                <c:pt idx="52">
                  <c:v>12604300</c:v>
                </c:pt>
                <c:pt idx="53">
                  <c:v>15272100</c:v>
                </c:pt>
                <c:pt idx="54">
                  <c:v>33115000</c:v>
                </c:pt>
                <c:pt idx="55">
                  <c:v>22906700</c:v>
                </c:pt>
                <c:pt idx="56">
                  <c:v>19825900</c:v>
                </c:pt>
                <c:pt idx="57">
                  <c:v>30556300</c:v>
                </c:pt>
                <c:pt idx="58">
                  <c:v>18091400</c:v>
                </c:pt>
                <c:pt idx="59">
                  <c:v>20245200</c:v>
                </c:pt>
                <c:pt idx="60">
                  <c:v>30088300</c:v>
                </c:pt>
                <c:pt idx="61">
                  <c:v>41732500</c:v>
                </c:pt>
                <c:pt idx="62">
                  <c:v>47793100</c:v>
                </c:pt>
                <c:pt idx="63">
                  <c:v>29071800</c:v>
                </c:pt>
                <c:pt idx="64">
                  <c:v>39061000</c:v>
                </c:pt>
                <c:pt idx="65">
                  <c:v>29623500</c:v>
                </c:pt>
                <c:pt idx="66">
                  <c:v>16905900</c:v>
                </c:pt>
                <c:pt idx="67">
                  <c:v>22350400</c:v>
                </c:pt>
                <c:pt idx="68">
                  <c:v>18944400</c:v>
                </c:pt>
                <c:pt idx="69">
                  <c:v>30549100</c:v>
                </c:pt>
                <c:pt idx="70">
                  <c:v>28665800</c:v>
                </c:pt>
                <c:pt idx="71">
                  <c:v>23874900</c:v>
                </c:pt>
                <c:pt idx="72">
                  <c:v>26638300</c:v>
                </c:pt>
                <c:pt idx="73">
                  <c:v>15888800</c:v>
                </c:pt>
                <c:pt idx="74">
                  <c:v>12176700</c:v>
                </c:pt>
                <c:pt idx="75">
                  <c:v>44311900</c:v>
                </c:pt>
                <c:pt idx="76">
                  <c:v>18506800</c:v>
                </c:pt>
                <c:pt idx="77">
                  <c:v>17356200</c:v>
                </c:pt>
                <c:pt idx="78">
                  <c:v>20504600</c:v>
                </c:pt>
                <c:pt idx="79">
                  <c:v>28803500</c:v>
                </c:pt>
                <c:pt idx="80">
                  <c:v>18011400</c:v>
                </c:pt>
                <c:pt idx="81">
                  <c:v>17432700</c:v>
                </c:pt>
                <c:pt idx="82">
                  <c:v>17504500</c:v>
                </c:pt>
                <c:pt idx="83">
                  <c:v>28691300</c:v>
                </c:pt>
                <c:pt idx="84">
                  <c:v>22637100</c:v>
                </c:pt>
                <c:pt idx="85">
                  <c:v>34590100</c:v>
                </c:pt>
                <c:pt idx="86">
                  <c:v>33480500</c:v>
                </c:pt>
                <c:pt idx="87">
                  <c:v>63561800</c:v>
                </c:pt>
                <c:pt idx="88">
                  <c:v>32500100</c:v>
                </c:pt>
                <c:pt idx="89">
                  <c:v>17804800</c:v>
                </c:pt>
                <c:pt idx="90">
                  <c:v>15029000</c:v>
                </c:pt>
                <c:pt idx="91">
                  <c:v>7443300</c:v>
                </c:pt>
                <c:pt idx="92">
                  <c:v>10272500</c:v>
                </c:pt>
                <c:pt idx="93">
                  <c:v>11298600</c:v>
                </c:pt>
                <c:pt idx="94">
                  <c:v>10546600</c:v>
                </c:pt>
                <c:pt idx="95">
                  <c:v>12375000</c:v>
                </c:pt>
                <c:pt idx="96">
                  <c:v>8239600</c:v>
                </c:pt>
                <c:pt idx="97">
                  <c:v>14882500</c:v>
                </c:pt>
                <c:pt idx="98">
                  <c:v>17725700</c:v>
                </c:pt>
                <c:pt idx="99">
                  <c:v>23013900</c:v>
                </c:pt>
                <c:pt idx="100">
                  <c:v>34182100</c:v>
                </c:pt>
                <c:pt idx="101">
                  <c:v>27699800</c:v>
                </c:pt>
                <c:pt idx="102">
                  <c:v>33405700</c:v>
                </c:pt>
                <c:pt idx="103">
                  <c:v>15036500</c:v>
                </c:pt>
                <c:pt idx="104">
                  <c:v>22361400</c:v>
                </c:pt>
                <c:pt idx="105">
                  <c:v>19027200</c:v>
                </c:pt>
                <c:pt idx="106">
                  <c:v>17329800</c:v>
                </c:pt>
                <c:pt idx="107">
                  <c:v>28776000</c:v>
                </c:pt>
                <c:pt idx="108">
                  <c:v>22702700</c:v>
                </c:pt>
                <c:pt idx="109">
                  <c:v>22950900</c:v>
                </c:pt>
                <c:pt idx="110">
                  <c:v>18788100</c:v>
                </c:pt>
                <c:pt idx="111">
                  <c:v>11782300</c:v>
                </c:pt>
                <c:pt idx="112">
                  <c:v>12549500</c:v>
                </c:pt>
                <c:pt idx="113">
                  <c:v>10114300</c:v>
                </c:pt>
                <c:pt idx="114">
                  <c:v>11768600</c:v>
                </c:pt>
                <c:pt idx="115">
                  <c:v>12856600</c:v>
                </c:pt>
                <c:pt idx="116">
                  <c:v>11742600</c:v>
                </c:pt>
                <c:pt idx="117">
                  <c:v>16179400</c:v>
                </c:pt>
                <c:pt idx="118">
                  <c:v>10423300</c:v>
                </c:pt>
                <c:pt idx="119">
                  <c:v>11735400</c:v>
                </c:pt>
                <c:pt idx="120">
                  <c:v>8389800</c:v>
                </c:pt>
                <c:pt idx="121">
                  <c:v>13167800</c:v>
                </c:pt>
                <c:pt idx="122">
                  <c:v>14906600</c:v>
                </c:pt>
                <c:pt idx="123">
                  <c:v>18627200</c:v>
                </c:pt>
                <c:pt idx="124">
                  <c:v>20410400</c:v>
                </c:pt>
                <c:pt idx="125">
                  <c:v>22912100</c:v>
                </c:pt>
                <c:pt idx="126">
                  <c:v>33431700</c:v>
                </c:pt>
                <c:pt idx="127">
                  <c:v>21799500</c:v>
                </c:pt>
                <c:pt idx="128">
                  <c:v>19462600</c:v>
                </c:pt>
                <c:pt idx="129">
                  <c:v>13034400</c:v>
                </c:pt>
                <c:pt idx="130">
                  <c:v>14210800</c:v>
                </c:pt>
                <c:pt idx="131">
                  <c:v>16461800</c:v>
                </c:pt>
                <c:pt idx="132">
                  <c:v>16260500</c:v>
                </c:pt>
                <c:pt idx="133">
                  <c:v>14719900</c:v>
                </c:pt>
                <c:pt idx="134">
                  <c:v>15023700</c:v>
                </c:pt>
                <c:pt idx="135">
                  <c:v>19339800</c:v>
                </c:pt>
                <c:pt idx="136">
                  <c:v>21081000</c:v>
                </c:pt>
                <c:pt idx="137">
                  <c:v>13072700</c:v>
                </c:pt>
                <c:pt idx="138">
                  <c:v>17202300</c:v>
                </c:pt>
                <c:pt idx="139">
                  <c:v>9093000</c:v>
                </c:pt>
                <c:pt idx="140">
                  <c:v>11172000</c:v>
                </c:pt>
                <c:pt idx="141">
                  <c:v>14046400</c:v>
                </c:pt>
                <c:pt idx="142">
                  <c:v>16621100</c:v>
                </c:pt>
                <c:pt idx="143">
                  <c:v>10980700</c:v>
                </c:pt>
                <c:pt idx="144">
                  <c:v>11866900</c:v>
                </c:pt>
                <c:pt idx="145">
                  <c:v>8750500</c:v>
                </c:pt>
                <c:pt idx="146">
                  <c:v>11348100</c:v>
                </c:pt>
                <c:pt idx="147">
                  <c:v>11069900</c:v>
                </c:pt>
                <c:pt idx="148">
                  <c:v>15983100</c:v>
                </c:pt>
                <c:pt idx="149">
                  <c:v>100979500</c:v>
                </c:pt>
                <c:pt idx="150">
                  <c:v>24317200</c:v>
                </c:pt>
                <c:pt idx="151">
                  <c:v>25447600</c:v>
                </c:pt>
                <c:pt idx="152">
                  <c:v>22008800</c:v>
                </c:pt>
                <c:pt idx="153">
                  <c:v>22523200</c:v>
                </c:pt>
                <c:pt idx="154">
                  <c:v>10456500</c:v>
                </c:pt>
                <c:pt idx="155">
                  <c:v>16372600</c:v>
                </c:pt>
                <c:pt idx="156">
                  <c:v>15353300</c:v>
                </c:pt>
                <c:pt idx="157">
                  <c:v>17286900</c:v>
                </c:pt>
                <c:pt idx="158">
                  <c:v>14572800</c:v>
                </c:pt>
                <c:pt idx="159">
                  <c:v>15217400</c:v>
                </c:pt>
                <c:pt idx="160">
                  <c:v>14782300</c:v>
                </c:pt>
                <c:pt idx="161">
                  <c:v>20009500</c:v>
                </c:pt>
                <c:pt idx="162">
                  <c:v>11463100</c:v>
                </c:pt>
                <c:pt idx="163">
                  <c:v>10539300</c:v>
                </c:pt>
                <c:pt idx="164">
                  <c:v>16921500</c:v>
                </c:pt>
                <c:pt idx="165">
                  <c:v>19283300</c:v>
                </c:pt>
                <c:pt idx="166">
                  <c:v>28804500</c:v>
                </c:pt>
                <c:pt idx="167">
                  <c:v>25141200</c:v>
                </c:pt>
                <c:pt idx="168">
                  <c:v>23772100</c:v>
                </c:pt>
                <c:pt idx="169">
                  <c:v>15845900</c:v>
                </c:pt>
                <c:pt idx="170">
                  <c:v>18068200</c:v>
                </c:pt>
                <c:pt idx="171">
                  <c:v>14666600</c:v>
                </c:pt>
                <c:pt idx="172">
                  <c:v>23069500</c:v>
                </c:pt>
                <c:pt idx="173">
                  <c:v>19838300</c:v>
                </c:pt>
                <c:pt idx="174">
                  <c:v>32387500</c:v>
                </c:pt>
                <c:pt idx="175">
                  <c:v>12472900</c:v>
                </c:pt>
                <c:pt idx="176">
                  <c:v>9978100</c:v>
                </c:pt>
                <c:pt idx="177">
                  <c:v>10278200</c:v>
                </c:pt>
                <c:pt idx="178">
                  <c:v>14622500</c:v>
                </c:pt>
                <c:pt idx="179">
                  <c:v>13642800</c:v>
                </c:pt>
                <c:pt idx="180">
                  <c:v>32385600</c:v>
                </c:pt>
                <c:pt idx="181">
                  <c:v>29449200</c:v>
                </c:pt>
                <c:pt idx="182">
                  <c:v>14203800</c:v>
                </c:pt>
                <c:pt idx="183">
                  <c:v>17190500</c:v>
                </c:pt>
                <c:pt idx="184">
                  <c:v>15133900</c:v>
                </c:pt>
                <c:pt idx="185">
                  <c:v>8729200</c:v>
                </c:pt>
                <c:pt idx="186">
                  <c:v>7960200</c:v>
                </c:pt>
                <c:pt idx="187">
                  <c:v>5162400</c:v>
                </c:pt>
                <c:pt idx="188">
                  <c:v>4347600</c:v>
                </c:pt>
                <c:pt idx="189">
                  <c:v>7346300</c:v>
                </c:pt>
                <c:pt idx="190">
                  <c:v>9311900</c:v>
                </c:pt>
                <c:pt idx="191">
                  <c:v>8885400</c:v>
                </c:pt>
                <c:pt idx="192">
                  <c:v>12792700</c:v>
                </c:pt>
                <c:pt idx="193">
                  <c:v>19077800</c:v>
                </c:pt>
                <c:pt idx="194">
                  <c:v>37606900</c:v>
                </c:pt>
                <c:pt idx="195">
                  <c:v>19913500</c:v>
                </c:pt>
                <c:pt idx="196">
                  <c:v>12811600</c:v>
                </c:pt>
                <c:pt idx="197">
                  <c:v>6356300</c:v>
                </c:pt>
                <c:pt idx="198">
                  <c:v>7461600</c:v>
                </c:pt>
                <c:pt idx="199">
                  <c:v>8960000</c:v>
                </c:pt>
                <c:pt idx="200">
                  <c:v>11906900</c:v>
                </c:pt>
                <c:pt idx="201">
                  <c:v>16098800</c:v>
                </c:pt>
                <c:pt idx="202">
                  <c:v>8327700</c:v>
                </c:pt>
                <c:pt idx="203">
                  <c:v>4524100</c:v>
                </c:pt>
                <c:pt idx="204">
                  <c:v>6867400</c:v>
                </c:pt>
                <c:pt idx="205">
                  <c:v>6075600</c:v>
                </c:pt>
                <c:pt idx="206">
                  <c:v>6204000</c:v>
                </c:pt>
                <c:pt idx="207">
                  <c:v>13262500</c:v>
                </c:pt>
                <c:pt idx="208">
                  <c:v>13291700</c:v>
                </c:pt>
                <c:pt idx="209">
                  <c:v>23938800</c:v>
                </c:pt>
                <c:pt idx="210">
                  <c:v>118705800</c:v>
                </c:pt>
                <c:pt idx="211">
                  <c:v>29526500</c:v>
                </c:pt>
                <c:pt idx="212">
                  <c:v>15974900</c:v>
                </c:pt>
                <c:pt idx="213">
                  <c:v>14058800</c:v>
                </c:pt>
                <c:pt idx="214">
                  <c:v>8091200</c:v>
                </c:pt>
                <c:pt idx="215">
                  <c:v>7955900</c:v>
                </c:pt>
                <c:pt idx="216">
                  <c:v>12986500</c:v>
                </c:pt>
                <c:pt idx="217">
                  <c:v>10143600</c:v>
                </c:pt>
                <c:pt idx="218">
                  <c:v>16529000</c:v>
                </c:pt>
                <c:pt idx="219">
                  <c:v>7209500</c:v>
                </c:pt>
                <c:pt idx="220">
                  <c:v>9198300</c:v>
                </c:pt>
                <c:pt idx="221">
                  <c:v>18299700</c:v>
                </c:pt>
                <c:pt idx="222">
                  <c:v>7412700</c:v>
                </c:pt>
                <c:pt idx="223">
                  <c:v>6642800</c:v>
                </c:pt>
                <c:pt idx="224">
                  <c:v>5508400</c:v>
                </c:pt>
                <c:pt idx="225">
                  <c:v>3688900</c:v>
                </c:pt>
                <c:pt idx="226">
                  <c:v>8260000</c:v>
                </c:pt>
                <c:pt idx="227">
                  <c:v>10433200</c:v>
                </c:pt>
                <c:pt idx="228">
                  <c:v>12775000</c:v>
                </c:pt>
                <c:pt idx="229">
                  <c:v>16657000</c:v>
                </c:pt>
                <c:pt idx="230">
                  <c:v>12455000</c:v>
                </c:pt>
                <c:pt idx="231">
                  <c:v>7807700</c:v>
                </c:pt>
                <c:pt idx="232">
                  <c:v>14371300</c:v>
                </c:pt>
                <c:pt idx="233">
                  <c:v>10426600</c:v>
                </c:pt>
                <c:pt idx="234">
                  <c:v>11248600</c:v>
                </c:pt>
                <c:pt idx="235">
                  <c:v>10304900</c:v>
                </c:pt>
                <c:pt idx="236">
                  <c:v>10919500</c:v>
                </c:pt>
                <c:pt idx="237">
                  <c:v>9370300</c:v>
                </c:pt>
                <c:pt idx="238">
                  <c:v>9889900</c:v>
                </c:pt>
                <c:pt idx="239">
                  <c:v>8094500</c:v>
                </c:pt>
                <c:pt idx="240">
                  <c:v>10341600</c:v>
                </c:pt>
                <c:pt idx="241">
                  <c:v>9322900</c:v>
                </c:pt>
                <c:pt idx="242">
                  <c:v>10752700</c:v>
                </c:pt>
                <c:pt idx="243">
                  <c:v>12273800</c:v>
                </c:pt>
                <c:pt idx="244">
                  <c:v>13459400</c:v>
                </c:pt>
                <c:pt idx="245">
                  <c:v>14127400</c:v>
                </c:pt>
                <c:pt idx="246">
                  <c:v>13848200</c:v>
                </c:pt>
                <c:pt idx="247">
                  <c:v>15833300</c:v>
                </c:pt>
                <c:pt idx="248">
                  <c:v>11499700</c:v>
                </c:pt>
                <c:pt idx="249">
                  <c:v>8492500</c:v>
                </c:pt>
                <c:pt idx="250">
                  <c:v>14138800</c:v>
                </c:pt>
                <c:pt idx="251">
                  <c:v>23013100</c:v>
                </c:pt>
                <c:pt idx="252">
                  <c:v>24526800</c:v>
                </c:pt>
                <c:pt idx="253">
                  <c:v>19872900</c:v>
                </c:pt>
                <c:pt idx="254">
                  <c:v>12874600</c:v>
                </c:pt>
                <c:pt idx="255">
                  <c:v>30758900</c:v>
                </c:pt>
                <c:pt idx="256">
                  <c:v>23613300</c:v>
                </c:pt>
                <c:pt idx="257">
                  <c:v>19181600</c:v>
                </c:pt>
                <c:pt idx="258">
                  <c:v>9959800</c:v>
                </c:pt>
                <c:pt idx="259">
                  <c:v>15132700</c:v>
                </c:pt>
                <c:pt idx="260">
                  <c:v>21105900</c:v>
                </c:pt>
                <c:pt idx="261">
                  <c:v>13231300</c:v>
                </c:pt>
                <c:pt idx="262">
                  <c:v>15178500</c:v>
                </c:pt>
                <c:pt idx="263">
                  <c:v>21090500</c:v>
                </c:pt>
                <c:pt idx="264">
                  <c:v>15110100</c:v>
                </c:pt>
                <c:pt idx="265">
                  <c:v>13738800</c:v>
                </c:pt>
                <c:pt idx="266">
                  <c:v>15899200</c:v>
                </c:pt>
                <c:pt idx="267">
                  <c:v>13331200</c:v>
                </c:pt>
                <c:pt idx="268">
                  <c:v>19370300</c:v>
                </c:pt>
                <c:pt idx="269">
                  <c:v>19463500</c:v>
                </c:pt>
                <c:pt idx="270">
                  <c:v>17831200</c:v>
                </c:pt>
                <c:pt idx="271">
                  <c:v>17049600</c:v>
                </c:pt>
                <c:pt idx="272">
                  <c:v>11524400</c:v>
                </c:pt>
                <c:pt idx="273">
                  <c:v>14994200</c:v>
                </c:pt>
                <c:pt idx="274">
                  <c:v>54720200</c:v>
                </c:pt>
                <c:pt idx="275">
                  <c:v>13245800</c:v>
                </c:pt>
                <c:pt idx="276">
                  <c:v>32050800</c:v>
                </c:pt>
                <c:pt idx="277">
                  <c:v>17749400</c:v>
                </c:pt>
                <c:pt idx="278">
                  <c:v>18852800</c:v>
                </c:pt>
                <c:pt idx="279">
                  <c:v>12966900</c:v>
                </c:pt>
                <c:pt idx="280">
                  <c:v>30237600</c:v>
                </c:pt>
                <c:pt idx="281">
                  <c:v>17812800</c:v>
                </c:pt>
                <c:pt idx="282">
                  <c:v>14879900</c:v>
                </c:pt>
                <c:pt idx="283">
                  <c:v>25547900</c:v>
                </c:pt>
                <c:pt idx="284">
                  <c:v>23404000</c:v>
                </c:pt>
                <c:pt idx="285">
                  <c:v>15167700</c:v>
                </c:pt>
                <c:pt idx="286">
                  <c:v>19263600</c:v>
                </c:pt>
                <c:pt idx="287">
                  <c:v>13503100</c:v>
                </c:pt>
                <c:pt idx="288">
                  <c:v>17333200</c:v>
                </c:pt>
                <c:pt idx="289">
                  <c:v>28336300</c:v>
                </c:pt>
                <c:pt idx="290">
                  <c:v>10264900</c:v>
                </c:pt>
                <c:pt idx="291">
                  <c:v>14770200</c:v>
                </c:pt>
                <c:pt idx="292">
                  <c:v>17187400</c:v>
                </c:pt>
                <c:pt idx="293">
                  <c:v>33953400</c:v>
                </c:pt>
                <c:pt idx="294">
                  <c:v>19974100</c:v>
                </c:pt>
                <c:pt idx="295">
                  <c:v>22949600</c:v>
                </c:pt>
                <c:pt idx="296">
                  <c:v>18923300</c:v>
                </c:pt>
                <c:pt idx="297">
                  <c:v>11116100</c:v>
                </c:pt>
                <c:pt idx="298">
                  <c:v>9000900</c:v>
                </c:pt>
                <c:pt idx="299">
                  <c:v>18675100</c:v>
                </c:pt>
                <c:pt idx="300">
                  <c:v>27608700</c:v>
                </c:pt>
                <c:pt idx="301">
                  <c:v>18403100</c:v>
                </c:pt>
                <c:pt idx="302">
                  <c:v>20161800</c:v>
                </c:pt>
                <c:pt idx="303">
                  <c:v>13909900</c:v>
                </c:pt>
                <c:pt idx="304">
                  <c:v>19616500</c:v>
                </c:pt>
                <c:pt idx="305">
                  <c:v>16992500</c:v>
                </c:pt>
                <c:pt idx="306">
                  <c:v>22539900</c:v>
                </c:pt>
                <c:pt idx="307">
                  <c:v>18306000</c:v>
                </c:pt>
                <c:pt idx="308">
                  <c:v>20078400</c:v>
                </c:pt>
                <c:pt idx="309">
                  <c:v>15926400</c:v>
                </c:pt>
                <c:pt idx="310">
                  <c:v>13278800</c:v>
                </c:pt>
                <c:pt idx="311">
                  <c:v>11563700</c:v>
                </c:pt>
                <c:pt idx="312">
                  <c:v>21715200</c:v>
                </c:pt>
                <c:pt idx="313">
                  <c:v>19087800</c:v>
                </c:pt>
                <c:pt idx="314">
                  <c:v>14675700</c:v>
                </c:pt>
                <c:pt idx="315">
                  <c:v>24739700</c:v>
                </c:pt>
                <c:pt idx="316">
                  <c:v>18870500</c:v>
                </c:pt>
                <c:pt idx="317">
                  <c:v>11469300</c:v>
                </c:pt>
                <c:pt idx="318">
                  <c:v>9706800</c:v>
                </c:pt>
                <c:pt idx="319">
                  <c:v>13528000</c:v>
                </c:pt>
                <c:pt idx="320">
                  <c:v>15715300</c:v>
                </c:pt>
                <c:pt idx="321">
                  <c:v>14013600</c:v>
                </c:pt>
                <c:pt idx="322">
                  <c:v>14495200</c:v>
                </c:pt>
                <c:pt idx="323">
                  <c:v>16461200</c:v>
                </c:pt>
                <c:pt idx="324">
                  <c:v>27407300</c:v>
                </c:pt>
                <c:pt idx="325">
                  <c:v>13092800</c:v>
                </c:pt>
                <c:pt idx="326">
                  <c:v>10832400</c:v>
                </c:pt>
                <c:pt idx="327">
                  <c:v>8790400</c:v>
                </c:pt>
                <c:pt idx="328">
                  <c:v>4267300</c:v>
                </c:pt>
                <c:pt idx="329">
                  <c:v>9428300</c:v>
                </c:pt>
                <c:pt idx="330">
                  <c:v>15010100</c:v>
                </c:pt>
                <c:pt idx="331">
                  <c:v>12743100</c:v>
                </c:pt>
                <c:pt idx="332">
                  <c:v>13502100</c:v>
                </c:pt>
                <c:pt idx="333">
                  <c:v>14327700</c:v>
                </c:pt>
                <c:pt idx="334">
                  <c:v>10846500</c:v>
                </c:pt>
                <c:pt idx="335">
                  <c:v>8763700</c:v>
                </c:pt>
                <c:pt idx="336">
                  <c:v>15272800</c:v>
                </c:pt>
                <c:pt idx="337">
                  <c:v>37327100</c:v>
                </c:pt>
                <c:pt idx="338">
                  <c:v>10915900</c:v>
                </c:pt>
                <c:pt idx="339">
                  <c:v>10128900</c:v>
                </c:pt>
                <c:pt idx="340">
                  <c:v>9604100</c:v>
                </c:pt>
                <c:pt idx="341">
                  <c:v>10471900</c:v>
                </c:pt>
                <c:pt idx="342">
                  <c:v>11362600</c:v>
                </c:pt>
                <c:pt idx="343">
                  <c:v>15531200</c:v>
                </c:pt>
                <c:pt idx="344">
                  <c:v>9545800</c:v>
                </c:pt>
                <c:pt idx="345">
                  <c:v>5386700</c:v>
                </c:pt>
                <c:pt idx="346">
                  <c:v>6425900</c:v>
                </c:pt>
                <c:pt idx="347">
                  <c:v>9590900</c:v>
                </c:pt>
                <c:pt idx="348">
                  <c:v>7541700</c:v>
                </c:pt>
                <c:pt idx="349">
                  <c:v>11219600</c:v>
                </c:pt>
                <c:pt idx="350">
                  <c:v>8475400</c:v>
                </c:pt>
                <c:pt idx="351">
                  <c:v>12638500</c:v>
                </c:pt>
                <c:pt idx="352">
                  <c:v>8526600</c:v>
                </c:pt>
                <c:pt idx="353">
                  <c:v>6625900</c:v>
                </c:pt>
                <c:pt idx="354">
                  <c:v>9014400</c:v>
                </c:pt>
                <c:pt idx="355">
                  <c:v>10086500</c:v>
                </c:pt>
                <c:pt idx="356">
                  <c:v>8345000</c:v>
                </c:pt>
                <c:pt idx="357">
                  <c:v>7863200</c:v>
                </c:pt>
                <c:pt idx="358">
                  <c:v>7065500</c:v>
                </c:pt>
                <c:pt idx="359">
                  <c:v>9394400</c:v>
                </c:pt>
                <c:pt idx="360">
                  <c:v>12914100</c:v>
                </c:pt>
                <c:pt idx="361">
                  <c:v>8079100</c:v>
                </c:pt>
                <c:pt idx="362">
                  <c:v>8648200</c:v>
                </c:pt>
                <c:pt idx="363">
                  <c:v>8599700</c:v>
                </c:pt>
                <c:pt idx="364">
                  <c:v>16249500</c:v>
                </c:pt>
                <c:pt idx="365">
                  <c:v>8642400</c:v>
                </c:pt>
                <c:pt idx="366">
                  <c:v>11433300</c:v>
                </c:pt>
                <c:pt idx="367">
                  <c:v>5479000</c:v>
                </c:pt>
                <c:pt idx="368">
                  <c:v>8333400</c:v>
                </c:pt>
                <c:pt idx="369">
                  <c:v>5659500</c:v>
                </c:pt>
                <c:pt idx="370">
                  <c:v>8940500</c:v>
                </c:pt>
                <c:pt idx="371">
                  <c:v>7752700</c:v>
                </c:pt>
                <c:pt idx="372">
                  <c:v>7085500</c:v>
                </c:pt>
                <c:pt idx="373">
                  <c:v>7769600</c:v>
                </c:pt>
                <c:pt idx="374">
                  <c:v>7546900</c:v>
                </c:pt>
                <c:pt idx="375">
                  <c:v>7574000</c:v>
                </c:pt>
                <c:pt idx="376">
                  <c:v>10165700</c:v>
                </c:pt>
                <c:pt idx="377">
                  <c:v>12569300</c:v>
                </c:pt>
                <c:pt idx="378">
                  <c:v>10459300</c:v>
                </c:pt>
                <c:pt idx="379">
                  <c:v>20614300</c:v>
                </c:pt>
                <c:pt idx="380">
                  <c:v>20714100</c:v>
                </c:pt>
                <c:pt idx="381">
                  <c:v>21244700</c:v>
                </c:pt>
                <c:pt idx="382">
                  <c:v>16826200</c:v>
                </c:pt>
                <c:pt idx="383">
                  <c:v>20142000</c:v>
                </c:pt>
                <c:pt idx="384">
                  <c:v>15133500</c:v>
                </c:pt>
                <c:pt idx="385">
                  <c:v>25884800</c:v>
                </c:pt>
                <c:pt idx="386">
                  <c:v>20797800</c:v>
                </c:pt>
                <c:pt idx="387">
                  <c:v>12944700</c:v>
                </c:pt>
                <c:pt idx="388">
                  <c:v>23309900</c:v>
                </c:pt>
                <c:pt idx="389">
                  <c:v>19389000</c:v>
                </c:pt>
                <c:pt idx="390">
                  <c:v>16271300</c:v>
                </c:pt>
                <c:pt idx="391">
                  <c:v>9782300</c:v>
                </c:pt>
                <c:pt idx="392">
                  <c:v>13574900</c:v>
                </c:pt>
                <c:pt idx="393">
                  <c:v>12408200</c:v>
                </c:pt>
                <c:pt idx="394">
                  <c:v>7866100</c:v>
                </c:pt>
                <c:pt idx="395">
                  <c:v>6249500</c:v>
                </c:pt>
                <c:pt idx="396">
                  <c:v>7391100</c:v>
                </c:pt>
                <c:pt idx="397">
                  <c:v>11605900</c:v>
                </c:pt>
                <c:pt idx="398">
                  <c:v>7515800</c:v>
                </c:pt>
                <c:pt idx="399">
                  <c:v>18677600</c:v>
                </c:pt>
                <c:pt idx="400">
                  <c:v>19376100</c:v>
                </c:pt>
                <c:pt idx="401">
                  <c:v>9710800</c:v>
                </c:pt>
                <c:pt idx="402">
                  <c:v>13070400</c:v>
                </c:pt>
                <c:pt idx="403">
                  <c:v>10044500</c:v>
                </c:pt>
                <c:pt idx="404">
                  <c:v>7767300</c:v>
                </c:pt>
                <c:pt idx="405">
                  <c:v>10913500</c:v>
                </c:pt>
                <c:pt idx="406">
                  <c:v>15292400</c:v>
                </c:pt>
                <c:pt idx="407">
                  <c:v>17695000</c:v>
                </c:pt>
                <c:pt idx="408">
                  <c:v>14185200</c:v>
                </c:pt>
                <c:pt idx="409">
                  <c:v>15923200</c:v>
                </c:pt>
                <c:pt idx="410">
                  <c:v>11306000</c:v>
                </c:pt>
                <c:pt idx="411">
                  <c:v>12466000</c:v>
                </c:pt>
                <c:pt idx="412">
                  <c:v>13778200</c:v>
                </c:pt>
                <c:pt idx="413">
                  <c:v>9916000</c:v>
                </c:pt>
                <c:pt idx="414">
                  <c:v>17385600</c:v>
                </c:pt>
                <c:pt idx="415">
                  <c:v>10206600</c:v>
                </c:pt>
                <c:pt idx="416">
                  <c:v>9233300</c:v>
                </c:pt>
                <c:pt idx="417">
                  <c:v>9215000</c:v>
                </c:pt>
                <c:pt idx="418">
                  <c:v>12509400</c:v>
                </c:pt>
                <c:pt idx="419">
                  <c:v>13778200</c:v>
                </c:pt>
                <c:pt idx="420">
                  <c:v>10776600</c:v>
                </c:pt>
                <c:pt idx="421">
                  <c:v>11414600</c:v>
                </c:pt>
                <c:pt idx="422">
                  <c:v>10779700</c:v>
                </c:pt>
                <c:pt idx="423">
                  <c:v>7038100</c:v>
                </c:pt>
                <c:pt idx="424">
                  <c:v>9916700</c:v>
                </c:pt>
                <c:pt idx="425">
                  <c:v>5914200</c:v>
                </c:pt>
                <c:pt idx="426">
                  <c:v>8557800</c:v>
                </c:pt>
                <c:pt idx="427">
                  <c:v>9249900</c:v>
                </c:pt>
                <c:pt idx="428">
                  <c:v>9618000</c:v>
                </c:pt>
                <c:pt idx="429">
                  <c:v>9375200</c:v>
                </c:pt>
                <c:pt idx="430">
                  <c:v>9910900</c:v>
                </c:pt>
                <c:pt idx="431">
                  <c:v>9778200</c:v>
                </c:pt>
                <c:pt idx="432">
                  <c:v>10983000</c:v>
                </c:pt>
                <c:pt idx="433">
                  <c:v>9751700</c:v>
                </c:pt>
                <c:pt idx="434">
                  <c:v>6800600</c:v>
                </c:pt>
                <c:pt idx="435">
                  <c:v>8351400</c:v>
                </c:pt>
                <c:pt idx="436">
                  <c:v>14719300</c:v>
                </c:pt>
                <c:pt idx="437">
                  <c:v>9588900</c:v>
                </c:pt>
                <c:pt idx="438">
                  <c:v>7612600</c:v>
                </c:pt>
                <c:pt idx="439">
                  <c:v>10751800</c:v>
                </c:pt>
                <c:pt idx="440">
                  <c:v>9311600</c:v>
                </c:pt>
                <c:pt idx="441">
                  <c:v>18004300</c:v>
                </c:pt>
                <c:pt idx="442">
                  <c:v>13512700</c:v>
                </c:pt>
                <c:pt idx="443">
                  <c:v>22922700</c:v>
                </c:pt>
                <c:pt idx="444">
                  <c:v>9229900</c:v>
                </c:pt>
                <c:pt idx="445">
                  <c:v>13923400</c:v>
                </c:pt>
                <c:pt idx="446">
                  <c:v>11561800</c:v>
                </c:pt>
                <c:pt idx="447">
                  <c:v>7409000</c:v>
                </c:pt>
                <c:pt idx="448">
                  <c:v>6199700</c:v>
                </c:pt>
                <c:pt idx="449">
                  <c:v>5150400</c:v>
                </c:pt>
                <c:pt idx="450">
                  <c:v>4862600</c:v>
                </c:pt>
                <c:pt idx="451">
                  <c:v>3810700</c:v>
                </c:pt>
                <c:pt idx="452">
                  <c:v>6556200</c:v>
                </c:pt>
                <c:pt idx="453">
                  <c:v>2304300</c:v>
                </c:pt>
                <c:pt idx="454">
                  <c:v>4830800</c:v>
                </c:pt>
                <c:pt idx="455">
                  <c:v>4339900</c:v>
                </c:pt>
                <c:pt idx="456">
                  <c:v>3440300</c:v>
                </c:pt>
                <c:pt idx="457">
                  <c:v>2051600</c:v>
                </c:pt>
                <c:pt idx="458">
                  <c:v>3622600</c:v>
                </c:pt>
                <c:pt idx="459">
                  <c:v>12356700</c:v>
                </c:pt>
                <c:pt idx="460">
                  <c:v>9178400</c:v>
                </c:pt>
                <c:pt idx="461">
                  <c:v>6071000</c:v>
                </c:pt>
                <c:pt idx="462">
                  <c:v>3890600</c:v>
                </c:pt>
                <c:pt idx="463">
                  <c:v>9862100</c:v>
                </c:pt>
                <c:pt idx="464">
                  <c:v>4443500</c:v>
                </c:pt>
                <c:pt idx="465">
                  <c:v>5750900</c:v>
                </c:pt>
                <c:pt idx="466">
                  <c:v>6193400</c:v>
                </c:pt>
                <c:pt idx="467">
                  <c:v>6600900</c:v>
                </c:pt>
                <c:pt idx="468">
                  <c:v>6292000</c:v>
                </c:pt>
                <c:pt idx="469">
                  <c:v>4709600</c:v>
                </c:pt>
                <c:pt idx="470">
                  <c:v>5984600</c:v>
                </c:pt>
                <c:pt idx="471">
                  <c:v>5866400</c:v>
                </c:pt>
                <c:pt idx="472">
                  <c:v>8215700</c:v>
                </c:pt>
                <c:pt idx="473">
                  <c:v>5836200</c:v>
                </c:pt>
                <c:pt idx="474">
                  <c:v>5620900</c:v>
                </c:pt>
                <c:pt idx="475">
                  <c:v>9141100</c:v>
                </c:pt>
                <c:pt idx="476">
                  <c:v>7339500</c:v>
                </c:pt>
                <c:pt idx="477">
                  <c:v>11805800</c:v>
                </c:pt>
                <c:pt idx="478">
                  <c:v>8678600</c:v>
                </c:pt>
                <c:pt idx="479">
                  <c:v>6121500</c:v>
                </c:pt>
                <c:pt idx="480">
                  <c:v>7812600</c:v>
                </c:pt>
                <c:pt idx="481">
                  <c:v>6033100</c:v>
                </c:pt>
                <c:pt idx="482">
                  <c:v>4816400</c:v>
                </c:pt>
                <c:pt idx="483">
                  <c:v>7650200</c:v>
                </c:pt>
                <c:pt idx="484">
                  <c:v>6169200</c:v>
                </c:pt>
                <c:pt idx="485">
                  <c:v>5432100</c:v>
                </c:pt>
                <c:pt idx="486">
                  <c:v>3848800</c:v>
                </c:pt>
                <c:pt idx="487">
                  <c:v>6092100</c:v>
                </c:pt>
                <c:pt idx="488">
                  <c:v>7743000</c:v>
                </c:pt>
                <c:pt idx="489">
                  <c:v>12341100</c:v>
                </c:pt>
                <c:pt idx="490">
                  <c:v>17779900</c:v>
                </c:pt>
                <c:pt idx="491">
                  <c:v>9558400</c:v>
                </c:pt>
                <c:pt idx="492">
                  <c:v>11936900</c:v>
                </c:pt>
                <c:pt idx="493">
                  <c:v>9285500</c:v>
                </c:pt>
                <c:pt idx="494">
                  <c:v>8615100</c:v>
                </c:pt>
                <c:pt idx="495">
                  <c:v>8486700</c:v>
                </c:pt>
                <c:pt idx="496">
                  <c:v>8789300</c:v>
                </c:pt>
                <c:pt idx="497">
                  <c:v>3887200</c:v>
                </c:pt>
                <c:pt idx="498">
                  <c:v>6572800</c:v>
                </c:pt>
                <c:pt idx="499">
                  <c:v>7199600</c:v>
                </c:pt>
                <c:pt idx="500">
                  <c:v>4532000</c:v>
                </c:pt>
                <c:pt idx="501">
                  <c:v>5733800</c:v>
                </c:pt>
                <c:pt idx="502">
                  <c:v>10411900</c:v>
                </c:pt>
                <c:pt idx="503">
                  <c:v>11307600</c:v>
                </c:pt>
                <c:pt idx="504">
                  <c:v>16539000</c:v>
                </c:pt>
                <c:pt idx="505">
                  <c:v>13868500</c:v>
                </c:pt>
                <c:pt idx="506">
                  <c:v>10562700</c:v>
                </c:pt>
                <c:pt idx="507">
                  <c:v>7100000</c:v>
                </c:pt>
                <c:pt idx="508">
                  <c:v>5065600</c:v>
                </c:pt>
                <c:pt idx="509">
                  <c:v>7665900</c:v>
                </c:pt>
                <c:pt idx="510">
                  <c:v>4269500</c:v>
                </c:pt>
                <c:pt idx="511">
                  <c:v>7722500</c:v>
                </c:pt>
                <c:pt idx="512">
                  <c:v>7549400</c:v>
                </c:pt>
                <c:pt idx="513">
                  <c:v>9261000</c:v>
                </c:pt>
                <c:pt idx="514">
                  <c:v>7816800</c:v>
                </c:pt>
                <c:pt idx="515">
                  <c:v>5273100</c:v>
                </c:pt>
                <c:pt idx="516">
                  <c:v>8366500</c:v>
                </c:pt>
                <c:pt idx="517">
                  <c:v>11576900</c:v>
                </c:pt>
                <c:pt idx="518">
                  <c:v>9702000</c:v>
                </c:pt>
                <c:pt idx="519">
                  <c:v>10927900</c:v>
                </c:pt>
                <c:pt idx="520">
                  <c:v>9151500</c:v>
                </c:pt>
                <c:pt idx="521">
                  <c:v>7015300</c:v>
                </c:pt>
                <c:pt idx="522">
                  <c:v>4900300</c:v>
                </c:pt>
                <c:pt idx="523">
                  <c:v>21841100</c:v>
                </c:pt>
                <c:pt idx="524">
                  <c:v>6281100</c:v>
                </c:pt>
                <c:pt idx="525">
                  <c:v>7051700</c:v>
                </c:pt>
                <c:pt idx="526">
                  <c:v>10352700</c:v>
                </c:pt>
                <c:pt idx="527">
                  <c:v>6747300</c:v>
                </c:pt>
                <c:pt idx="528">
                  <c:v>5273400</c:v>
                </c:pt>
                <c:pt idx="529">
                  <c:v>5643300</c:v>
                </c:pt>
                <c:pt idx="530">
                  <c:v>5590600</c:v>
                </c:pt>
                <c:pt idx="531">
                  <c:v>6484400</c:v>
                </c:pt>
                <c:pt idx="532">
                  <c:v>4585000</c:v>
                </c:pt>
                <c:pt idx="533">
                  <c:v>7517300</c:v>
                </c:pt>
                <c:pt idx="534">
                  <c:v>6270100</c:v>
                </c:pt>
                <c:pt idx="535">
                  <c:v>5558000</c:v>
                </c:pt>
                <c:pt idx="536">
                  <c:v>5793200</c:v>
                </c:pt>
                <c:pt idx="537">
                  <c:v>6375000</c:v>
                </c:pt>
                <c:pt idx="538">
                  <c:v>5756200</c:v>
                </c:pt>
                <c:pt idx="539">
                  <c:v>7492200</c:v>
                </c:pt>
                <c:pt idx="540">
                  <c:v>8258200</c:v>
                </c:pt>
                <c:pt idx="541">
                  <c:v>4569000</c:v>
                </c:pt>
                <c:pt idx="542">
                  <c:v>4428500</c:v>
                </c:pt>
                <c:pt idx="543">
                  <c:v>4273000</c:v>
                </c:pt>
                <c:pt idx="544">
                  <c:v>7843700</c:v>
                </c:pt>
                <c:pt idx="545">
                  <c:v>5588900</c:v>
                </c:pt>
                <c:pt idx="546">
                  <c:v>5276900</c:v>
                </c:pt>
                <c:pt idx="547">
                  <c:v>5219100</c:v>
                </c:pt>
                <c:pt idx="548">
                  <c:v>6838200</c:v>
                </c:pt>
                <c:pt idx="549">
                  <c:v>5350300</c:v>
                </c:pt>
                <c:pt idx="550">
                  <c:v>7691800</c:v>
                </c:pt>
                <c:pt idx="551">
                  <c:v>11669500</c:v>
                </c:pt>
                <c:pt idx="552">
                  <c:v>7794500</c:v>
                </c:pt>
                <c:pt idx="553">
                  <c:v>8243300</c:v>
                </c:pt>
                <c:pt idx="554">
                  <c:v>8944600</c:v>
                </c:pt>
                <c:pt idx="555">
                  <c:v>9996700</c:v>
                </c:pt>
                <c:pt idx="556">
                  <c:v>14844400</c:v>
                </c:pt>
                <c:pt idx="557">
                  <c:v>10940900</c:v>
                </c:pt>
                <c:pt idx="558">
                  <c:v>10759600</c:v>
                </c:pt>
                <c:pt idx="559">
                  <c:v>18250700</c:v>
                </c:pt>
                <c:pt idx="560">
                  <c:v>6682900</c:v>
                </c:pt>
                <c:pt idx="561">
                  <c:v>8940800</c:v>
                </c:pt>
                <c:pt idx="562">
                  <c:v>15980100</c:v>
                </c:pt>
                <c:pt idx="563">
                  <c:v>11403500</c:v>
                </c:pt>
                <c:pt idx="564">
                  <c:v>7859100</c:v>
                </c:pt>
                <c:pt idx="565">
                  <c:v>9992300</c:v>
                </c:pt>
                <c:pt idx="566">
                  <c:v>8459600</c:v>
                </c:pt>
                <c:pt idx="567">
                  <c:v>16443500</c:v>
                </c:pt>
                <c:pt idx="568">
                  <c:v>42176100</c:v>
                </c:pt>
                <c:pt idx="569">
                  <c:v>14389200</c:v>
                </c:pt>
                <c:pt idx="570">
                  <c:v>7137500</c:v>
                </c:pt>
                <c:pt idx="571">
                  <c:v>11641700</c:v>
                </c:pt>
                <c:pt idx="572">
                  <c:v>10583500</c:v>
                </c:pt>
                <c:pt idx="573">
                  <c:v>14459300</c:v>
                </c:pt>
                <c:pt idx="574">
                  <c:v>16768700</c:v>
                </c:pt>
                <c:pt idx="575">
                  <c:v>12586700</c:v>
                </c:pt>
                <c:pt idx="576">
                  <c:v>10910900</c:v>
                </c:pt>
                <c:pt idx="577">
                  <c:v>7709600</c:v>
                </c:pt>
                <c:pt idx="578">
                  <c:v>7252400</c:v>
                </c:pt>
                <c:pt idx="579">
                  <c:v>10531700</c:v>
                </c:pt>
                <c:pt idx="580">
                  <c:v>8064200</c:v>
                </c:pt>
                <c:pt idx="581">
                  <c:v>9520300</c:v>
                </c:pt>
                <c:pt idx="582">
                  <c:v>8949300</c:v>
                </c:pt>
                <c:pt idx="583">
                  <c:v>8693400</c:v>
                </c:pt>
                <c:pt idx="584">
                  <c:v>8733100</c:v>
                </c:pt>
                <c:pt idx="585">
                  <c:v>5758800</c:v>
                </c:pt>
                <c:pt idx="586">
                  <c:v>22822100</c:v>
                </c:pt>
                <c:pt idx="587">
                  <c:v>17345600</c:v>
                </c:pt>
                <c:pt idx="588">
                  <c:v>10828100</c:v>
                </c:pt>
                <c:pt idx="589">
                  <c:v>6348700</c:v>
                </c:pt>
                <c:pt idx="590">
                  <c:v>6694600</c:v>
                </c:pt>
                <c:pt idx="591">
                  <c:v>6851000</c:v>
                </c:pt>
                <c:pt idx="592">
                  <c:v>6033900</c:v>
                </c:pt>
                <c:pt idx="593">
                  <c:v>5756500</c:v>
                </c:pt>
                <c:pt idx="594">
                  <c:v>6404300</c:v>
                </c:pt>
                <c:pt idx="595">
                  <c:v>11158200</c:v>
                </c:pt>
                <c:pt idx="596">
                  <c:v>7386000</c:v>
                </c:pt>
                <c:pt idx="597">
                  <c:v>7513200</c:v>
                </c:pt>
                <c:pt idx="598">
                  <c:v>8822800</c:v>
                </c:pt>
                <c:pt idx="599">
                  <c:v>8585300</c:v>
                </c:pt>
                <c:pt idx="600">
                  <c:v>14253800</c:v>
                </c:pt>
                <c:pt idx="601">
                  <c:v>11351200</c:v>
                </c:pt>
                <c:pt idx="602">
                  <c:v>8563800</c:v>
                </c:pt>
                <c:pt idx="603">
                  <c:v>11508000</c:v>
                </c:pt>
                <c:pt idx="604">
                  <c:v>9241000</c:v>
                </c:pt>
                <c:pt idx="605">
                  <c:v>9249300</c:v>
                </c:pt>
                <c:pt idx="606">
                  <c:v>8385600</c:v>
                </c:pt>
                <c:pt idx="607">
                  <c:v>7889700</c:v>
                </c:pt>
                <c:pt idx="608">
                  <c:v>6096100</c:v>
                </c:pt>
                <c:pt idx="609">
                  <c:v>7986000</c:v>
                </c:pt>
                <c:pt idx="610">
                  <c:v>10753400</c:v>
                </c:pt>
                <c:pt idx="611">
                  <c:v>4019700</c:v>
                </c:pt>
                <c:pt idx="612">
                  <c:v>9395500</c:v>
                </c:pt>
                <c:pt idx="613">
                  <c:v>5923300</c:v>
                </c:pt>
                <c:pt idx="614">
                  <c:v>10340700</c:v>
                </c:pt>
                <c:pt idx="615">
                  <c:v>12308400</c:v>
                </c:pt>
                <c:pt idx="616">
                  <c:v>4739100</c:v>
                </c:pt>
                <c:pt idx="617">
                  <c:v>8843200</c:v>
                </c:pt>
                <c:pt idx="618">
                  <c:v>4209700</c:v>
                </c:pt>
                <c:pt idx="619">
                  <c:v>4035300</c:v>
                </c:pt>
                <c:pt idx="620">
                  <c:v>8716700</c:v>
                </c:pt>
                <c:pt idx="621">
                  <c:v>6966200</c:v>
                </c:pt>
                <c:pt idx="622">
                  <c:v>11349100</c:v>
                </c:pt>
                <c:pt idx="623">
                  <c:v>7426500</c:v>
                </c:pt>
                <c:pt idx="624">
                  <c:v>8845000</c:v>
                </c:pt>
                <c:pt idx="625">
                  <c:v>10657300</c:v>
                </c:pt>
                <c:pt idx="626">
                  <c:v>10685000</c:v>
                </c:pt>
                <c:pt idx="627">
                  <c:v>8832400</c:v>
                </c:pt>
                <c:pt idx="628">
                  <c:v>19944700</c:v>
                </c:pt>
                <c:pt idx="629">
                  <c:v>16182300</c:v>
                </c:pt>
                <c:pt idx="630">
                  <c:v>31702900</c:v>
                </c:pt>
                <c:pt idx="631">
                  <c:v>17034100</c:v>
                </c:pt>
                <c:pt idx="632">
                  <c:v>13033300</c:v>
                </c:pt>
                <c:pt idx="633">
                  <c:v>11374300</c:v>
                </c:pt>
                <c:pt idx="634">
                  <c:v>17657700</c:v>
                </c:pt>
                <c:pt idx="635">
                  <c:v>13389200</c:v>
                </c:pt>
                <c:pt idx="636">
                  <c:v>11553000</c:v>
                </c:pt>
                <c:pt idx="637">
                  <c:v>13467900</c:v>
                </c:pt>
                <c:pt idx="638">
                  <c:v>8716600</c:v>
                </c:pt>
                <c:pt idx="639">
                  <c:v>5967200</c:v>
                </c:pt>
                <c:pt idx="640">
                  <c:v>12716500</c:v>
                </c:pt>
                <c:pt idx="641">
                  <c:v>8871400</c:v>
                </c:pt>
                <c:pt idx="642">
                  <c:v>12687000</c:v>
                </c:pt>
                <c:pt idx="643">
                  <c:v>14601600</c:v>
                </c:pt>
                <c:pt idx="644">
                  <c:v>7019600</c:v>
                </c:pt>
                <c:pt idx="645">
                  <c:v>6074600</c:v>
                </c:pt>
                <c:pt idx="646">
                  <c:v>10500900</c:v>
                </c:pt>
                <c:pt idx="647">
                  <c:v>12454500</c:v>
                </c:pt>
                <c:pt idx="648">
                  <c:v>15028500</c:v>
                </c:pt>
                <c:pt idx="649">
                  <c:v>22905000</c:v>
                </c:pt>
                <c:pt idx="650">
                  <c:v>9677300</c:v>
                </c:pt>
                <c:pt idx="651">
                  <c:v>9561000</c:v>
                </c:pt>
                <c:pt idx="652">
                  <c:v>6324200</c:v>
                </c:pt>
                <c:pt idx="653">
                  <c:v>13296100</c:v>
                </c:pt>
                <c:pt idx="654">
                  <c:v>8476900</c:v>
                </c:pt>
                <c:pt idx="655">
                  <c:v>7171000</c:v>
                </c:pt>
                <c:pt idx="656">
                  <c:v>11415900</c:v>
                </c:pt>
                <c:pt idx="657">
                  <c:v>8544100</c:v>
                </c:pt>
                <c:pt idx="658">
                  <c:v>8183300</c:v>
                </c:pt>
                <c:pt idx="659">
                  <c:v>11084100</c:v>
                </c:pt>
                <c:pt idx="660">
                  <c:v>9226500</c:v>
                </c:pt>
                <c:pt idx="661">
                  <c:v>7522600</c:v>
                </c:pt>
                <c:pt idx="662">
                  <c:v>6821800</c:v>
                </c:pt>
                <c:pt idx="663">
                  <c:v>6151800</c:v>
                </c:pt>
                <c:pt idx="664">
                  <c:v>6256900</c:v>
                </c:pt>
                <c:pt idx="665">
                  <c:v>4344500</c:v>
                </c:pt>
                <c:pt idx="666">
                  <c:v>2751500</c:v>
                </c:pt>
                <c:pt idx="667">
                  <c:v>5145700</c:v>
                </c:pt>
                <c:pt idx="668">
                  <c:v>4228200</c:v>
                </c:pt>
                <c:pt idx="669">
                  <c:v>6590200</c:v>
                </c:pt>
                <c:pt idx="670">
                  <c:v>6191500</c:v>
                </c:pt>
                <c:pt idx="671">
                  <c:v>7587200</c:v>
                </c:pt>
                <c:pt idx="672">
                  <c:v>5516600</c:v>
                </c:pt>
                <c:pt idx="673">
                  <c:v>5247500</c:v>
                </c:pt>
                <c:pt idx="674">
                  <c:v>7591100</c:v>
                </c:pt>
                <c:pt idx="675">
                  <c:v>6914100</c:v>
                </c:pt>
                <c:pt idx="676">
                  <c:v>4253200</c:v>
                </c:pt>
                <c:pt idx="677">
                  <c:v>5895300</c:v>
                </c:pt>
                <c:pt idx="678">
                  <c:v>6885700</c:v>
                </c:pt>
                <c:pt idx="679">
                  <c:v>5739100</c:v>
                </c:pt>
                <c:pt idx="680">
                  <c:v>7549400</c:v>
                </c:pt>
                <c:pt idx="681">
                  <c:v>3604800</c:v>
                </c:pt>
                <c:pt idx="682">
                  <c:v>6117900</c:v>
                </c:pt>
                <c:pt idx="683">
                  <c:v>8251300</c:v>
                </c:pt>
                <c:pt idx="684">
                  <c:v>6594300</c:v>
                </c:pt>
                <c:pt idx="685">
                  <c:v>6409700</c:v>
                </c:pt>
                <c:pt idx="686">
                  <c:v>5283800</c:v>
                </c:pt>
                <c:pt idx="687">
                  <c:v>5696300</c:v>
                </c:pt>
                <c:pt idx="688">
                  <c:v>7290500</c:v>
                </c:pt>
                <c:pt idx="689">
                  <c:v>10476100</c:v>
                </c:pt>
                <c:pt idx="690">
                  <c:v>8984900</c:v>
                </c:pt>
                <c:pt idx="691">
                  <c:v>5823300</c:v>
                </c:pt>
                <c:pt idx="692">
                  <c:v>7921000</c:v>
                </c:pt>
                <c:pt idx="693">
                  <c:v>9891800</c:v>
                </c:pt>
                <c:pt idx="694">
                  <c:v>11273100</c:v>
                </c:pt>
                <c:pt idx="695">
                  <c:v>13410000</c:v>
                </c:pt>
                <c:pt idx="696">
                  <c:v>21182400</c:v>
                </c:pt>
                <c:pt idx="697">
                  <c:v>17927300</c:v>
                </c:pt>
                <c:pt idx="698">
                  <c:v>13572600</c:v>
                </c:pt>
                <c:pt idx="699">
                  <c:v>6106100</c:v>
                </c:pt>
                <c:pt idx="700">
                  <c:v>7538600</c:v>
                </c:pt>
                <c:pt idx="701">
                  <c:v>10479200</c:v>
                </c:pt>
                <c:pt idx="702">
                  <c:v>6707600</c:v>
                </c:pt>
                <c:pt idx="703">
                  <c:v>12408800</c:v>
                </c:pt>
                <c:pt idx="704">
                  <c:v>8963600</c:v>
                </c:pt>
                <c:pt idx="705">
                  <c:v>2864800</c:v>
                </c:pt>
                <c:pt idx="706">
                  <c:v>3308700</c:v>
                </c:pt>
                <c:pt idx="707">
                  <c:v>4338000</c:v>
                </c:pt>
                <c:pt idx="708">
                  <c:v>3866200</c:v>
                </c:pt>
                <c:pt idx="709">
                  <c:v>7018100</c:v>
                </c:pt>
                <c:pt idx="710">
                  <c:v>7763900</c:v>
                </c:pt>
                <c:pt idx="711">
                  <c:v>6181000</c:v>
                </c:pt>
                <c:pt idx="712">
                  <c:v>5257800</c:v>
                </c:pt>
                <c:pt idx="713">
                  <c:v>4898200</c:v>
                </c:pt>
                <c:pt idx="714">
                  <c:v>8262300</c:v>
                </c:pt>
                <c:pt idx="715">
                  <c:v>14029200</c:v>
                </c:pt>
                <c:pt idx="716">
                  <c:v>9025600</c:v>
                </c:pt>
                <c:pt idx="717">
                  <c:v>5521000</c:v>
                </c:pt>
                <c:pt idx="718">
                  <c:v>8516800</c:v>
                </c:pt>
                <c:pt idx="719">
                  <c:v>4581100</c:v>
                </c:pt>
                <c:pt idx="720">
                  <c:v>3340000</c:v>
                </c:pt>
                <c:pt idx="721">
                  <c:v>6891300</c:v>
                </c:pt>
                <c:pt idx="722">
                  <c:v>5016100</c:v>
                </c:pt>
                <c:pt idx="723">
                  <c:v>5588600</c:v>
                </c:pt>
                <c:pt idx="724">
                  <c:v>4766000</c:v>
                </c:pt>
                <c:pt idx="725">
                  <c:v>5541400</c:v>
                </c:pt>
                <c:pt idx="726">
                  <c:v>6039100</c:v>
                </c:pt>
                <c:pt idx="727">
                  <c:v>6783900</c:v>
                </c:pt>
                <c:pt idx="728">
                  <c:v>3757400</c:v>
                </c:pt>
                <c:pt idx="729">
                  <c:v>2743400</c:v>
                </c:pt>
                <c:pt idx="730">
                  <c:v>5435700</c:v>
                </c:pt>
                <c:pt idx="731">
                  <c:v>4702200</c:v>
                </c:pt>
                <c:pt idx="732">
                  <c:v>5052400</c:v>
                </c:pt>
                <c:pt idx="733">
                  <c:v>4249400</c:v>
                </c:pt>
                <c:pt idx="734">
                  <c:v>5859600</c:v>
                </c:pt>
                <c:pt idx="735">
                  <c:v>10004100</c:v>
                </c:pt>
                <c:pt idx="736">
                  <c:v>6902000</c:v>
                </c:pt>
                <c:pt idx="737">
                  <c:v>4579800</c:v>
                </c:pt>
                <c:pt idx="738">
                  <c:v>5099500</c:v>
                </c:pt>
                <c:pt idx="739">
                  <c:v>7329500</c:v>
                </c:pt>
                <c:pt idx="740">
                  <c:v>3314000</c:v>
                </c:pt>
                <c:pt idx="741">
                  <c:v>2875500</c:v>
                </c:pt>
                <c:pt idx="742">
                  <c:v>3979000</c:v>
                </c:pt>
                <c:pt idx="743">
                  <c:v>8674200</c:v>
                </c:pt>
                <c:pt idx="744">
                  <c:v>9262500</c:v>
                </c:pt>
                <c:pt idx="745">
                  <c:v>5943300</c:v>
                </c:pt>
                <c:pt idx="746">
                  <c:v>4663500</c:v>
                </c:pt>
                <c:pt idx="747">
                  <c:v>5559700</c:v>
                </c:pt>
                <c:pt idx="748">
                  <c:v>5591700</c:v>
                </c:pt>
                <c:pt idx="749">
                  <c:v>6991300</c:v>
                </c:pt>
                <c:pt idx="750">
                  <c:v>4727100</c:v>
                </c:pt>
                <c:pt idx="751">
                  <c:v>5602500</c:v>
                </c:pt>
                <c:pt idx="752">
                  <c:v>8505800</c:v>
                </c:pt>
                <c:pt idx="753">
                  <c:v>5910200</c:v>
                </c:pt>
                <c:pt idx="754">
                  <c:v>4830900</c:v>
                </c:pt>
                <c:pt idx="755">
                  <c:v>6115500</c:v>
                </c:pt>
                <c:pt idx="756">
                  <c:v>7210500</c:v>
                </c:pt>
                <c:pt idx="757">
                  <c:v>7474100</c:v>
                </c:pt>
                <c:pt idx="758">
                  <c:v>13208800</c:v>
                </c:pt>
                <c:pt idx="759">
                  <c:v>26816400</c:v>
                </c:pt>
                <c:pt idx="760">
                  <c:v>15897100</c:v>
                </c:pt>
                <c:pt idx="761">
                  <c:v>11060900</c:v>
                </c:pt>
                <c:pt idx="762">
                  <c:v>8642700</c:v>
                </c:pt>
                <c:pt idx="763">
                  <c:v>5476600</c:v>
                </c:pt>
                <c:pt idx="764">
                  <c:v>5069500</c:v>
                </c:pt>
                <c:pt idx="765">
                  <c:v>7318800</c:v>
                </c:pt>
                <c:pt idx="766">
                  <c:v>6775000</c:v>
                </c:pt>
                <c:pt idx="767">
                  <c:v>4529900</c:v>
                </c:pt>
                <c:pt idx="768">
                  <c:v>9559900</c:v>
                </c:pt>
                <c:pt idx="769">
                  <c:v>18047500</c:v>
                </c:pt>
                <c:pt idx="770">
                  <c:v>10292100</c:v>
                </c:pt>
                <c:pt idx="771">
                  <c:v>5946500</c:v>
                </c:pt>
                <c:pt idx="772">
                  <c:v>4992900</c:v>
                </c:pt>
                <c:pt idx="773">
                  <c:v>5319300</c:v>
                </c:pt>
                <c:pt idx="774">
                  <c:v>5630200</c:v>
                </c:pt>
                <c:pt idx="775">
                  <c:v>4888100</c:v>
                </c:pt>
                <c:pt idx="776">
                  <c:v>3171400</c:v>
                </c:pt>
                <c:pt idx="777">
                  <c:v>3944300</c:v>
                </c:pt>
                <c:pt idx="778">
                  <c:v>16969900</c:v>
                </c:pt>
                <c:pt idx="779">
                  <c:v>2914100</c:v>
                </c:pt>
                <c:pt idx="780">
                  <c:v>4102400</c:v>
                </c:pt>
                <c:pt idx="781">
                  <c:v>6680000</c:v>
                </c:pt>
                <c:pt idx="782">
                  <c:v>5196600</c:v>
                </c:pt>
                <c:pt idx="783">
                  <c:v>5796800</c:v>
                </c:pt>
                <c:pt idx="784">
                  <c:v>5920700</c:v>
                </c:pt>
                <c:pt idx="785">
                  <c:v>5049300</c:v>
                </c:pt>
                <c:pt idx="786">
                  <c:v>5746400</c:v>
                </c:pt>
                <c:pt idx="787">
                  <c:v>5315100</c:v>
                </c:pt>
                <c:pt idx="788">
                  <c:v>6511500</c:v>
                </c:pt>
                <c:pt idx="789">
                  <c:v>4613400</c:v>
                </c:pt>
                <c:pt idx="790">
                  <c:v>7928100</c:v>
                </c:pt>
                <c:pt idx="791">
                  <c:v>5356600</c:v>
                </c:pt>
                <c:pt idx="792">
                  <c:v>4662000</c:v>
                </c:pt>
                <c:pt idx="793">
                  <c:v>4708800</c:v>
                </c:pt>
                <c:pt idx="794">
                  <c:v>6097000</c:v>
                </c:pt>
                <c:pt idx="795">
                  <c:v>4037600</c:v>
                </c:pt>
                <c:pt idx="796">
                  <c:v>6993300</c:v>
                </c:pt>
                <c:pt idx="797">
                  <c:v>5445600</c:v>
                </c:pt>
                <c:pt idx="798">
                  <c:v>6166600</c:v>
                </c:pt>
                <c:pt idx="799">
                  <c:v>8748900</c:v>
                </c:pt>
                <c:pt idx="800">
                  <c:v>13343900</c:v>
                </c:pt>
                <c:pt idx="801">
                  <c:v>5407200</c:v>
                </c:pt>
                <c:pt idx="802">
                  <c:v>6831100</c:v>
                </c:pt>
                <c:pt idx="803">
                  <c:v>9033300</c:v>
                </c:pt>
                <c:pt idx="804">
                  <c:v>7998100</c:v>
                </c:pt>
                <c:pt idx="805">
                  <c:v>6330600</c:v>
                </c:pt>
                <c:pt idx="806">
                  <c:v>5533700</c:v>
                </c:pt>
                <c:pt idx="807">
                  <c:v>7013000</c:v>
                </c:pt>
                <c:pt idx="808">
                  <c:v>10134400</c:v>
                </c:pt>
                <c:pt idx="809">
                  <c:v>11896400</c:v>
                </c:pt>
                <c:pt idx="810">
                  <c:v>7462200</c:v>
                </c:pt>
                <c:pt idx="811">
                  <c:v>6604000</c:v>
                </c:pt>
                <c:pt idx="812">
                  <c:v>9072200</c:v>
                </c:pt>
                <c:pt idx="813">
                  <c:v>11839800</c:v>
                </c:pt>
                <c:pt idx="814">
                  <c:v>10006100</c:v>
                </c:pt>
                <c:pt idx="815">
                  <c:v>7717900</c:v>
                </c:pt>
                <c:pt idx="816">
                  <c:v>10331400</c:v>
                </c:pt>
                <c:pt idx="817">
                  <c:v>15268200</c:v>
                </c:pt>
                <c:pt idx="818">
                  <c:v>39518000</c:v>
                </c:pt>
                <c:pt idx="819">
                  <c:v>21117700</c:v>
                </c:pt>
                <c:pt idx="820">
                  <c:v>25345300</c:v>
                </c:pt>
                <c:pt idx="821">
                  <c:v>12658400</c:v>
                </c:pt>
                <c:pt idx="822">
                  <c:v>11539700</c:v>
                </c:pt>
                <c:pt idx="823">
                  <c:v>13295300</c:v>
                </c:pt>
                <c:pt idx="824">
                  <c:v>7102600</c:v>
                </c:pt>
                <c:pt idx="825">
                  <c:v>7631500</c:v>
                </c:pt>
                <c:pt idx="826">
                  <c:v>6775000</c:v>
                </c:pt>
                <c:pt idx="827">
                  <c:v>5208600</c:v>
                </c:pt>
                <c:pt idx="828">
                  <c:v>6464100</c:v>
                </c:pt>
                <c:pt idx="829">
                  <c:v>13415500</c:v>
                </c:pt>
                <c:pt idx="830">
                  <c:v>7111800</c:v>
                </c:pt>
                <c:pt idx="831">
                  <c:v>12763900</c:v>
                </c:pt>
                <c:pt idx="832">
                  <c:v>7992900</c:v>
                </c:pt>
                <c:pt idx="833">
                  <c:v>7520300</c:v>
                </c:pt>
                <c:pt idx="834">
                  <c:v>7913600</c:v>
                </c:pt>
                <c:pt idx="835">
                  <c:v>8509100</c:v>
                </c:pt>
                <c:pt idx="836">
                  <c:v>8482700</c:v>
                </c:pt>
                <c:pt idx="837">
                  <c:v>11712900</c:v>
                </c:pt>
                <c:pt idx="838">
                  <c:v>15032000</c:v>
                </c:pt>
                <c:pt idx="839">
                  <c:v>7622000</c:v>
                </c:pt>
                <c:pt idx="840">
                  <c:v>18245800</c:v>
                </c:pt>
                <c:pt idx="841">
                  <c:v>9532800</c:v>
                </c:pt>
                <c:pt idx="842">
                  <c:v>15595900</c:v>
                </c:pt>
                <c:pt idx="843">
                  <c:v>5843500</c:v>
                </c:pt>
                <c:pt idx="844">
                  <c:v>9468800</c:v>
                </c:pt>
                <c:pt idx="845">
                  <c:v>8376100</c:v>
                </c:pt>
                <c:pt idx="846">
                  <c:v>10270800</c:v>
                </c:pt>
                <c:pt idx="847">
                  <c:v>7357300</c:v>
                </c:pt>
                <c:pt idx="848">
                  <c:v>12480900</c:v>
                </c:pt>
                <c:pt idx="849">
                  <c:v>14055500</c:v>
                </c:pt>
                <c:pt idx="850">
                  <c:v>7581500</c:v>
                </c:pt>
                <c:pt idx="851">
                  <c:v>7995900</c:v>
                </c:pt>
                <c:pt idx="852">
                  <c:v>9041000</c:v>
                </c:pt>
                <c:pt idx="853">
                  <c:v>6573500</c:v>
                </c:pt>
                <c:pt idx="854">
                  <c:v>6331800</c:v>
                </c:pt>
                <c:pt idx="855">
                  <c:v>9303400</c:v>
                </c:pt>
                <c:pt idx="856">
                  <c:v>6913200</c:v>
                </c:pt>
                <c:pt idx="857">
                  <c:v>7113800</c:v>
                </c:pt>
                <c:pt idx="858">
                  <c:v>10336400</c:v>
                </c:pt>
                <c:pt idx="859">
                  <c:v>7375200</c:v>
                </c:pt>
                <c:pt idx="860">
                  <c:v>9384700</c:v>
                </c:pt>
                <c:pt idx="861">
                  <c:v>7723900</c:v>
                </c:pt>
                <c:pt idx="862">
                  <c:v>13214600</c:v>
                </c:pt>
                <c:pt idx="863">
                  <c:v>8921200</c:v>
                </c:pt>
                <c:pt idx="864">
                  <c:v>10854900</c:v>
                </c:pt>
                <c:pt idx="865">
                  <c:v>15960000</c:v>
                </c:pt>
                <c:pt idx="866">
                  <c:v>15541600</c:v>
                </c:pt>
                <c:pt idx="867">
                  <c:v>12613800</c:v>
                </c:pt>
                <c:pt idx="868">
                  <c:v>12112600</c:v>
                </c:pt>
                <c:pt idx="869">
                  <c:v>11268800</c:v>
                </c:pt>
                <c:pt idx="870">
                  <c:v>12316300</c:v>
                </c:pt>
                <c:pt idx="871">
                  <c:v>9372300</c:v>
                </c:pt>
                <c:pt idx="872">
                  <c:v>10433300</c:v>
                </c:pt>
                <c:pt idx="873">
                  <c:v>7691400</c:v>
                </c:pt>
                <c:pt idx="874">
                  <c:v>11666900</c:v>
                </c:pt>
                <c:pt idx="875">
                  <c:v>11606400</c:v>
                </c:pt>
                <c:pt idx="876">
                  <c:v>11181600</c:v>
                </c:pt>
                <c:pt idx="877">
                  <c:v>14700200</c:v>
                </c:pt>
                <c:pt idx="878">
                  <c:v>11751900</c:v>
                </c:pt>
                <c:pt idx="879">
                  <c:v>6908400</c:v>
                </c:pt>
                <c:pt idx="880">
                  <c:v>16901400</c:v>
                </c:pt>
                <c:pt idx="881">
                  <c:v>19107300</c:v>
                </c:pt>
                <c:pt idx="882">
                  <c:v>20768400</c:v>
                </c:pt>
                <c:pt idx="883">
                  <c:v>17173000</c:v>
                </c:pt>
                <c:pt idx="884">
                  <c:v>26028600</c:v>
                </c:pt>
                <c:pt idx="885">
                  <c:v>40415000</c:v>
                </c:pt>
                <c:pt idx="886">
                  <c:v>16959200</c:v>
                </c:pt>
                <c:pt idx="887">
                  <c:v>11708400</c:v>
                </c:pt>
                <c:pt idx="888">
                  <c:v>9204200</c:v>
                </c:pt>
                <c:pt idx="889">
                  <c:v>6830800</c:v>
                </c:pt>
                <c:pt idx="890">
                  <c:v>5559700</c:v>
                </c:pt>
                <c:pt idx="891">
                  <c:v>7522300</c:v>
                </c:pt>
                <c:pt idx="892">
                  <c:v>8446400</c:v>
                </c:pt>
                <c:pt idx="893">
                  <c:v>8384400</c:v>
                </c:pt>
                <c:pt idx="894">
                  <c:v>6290700</c:v>
                </c:pt>
                <c:pt idx="895">
                  <c:v>7848700</c:v>
                </c:pt>
                <c:pt idx="896">
                  <c:v>9638200</c:v>
                </c:pt>
                <c:pt idx="897">
                  <c:v>11983600</c:v>
                </c:pt>
                <c:pt idx="898">
                  <c:v>6230000</c:v>
                </c:pt>
                <c:pt idx="899">
                  <c:v>14192500</c:v>
                </c:pt>
                <c:pt idx="900">
                  <c:v>8451200</c:v>
                </c:pt>
                <c:pt idx="901">
                  <c:v>13141400</c:v>
                </c:pt>
                <c:pt idx="902">
                  <c:v>9583200</c:v>
                </c:pt>
                <c:pt idx="903">
                  <c:v>15611100</c:v>
                </c:pt>
                <c:pt idx="904">
                  <c:v>7402800</c:v>
                </c:pt>
                <c:pt idx="905">
                  <c:v>14925800</c:v>
                </c:pt>
                <c:pt idx="906">
                  <c:v>7397600</c:v>
                </c:pt>
                <c:pt idx="907">
                  <c:v>13321500</c:v>
                </c:pt>
                <c:pt idx="908">
                  <c:v>6763900</c:v>
                </c:pt>
                <c:pt idx="909">
                  <c:v>6733900</c:v>
                </c:pt>
                <c:pt idx="910">
                  <c:v>4737800</c:v>
                </c:pt>
                <c:pt idx="911">
                  <c:v>5435600</c:v>
                </c:pt>
                <c:pt idx="912">
                  <c:v>7383700</c:v>
                </c:pt>
                <c:pt idx="913">
                  <c:v>6765200</c:v>
                </c:pt>
                <c:pt idx="914">
                  <c:v>6263000</c:v>
                </c:pt>
                <c:pt idx="915">
                  <c:v>4293700</c:v>
                </c:pt>
                <c:pt idx="916">
                  <c:v>7969800</c:v>
                </c:pt>
                <c:pt idx="917">
                  <c:v>6270100</c:v>
                </c:pt>
                <c:pt idx="918">
                  <c:v>11821700</c:v>
                </c:pt>
                <c:pt idx="919">
                  <c:v>7433600</c:v>
                </c:pt>
                <c:pt idx="920">
                  <c:v>7887000</c:v>
                </c:pt>
                <c:pt idx="921">
                  <c:v>11326500</c:v>
                </c:pt>
                <c:pt idx="922">
                  <c:v>5695200</c:v>
                </c:pt>
                <c:pt idx="923">
                  <c:v>6542000</c:v>
                </c:pt>
                <c:pt idx="924">
                  <c:v>8592700</c:v>
                </c:pt>
                <c:pt idx="925">
                  <c:v>6225500</c:v>
                </c:pt>
                <c:pt idx="926">
                  <c:v>5610000</c:v>
                </c:pt>
                <c:pt idx="927">
                  <c:v>11739400</c:v>
                </c:pt>
                <c:pt idx="928">
                  <c:v>4725100</c:v>
                </c:pt>
                <c:pt idx="929">
                  <c:v>5737300</c:v>
                </c:pt>
                <c:pt idx="930">
                  <c:v>6590600</c:v>
                </c:pt>
                <c:pt idx="931">
                  <c:v>7774000</c:v>
                </c:pt>
                <c:pt idx="932">
                  <c:v>5482200</c:v>
                </c:pt>
                <c:pt idx="933">
                  <c:v>10416900</c:v>
                </c:pt>
                <c:pt idx="934">
                  <c:v>7845700</c:v>
                </c:pt>
                <c:pt idx="935">
                  <c:v>7983100</c:v>
                </c:pt>
                <c:pt idx="936">
                  <c:v>8848300</c:v>
                </c:pt>
                <c:pt idx="937">
                  <c:v>5411100</c:v>
                </c:pt>
                <c:pt idx="938">
                  <c:v>6245500</c:v>
                </c:pt>
                <c:pt idx="939">
                  <c:v>8245400</c:v>
                </c:pt>
                <c:pt idx="940">
                  <c:v>7045800</c:v>
                </c:pt>
                <c:pt idx="941">
                  <c:v>4319100</c:v>
                </c:pt>
                <c:pt idx="942">
                  <c:v>6126200</c:v>
                </c:pt>
                <c:pt idx="943">
                  <c:v>4594600</c:v>
                </c:pt>
                <c:pt idx="944">
                  <c:v>6338300</c:v>
                </c:pt>
                <c:pt idx="945">
                  <c:v>7344100</c:v>
                </c:pt>
                <c:pt idx="946">
                  <c:v>10388700</c:v>
                </c:pt>
                <c:pt idx="947">
                  <c:v>10853600</c:v>
                </c:pt>
                <c:pt idx="948">
                  <c:v>9032200</c:v>
                </c:pt>
                <c:pt idx="949">
                  <c:v>9517600</c:v>
                </c:pt>
                <c:pt idx="950">
                  <c:v>10778100</c:v>
                </c:pt>
                <c:pt idx="951">
                  <c:v>8915600</c:v>
                </c:pt>
                <c:pt idx="952">
                  <c:v>6420300</c:v>
                </c:pt>
                <c:pt idx="953">
                  <c:v>10440400</c:v>
                </c:pt>
                <c:pt idx="954">
                  <c:v>11041400</c:v>
                </c:pt>
                <c:pt idx="955">
                  <c:v>4468300</c:v>
                </c:pt>
                <c:pt idx="956">
                  <c:v>4971600</c:v>
                </c:pt>
                <c:pt idx="957">
                  <c:v>5872100</c:v>
                </c:pt>
                <c:pt idx="958">
                  <c:v>4943200</c:v>
                </c:pt>
                <c:pt idx="959">
                  <c:v>3685100</c:v>
                </c:pt>
                <c:pt idx="960">
                  <c:v>7911000</c:v>
                </c:pt>
                <c:pt idx="961">
                  <c:v>4228200</c:v>
                </c:pt>
                <c:pt idx="962">
                  <c:v>6483900</c:v>
                </c:pt>
                <c:pt idx="963">
                  <c:v>10765900</c:v>
                </c:pt>
                <c:pt idx="964">
                  <c:v>15368300</c:v>
                </c:pt>
                <c:pt idx="965">
                  <c:v>6568600</c:v>
                </c:pt>
                <c:pt idx="966">
                  <c:v>7721700</c:v>
                </c:pt>
                <c:pt idx="967">
                  <c:v>13184600</c:v>
                </c:pt>
                <c:pt idx="968">
                  <c:v>6741000</c:v>
                </c:pt>
                <c:pt idx="969">
                  <c:v>12510700</c:v>
                </c:pt>
                <c:pt idx="970">
                  <c:v>6872000</c:v>
                </c:pt>
                <c:pt idx="971">
                  <c:v>8087400</c:v>
                </c:pt>
                <c:pt idx="972">
                  <c:v>11673400</c:v>
                </c:pt>
                <c:pt idx="973">
                  <c:v>7650000</c:v>
                </c:pt>
                <c:pt idx="974">
                  <c:v>5674600</c:v>
                </c:pt>
                <c:pt idx="975">
                  <c:v>5586800</c:v>
                </c:pt>
                <c:pt idx="976">
                  <c:v>6994600</c:v>
                </c:pt>
                <c:pt idx="977">
                  <c:v>5516500</c:v>
                </c:pt>
                <c:pt idx="978">
                  <c:v>4043200</c:v>
                </c:pt>
                <c:pt idx="979">
                  <c:v>3161100</c:v>
                </c:pt>
                <c:pt idx="980">
                  <c:v>3328100</c:v>
                </c:pt>
                <c:pt idx="981">
                  <c:v>4605400</c:v>
                </c:pt>
                <c:pt idx="982">
                  <c:v>7430300</c:v>
                </c:pt>
                <c:pt idx="983">
                  <c:v>2744300</c:v>
                </c:pt>
                <c:pt idx="984">
                  <c:v>4115500</c:v>
                </c:pt>
                <c:pt idx="985">
                  <c:v>4740800</c:v>
                </c:pt>
                <c:pt idx="986">
                  <c:v>5136400</c:v>
                </c:pt>
                <c:pt idx="987">
                  <c:v>5670300</c:v>
                </c:pt>
                <c:pt idx="988">
                  <c:v>6249900</c:v>
                </c:pt>
                <c:pt idx="989">
                  <c:v>9282800</c:v>
                </c:pt>
                <c:pt idx="990">
                  <c:v>10196200</c:v>
                </c:pt>
                <c:pt idx="991">
                  <c:v>6187600</c:v>
                </c:pt>
                <c:pt idx="992">
                  <c:v>6280400</c:v>
                </c:pt>
                <c:pt idx="993">
                  <c:v>10899800</c:v>
                </c:pt>
                <c:pt idx="994">
                  <c:v>11328700</c:v>
                </c:pt>
                <c:pt idx="995">
                  <c:v>6370600</c:v>
                </c:pt>
                <c:pt idx="996">
                  <c:v>5474700</c:v>
                </c:pt>
                <c:pt idx="997">
                  <c:v>8585500</c:v>
                </c:pt>
                <c:pt idx="998">
                  <c:v>8698000</c:v>
                </c:pt>
                <c:pt idx="999">
                  <c:v>7597000</c:v>
                </c:pt>
                <c:pt idx="1000">
                  <c:v>7555000</c:v>
                </c:pt>
                <c:pt idx="1001">
                  <c:v>5701200</c:v>
                </c:pt>
                <c:pt idx="1002">
                  <c:v>9595200</c:v>
                </c:pt>
                <c:pt idx="1003">
                  <c:v>7393300</c:v>
                </c:pt>
                <c:pt idx="1004">
                  <c:v>8674600</c:v>
                </c:pt>
                <c:pt idx="1005">
                  <c:v>6284000</c:v>
                </c:pt>
                <c:pt idx="1006">
                  <c:v>7630100</c:v>
                </c:pt>
                <c:pt idx="1007">
                  <c:v>9800800</c:v>
                </c:pt>
                <c:pt idx="1008">
                  <c:v>13607400</c:v>
                </c:pt>
                <c:pt idx="1009">
                  <c:v>16478500</c:v>
                </c:pt>
                <c:pt idx="1010">
                  <c:v>11642700</c:v>
                </c:pt>
                <c:pt idx="1011">
                  <c:v>12839500</c:v>
                </c:pt>
                <c:pt idx="1012">
                  <c:v>23349600</c:v>
                </c:pt>
                <c:pt idx="1013">
                  <c:v>14041700</c:v>
                </c:pt>
                <c:pt idx="1014">
                  <c:v>10827300</c:v>
                </c:pt>
                <c:pt idx="1015">
                  <c:v>6090900</c:v>
                </c:pt>
                <c:pt idx="1016">
                  <c:v>8648900</c:v>
                </c:pt>
                <c:pt idx="1017">
                  <c:v>9703100</c:v>
                </c:pt>
                <c:pt idx="1018">
                  <c:v>6245800</c:v>
                </c:pt>
                <c:pt idx="1019">
                  <c:v>6037800</c:v>
                </c:pt>
                <c:pt idx="1020">
                  <c:v>8791800</c:v>
                </c:pt>
                <c:pt idx="1021">
                  <c:v>12443100</c:v>
                </c:pt>
                <c:pt idx="1022">
                  <c:v>10331500</c:v>
                </c:pt>
                <c:pt idx="1023">
                  <c:v>18057100</c:v>
                </c:pt>
                <c:pt idx="1024">
                  <c:v>17899000</c:v>
                </c:pt>
                <c:pt idx="1025">
                  <c:v>10736000</c:v>
                </c:pt>
                <c:pt idx="1026">
                  <c:v>18634300</c:v>
                </c:pt>
                <c:pt idx="1027">
                  <c:v>15219300</c:v>
                </c:pt>
                <c:pt idx="1028">
                  <c:v>42686600</c:v>
                </c:pt>
                <c:pt idx="1029">
                  <c:v>21950100</c:v>
                </c:pt>
                <c:pt idx="1030">
                  <c:v>16757300</c:v>
                </c:pt>
                <c:pt idx="1031">
                  <c:v>15227800</c:v>
                </c:pt>
                <c:pt idx="1032">
                  <c:v>3607400</c:v>
                </c:pt>
                <c:pt idx="1033">
                  <c:v>5513600</c:v>
                </c:pt>
                <c:pt idx="1034">
                  <c:v>3936900</c:v>
                </c:pt>
                <c:pt idx="1035">
                  <c:v>4769300</c:v>
                </c:pt>
                <c:pt idx="1036">
                  <c:v>7158700</c:v>
                </c:pt>
                <c:pt idx="1037">
                  <c:v>5248800</c:v>
                </c:pt>
                <c:pt idx="1038">
                  <c:v>4480300</c:v>
                </c:pt>
                <c:pt idx="1039">
                  <c:v>7419500</c:v>
                </c:pt>
                <c:pt idx="1040">
                  <c:v>6267500</c:v>
                </c:pt>
                <c:pt idx="1041">
                  <c:v>5544000</c:v>
                </c:pt>
                <c:pt idx="1042">
                  <c:v>5710800</c:v>
                </c:pt>
                <c:pt idx="1043">
                  <c:v>3818500</c:v>
                </c:pt>
                <c:pt idx="1044">
                  <c:v>5528700</c:v>
                </c:pt>
                <c:pt idx="1045">
                  <c:v>6669000</c:v>
                </c:pt>
                <c:pt idx="1046">
                  <c:v>9260400</c:v>
                </c:pt>
                <c:pt idx="1047">
                  <c:v>2868500</c:v>
                </c:pt>
                <c:pt idx="1048">
                  <c:v>5370900</c:v>
                </c:pt>
                <c:pt idx="1049">
                  <c:v>10568900</c:v>
                </c:pt>
                <c:pt idx="1050">
                  <c:v>7513200</c:v>
                </c:pt>
                <c:pt idx="1051">
                  <c:v>2987500</c:v>
                </c:pt>
                <c:pt idx="1052">
                  <c:v>4842800</c:v>
                </c:pt>
                <c:pt idx="1053">
                  <c:v>7446900</c:v>
                </c:pt>
                <c:pt idx="1054">
                  <c:v>5828100</c:v>
                </c:pt>
                <c:pt idx="1055">
                  <c:v>5140100</c:v>
                </c:pt>
                <c:pt idx="1056">
                  <c:v>9722500</c:v>
                </c:pt>
                <c:pt idx="1057">
                  <c:v>5790000</c:v>
                </c:pt>
                <c:pt idx="1058">
                  <c:v>8486500</c:v>
                </c:pt>
                <c:pt idx="1059">
                  <c:v>7339100</c:v>
                </c:pt>
                <c:pt idx="1060">
                  <c:v>6613000</c:v>
                </c:pt>
                <c:pt idx="1061">
                  <c:v>8471600</c:v>
                </c:pt>
                <c:pt idx="1062">
                  <c:v>7222000</c:v>
                </c:pt>
                <c:pt idx="1063">
                  <c:v>9660300</c:v>
                </c:pt>
                <c:pt idx="1064">
                  <c:v>9772700</c:v>
                </c:pt>
                <c:pt idx="1065">
                  <c:v>13040200</c:v>
                </c:pt>
                <c:pt idx="1066">
                  <c:v>15146700</c:v>
                </c:pt>
                <c:pt idx="1067">
                  <c:v>9935200</c:v>
                </c:pt>
                <c:pt idx="1068">
                  <c:v>15563600</c:v>
                </c:pt>
                <c:pt idx="1069">
                  <c:v>13431500</c:v>
                </c:pt>
                <c:pt idx="1070">
                  <c:v>5046400</c:v>
                </c:pt>
                <c:pt idx="1071">
                  <c:v>7496500</c:v>
                </c:pt>
                <c:pt idx="1072">
                  <c:v>4846900</c:v>
                </c:pt>
                <c:pt idx="1073">
                  <c:v>6778800</c:v>
                </c:pt>
                <c:pt idx="1074">
                  <c:v>8601800</c:v>
                </c:pt>
                <c:pt idx="1075">
                  <c:v>12463200</c:v>
                </c:pt>
                <c:pt idx="1076">
                  <c:v>7908800</c:v>
                </c:pt>
                <c:pt idx="1077">
                  <c:v>15835100</c:v>
                </c:pt>
                <c:pt idx="1078">
                  <c:v>9675500</c:v>
                </c:pt>
                <c:pt idx="1079">
                  <c:v>8860200</c:v>
                </c:pt>
                <c:pt idx="1080">
                  <c:v>10265200</c:v>
                </c:pt>
                <c:pt idx="1081">
                  <c:v>9066900</c:v>
                </c:pt>
                <c:pt idx="1082">
                  <c:v>10376700</c:v>
                </c:pt>
                <c:pt idx="1083">
                  <c:v>5126600</c:v>
                </c:pt>
                <c:pt idx="1084">
                  <c:v>5168800</c:v>
                </c:pt>
                <c:pt idx="1085">
                  <c:v>8163800</c:v>
                </c:pt>
                <c:pt idx="1086">
                  <c:v>6561500</c:v>
                </c:pt>
                <c:pt idx="1087">
                  <c:v>12097800</c:v>
                </c:pt>
                <c:pt idx="1088">
                  <c:v>12715900</c:v>
                </c:pt>
                <c:pt idx="1089">
                  <c:v>14786000</c:v>
                </c:pt>
                <c:pt idx="1090">
                  <c:v>13242000</c:v>
                </c:pt>
                <c:pt idx="1091">
                  <c:v>5810400</c:v>
                </c:pt>
                <c:pt idx="1092">
                  <c:v>16537200</c:v>
                </c:pt>
                <c:pt idx="1093">
                  <c:v>11567800</c:v>
                </c:pt>
                <c:pt idx="1094">
                  <c:v>9535700</c:v>
                </c:pt>
                <c:pt idx="1095">
                  <c:v>8787000</c:v>
                </c:pt>
                <c:pt idx="1096">
                  <c:v>5958200</c:v>
                </c:pt>
                <c:pt idx="1097">
                  <c:v>3191500</c:v>
                </c:pt>
                <c:pt idx="1098">
                  <c:v>11026400</c:v>
                </c:pt>
                <c:pt idx="1099">
                  <c:v>3917300</c:v>
                </c:pt>
                <c:pt idx="1100">
                  <c:v>9036000</c:v>
                </c:pt>
                <c:pt idx="1101">
                  <c:v>9397700</c:v>
                </c:pt>
                <c:pt idx="1102">
                  <c:v>11631300</c:v>
                </c:pt>
                <c:pt idx="1103">
                  <c:v>14970000</c:v>
                </c:pt>
                <c:pt idx="1104">
                  <c:v>14402900</c:v>
                </c:pt>
                <c:pt idx="1105">
                  <c:v>9116900</c:v>
                </c:pt>
                <c:pt idx="1106">
                  <c:v>19046500</c:v>
                </c:pt>
                <c:pt idx="1107">
                  <c:v>9904800</c:v>
                </c:pt>
                <c:pt idx="1108">
                  <c:v>7451600</c:v>
                </c:pt>
                <c:pt idx="1109">
                  <c:v>6019100</c:v>
                </c:pt>
                <c:pt idx="1110">
                  <c:v>9392800</c:v>
                </c:pt>
                <c:pt idx="1111">
                  <c:v>10672000</c:v>
                </c:pt>
                <c:pt idx="1112">
                  <c:v>7184600</c:v>
                </c:pt>
                <c:pt idx="1113">
                  <c:v>11057600</c:v>
                </c:pt>
                <c:pt idx="1114">
                  <c:v>14033500</c:v>
                </c:pt>
                <c:pt idx="1115">
                  <c:v>13434100</c:v>
                </c:pt>
                <c:pt idx="1116">
                  <c:v>8503200</c:v>
                </c:pt>
                <c:pt idx="1117">
                  <c:v>18342600</c:v>
                </c:pt>
                <c:pt idx="1118">
                  <c:v>14538200</c:v>
                </c:pt>
                <c:pt idx="1119">
                  <c:v>6615300</c:v>
                </c:pt>
                <c:pt idx="1120">
                  <c:v>9577100</c:v>
                </c:pt>
                <c:pt idx="1121">
                  <c:v>7519400</c:v>
                </c:pt>
                <c:pt idx="1122">
                  <c:v>7716800</c:v>
                </c:pt>
                <c:pt idx="1123">
                  <c:v>15073900</c:v>
                </c:pt>
                <c:pt idx="1124">
                  <c:v>12325100</c:v>
                </c:pt>
                <c:pt idx="1125">
                  <c:v>24229100</c:v>
                </c:pt>
                <c:pt idx="1126">
                  <c:v>9754100</c:v>
                </c:pt>
                <c:pt idx="1127">
                  <c:v>13027100</c:v>
                </c:pt>
                <c:pt idx="1128">
                  <c:v>8778400</c:v>
                </c:pt>
                <c:pt idx="1129">
                  <c:v>11983400</c:v>
                </c:pt>
                <c:pt idx="1130">
                  <c:v>21840600</c:v>
                </c:pt>
                <c:pt idx="1131">
                  <c:v>10019600</c:v>
                </c:pt>
                <c:pt idx="1132">
                  <c:v>16645300</c:v>
                </c:pt>
                <c:pt idx="1133">
                  <c:v>11998300</c:v>
                </c:pt>
                <c:pt idx="1134">
                  <c:v>17199800</c:v>
                </c:pt>
                <c:pt idx="1135">
                  <c:v>20145500</c:v>
                </c:pt>
                <c:pt idx="1136">
                  <c:v>11642600</c:v>
                </c:pt>
                <c:pt idx="1137">
                  <c:v>6641500</c:v>
                </c:pt>
                <c:pt idx="1138">
                  <c:v>5583400</c:v>
                </c:pt>
                <c:pt idx="1139">
                  <c:v>8337400</c:v>
                </c:pt>
                <c:pt idx="1140">
                  <c:v>12373700</c:v>
                </c:pt>
                <c:pt idx="1141">
                  <c:v>6293000</c:v>
                </c:pt>
                <c:pt idx="1142">
                  <c:v>12357900</c:v>
                </c:pt>
                <c:pt idx="1143">
                  <c:v>14712000</c:v>
                </c:pt>
                <c:pt idx="1144">
                  <c:v>7849500</c:v>
                </c:pt>
                <c:pt idx="1145">
                  <c:v>6945500</c:v>
                </c:pt>
                <c:pt idx="1146">
                  <c:v>3817200</c:v>
                </c:pt>
                <c:pt idx="1147">
                  <c:v>2834400</c:v>
                </c:pt>
                <c:pt idx="1148">
                  <c:v>3365400</c:v>
                </c:pt>
                <c:pt idx="1149">
                  <c:v>3594400</c:v>
                </c:pt>
                <c:pt idx="1150">
                  <c:v>9022300</c:v>
                </c:pt>
                <c:pt idx="1151">
                  <c:v>5367300</c:v>
                </c:pt>
                <c:pt idx="1152">
                  <c:v>8200800</c:v>
                </c:pt>
                <c:pt idx="1153">
                  <c:v>29035600</c:v>
                </c:pt>
                <c:pt idx="1154">
                  <c:v>14814900</c:v>
                </c:pt>
                <c:pt idx="1155">
                  <c:v>12327300</c:v>
                </c:pt>
                <c:pt idx="1156">
                  <c:v>9186200</c:v>
                </c:pt>
                <c:pt idx="1157">
                  <c:v>13945300</c:v>
                </c:pt>
                <c:pt idx="1158">
                  <c:v>7892800</c:v>
                </c:pt>
                <c:pt idx="1159">
                  <c:v>7789000</c:v>
                </c:pt>
                <c:pt idx="1160">
                  <c:v>10599200</c:v>
                </c:pt>
                <c:pt idx="1161">
                  <c:v>20426800</c:v>
                </c:pt>
                <c:pt idx="1162">
                  <c:v>14195100</c:v>
                </c:pt>
                <c:pt idx="1163">
                  <c:v>13424500</c:v>
                </c:pt>
                <c:pt idx="1164">
                  <c:v>7023600</c:v>
                </c:pt>
                <c:pt idx="1165">
                  <c:v>8749500</c:v>
                </c:pt>
                <c:pt idx="1166">
                  <c:v>6930300</c:v>
                </c:pt>
                <c:pt idx="1167">
                  <c:v>6965700</c:v>
                </c:pt>
                <c:pt idx="1168">
                  <c:v>8269300</c:v>
                </c:pt>
                <c:pt idx="1169">
                  <c:v>21155100</c:v>
                </c:pt>
                <c:pt idx="1170">
                  <c:v>8420000</c:v>
                </c:pt>
                <c:pt idx="1171">
                  <c:v>17268300</c:v>
                </c:pt>
                <c:pt idx="1172">
                  <c:v>8932700</c:v>
                </c:pt>
                <c:pt idx="1173">
                  <c:v>8470200</c:v>
                </c:pt>
                <c:pt idx="1174">
                  <c:v>6605000</c:v>
                </c:pt>
                <c:pt idx="1175">
                  <c:v>9976200</c:v>
                </c:pt>
                <c:pt idx="1176">
                  <c:v>6502900</c:v>
                </c:pt>
                <c:pt idx="1177">
                  <c:v>7761500</c:v>
                </c:pt>
                <c:pt idx="1178">
                  <c:v>10600800</c:v>
                </c:pt>
                <c:pt idx="1179">
                  <c:v>7472800</c:v>
                </c:pt>
                <c:pt idx="1180">
                  <c:v>21190900</c:v>
                </c:pt>
                <c:pt idx="1181">
                  <c:v>15889900</c:v>
                </c:pt>
                <c:pt idx="1182">
                  <c:v>18253100</c:v>
                </c:pt>
                <c:pt idx="1183">
                  <c:v>12135000</c:v>
                </c:pt>
                <c:pt idx="1184">
                  <c:v>9033400</c:v>
                </c:pt>
                <c:pt idx="1185">
                  <c:v>10309700</c:v>
                </c:pt>
                <c:pt idx="1186">
                  <c:v>5686800</c:v>
                </c:pt>
                <c:pt idx="1187">
                  <c:v>15420200</c:v>
                </c:pt>
                <c:pt idx="1188">
                  <c:v>17086900</c:v>
                </c:pt>
                <c:pt idx="1189">
                  <c:v>11662800</c:v>
                </c:pt>
                <c:pt idx="1190">
                  <c:v>9588100</c:v>
                </c:pt>
                <c:pt idx="1191">
                  <c:v>18128000</c:v>
                </c:pt>
                <c:pt idx="1192">
                  <c:v>13813600</c:v>
                </c:pt>
                <c:pt idx="1193">
                  <c:v>19417500</c:v>
                </c:pt>
                <c:pt idx="1194">
                  <c:v>13756100</c:v>
                </c:pt>
                <c:pt idx="1195">
                  <c:v>6915000</c:v>
                </c:pt>
                <c:pt idx="1196">
                  <c:v>11294700</c:v>
                </c:pt>
                <c:pt idx="1197">
                  <c:v>20147500</c:v>
                </c:pt>
                <c:pt idx="1198">
                  <c:v>15578800</c:v>
                </c:pt>
                <c:pt idx="1199">
                  <c:v>9883900</c:v>
                </c:pt>
                <c:pt idx="1200">
                  <c:v>10032000</c:v>
                </c:pt>
                <c:pt idx="1201">
                  <c:v>6596500</c:v>
                </c:pt>
                <c:pt idx="1202">
                  <c:v>11523300</c:v>
                </c:pt>
                <c:pt idx="1203">
                  <c:v>8881400</c:v>
                </c:pt>
                <c:pt idx="1204">
                  <c:v>8180900</c:v>
                </c:pt>
                <c:pt idx="1205">
                  <c:v>4526700</c:v>
                </c:pt>
                <c:pt idx="1206">
                  <c:v>3009700</c:v>
                </c:pt>
                <c:pt idx="1207">
                  <c:v>2293900</c:v>
                </c:pt>
                <c:pt idx="1208">
                  <c:v>2330400</c:v>
                </c:pt>
                <c:pt idx="1209">
                  <c:v>3405800</c:v>
                </c:pt>
                <c:pt idx="1210">
                  <c:v>3527200</c:v>
                </c:pt>
                <c:pt idx="1211">
                  <c:v>2488600</c:v>
                </c:pt>
                <c:pt idx="1212">
                  <c:v>6968800</c:v>
                </c:pt>
                <c:pt idx="1213">
                  <c:v>3750300</c:v>
                </c:pt>
                <c:pt idx="1214">
                  <c:v>4031000</c:v>
                </c:pt>
                <c:pt idx="1215">
                  <c:v>6517000</c:v>
                </c:pt>
                <c:pt idx="1216">
                  <c:v>11307500</c:v>
                </c:pt>
                <c:pt idx="1217">
                  <c:v>6836200</c:v>
                </c:pt>
                <c:pt idx="1218">
                  <c:v>5253200</c:v>
                </c:pt>
                <c:pt idx="1219">
                  <c:v>4551600</c:v>
                </c:pt>
                <c:pt idx="1220">
                  <c:v>4001300</c:v>
                </c:pt>
                <c:pt idx="1221">
                  <c:v>4480800</c:v>
                </c:pt>
                <c:pt idx="1222">
                  <c:v>5193700</c:v>
                </c:pt>
                <c:pt idx="1223">
                  <c:v>8397300</c:v>
                </c:pt>
                <c:pt idx="1224">
                  <c:v>6857200</c:v>
                </c:pt>
                <c:pt idx="1225">
                  <c:v>6754900</c:v>
                </c:pt>
                <c:pt idx="1226">
                  <c:v>9337500</c:v>
                </c:pt>
                <c:pt idx="1227">
                  <c:v>6696100</c:v>
                </c:pt>
                <c:pt idx="1228">
                  <c:v>8744700</c:v>
                </c:pt>
                <c:pt idx="1229">
                  <c:v>9943000</c:v>
                </c:pt>
                <c:pt idx="1230">
                  <c:v>3527600</c:v>
                </c:pt>
                <c:pt idx="1231">
                  <c:v>3992100</c:v>
                </c:pt>
                <c:pt idx="1232">
                  <c:v>8496200</c:v>
                </c:pt>
                <c:pt idx="1233">
                  <c:v>12581200</c:v>
                </c:pt>
                <c:pt idx="1234">
                  <c:v>3084000</c:v>
                </c:pt>
                <c:pt idx="1235">
                  <c:v>6453500</c:v>
                </c:pt>
                <c:pt idx="1236">
                  <c:v>5177900</c:v>
                </c:pt>
                <c:pt idx="1237">
                  <c:v>8389100</c:v>
                </c:pt>
                <c:pt idx="1238">
                  <c:v>3667100</c:v>
                </c:pt>
                <c:pt idx="1239">
                  <c:v>5304700</c:v>
                </c:pt>
                <c:pt idx="1240">
                  <c:v>3639400</c:v>
                </c:pt>
                <c:pt idx="1241">
                  <c:v>6060200</c:v>
                </c:pt>
                <c:pt idx="1242">
                  <c:v>5532100</c:v>
                </c:pt>
                <c:pt idx="1243">
                  <c:v>6848800</c:v>
                </c:pt>
                <c:pt idx="1244">
                  <c:v>4723100</c:v>
                </c:pt>
                <c:pt idx="1245">
                  <c:v>4077600</c:v>
                </c:pt>
                <c:pt idx="1246">
                  <c:v>7089200</c:v>
                </c:pt>
                <c:pt idx="1247">
                  <c:v>3786300</c:v>
                </c:pt>
                <c:pt idx="1248">
                  <c:v>4766500</c:v>
                </c:pt>
                <c:pt idx="1249">
                  <c:v>5688100</c:v>
                </c:pt>
                <c:pt idx="1250">
                  <c:v>6915000</c:v>
                </c:pt>
                <c:pt idx="1251">
                  <c:v>17484500</c:v>
                </c:pt>
                <c:pt idx="1252">
                  <c:v>5844600</c:v>
                </c:pt>
                <c:pt idx="1253">
                  <c:v>10860000</c:v>
                </c:pt>
              </c:numCache>
            </c:numRef>
          </c:val>
          <c:extLst>
            <c:ext xmlns:c16="http://schemas.microsoft.com/office/drawing/2014/chart" uri="{C3380CC4-5D6E-409C-BE32-E72D297353CC}">
              <c16:uniqueId val="{00000000-3930-4D34-889B-253725E46131}"/>
            </c:ext>
          </c:extLst>
        </c:ser>
        <c:dLbls>
          <c:showLegendKey val="0"/>
          <c:showVal val="0"/>
          <c:showCatName val="0"/>
          <c:showSerName val="0"/>
          <c:showPercent val="0"/>
          <c:showBubbleSize val="0"/>
        </c:dLbls>
        <c:axId val="1845699248"/>
        <c:axId val="1845698768"/>
      </c:areaChart>
      <c:catAx>
        <c:axId val="1845699248"/>
        <c:scaling>
          <c:orientation val="minMax"/>
        </c:scaling>
        <c:delete val="0"/>
        <c:axPos val="b"/>
        <c:numFmt formatCode="yyyy" sourceLinked="0"/>
        <c:majorTickMark val="out"/>
        <c:minorTickMark val="none"/>
        <c:tickLblPos val="nextTo"/>
        <c:spPr>
          <a:noFill/>
          <a:ln w="9525" cap="flat" cmpd="sng" algn="ctr">
            <a:noFill/>
            <a:round/>
          </a:ln>
          <a:effectLst/>
        </c:spPr>
        <c:txPr>
          <a:bodyPr rot="-36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698768"/>
        <c:crosses val="autoZero"/>
        <c:auto val="1"/>
        <c:lblAlgn val="ctr"/>
        <c:lblOffset val="100"/>
        <c:noMultiLvlLbl val="0"/>
      </c:catAx>
      <c:valAx>
        <c:axId val="1845698768"/>
        <c:scaling>
          <c:orientation val="minMax"/>
          <c:max val="100000000"/>
          <c:min val="1000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699248"/>
        <c:crosses val="autoZero"/>
        <c:crossBetween val="midCat"/>
      </c:valAx>
      <c:spPr>
        <a:noFill/>
        <a:ln>
          <a:noFill/>
        </a:ln>
        <a:effectLst/>
      </c:spPr>
    </c:plotArea>
    <c:plotVisOnly val="1"/>
    <c:dispBlanksAs val="zero"/>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70C0"/>
            </a:solidFill>
            <a:ln>
              <a:noFill/>
            </a:ln>
            <a:effectLst/>
          </c:spPr>
          <c:invertIfNegative val="0"/>
          <c:dPt>
            <c:idx val="0"/>
            <c:invertIfNegative val="1"/>
            <c:bubble3D val="0"/>
            <c:spPr>
              <a:solidFill>
                <a:srgbClr val="002060"/>
              </a:solidFill>
              <a:ln>
                <a:noFill/>
              </a:ln>
              <a:effectLst/>
            </c:spPr>
            <c:extLst>
              <c:ext xmlns:c16="http://schemas.microsoft.com/office/drawing/2014/chart" uri="{C3380CC4-5D6E-409C-BE32-E72D297353CC}">
                <c16:uniqueId val="{00000006-DD70-41E0-8D1C-A409AAE7E89A}"/>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DD70-41E0-8D1C-A409AAE7E89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DD70-41E0-8D1C-A409AAE7E89A}"/>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4-DD70-41E0-8D1C-A409AAE7E8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 Sheet'!$B$24:$B$28</c:f>
              <c:strCache>
                <c:ptCount val="5"/>
                <c:pt idx="0">
                  <c:v>Promoters </c:v>
                </c:pt>
                <c:pt idx="1">
                  <c:v>FIIs</c:v>
                </c:pt>
                <c:pt idx="2">
                  <c:v>DIIs </c:v>
                </c:pt>
                <c:pt idx="3">
                  <c:v>Public</c:v>
                </c:pt>
                <c:pt idx="4">
                  <c:v>Government</c:v>
                </c:pt>
              </c:strCache>
            </c:strRef>
          </c:cat>
          <c:val>
            <c:numRef>
              <c:f>'Input Sheet'!$C$24:$C$28</c:f>
              <c:numCache>
                <c:formatCode>0.00%</c:formatCode>
                <c:ptCount val="5"/>
                <c:pt idx="0">
                  <c:v>0.13900000000000001</c:v>
                </c:pt>
                <c:pt idx="1">
                  <c:v>0.27439999999999998</c:v>
                </c:pt>
                <c:pt idx="2">
                  <c:v>0.42659999999999998</c:v>
                </c:pt>
                <c:pt idx="3">
                  <c:v>0.15590000000000001</c:v>
                </c:pt>
                <c:pt idx="4">
                  <c:v>2.0999999999999999E-3</c:v>
                </c:pt>
              </c:numCache>
            </c:numRef>
          </c:val>
          <c:extLst>
            <c:ext xmlns:c16="http://schemas.microsoft.com/office/drawing/2014/chart" uri="{C3380CC4-5D6E-409C-BE32-E72D297353CC}">
              <c16:uniqueId val="{00000000-DD70-41E0-8D1C-A409AAE7E89A}"/>
            </c:ext>
          </c:extLst>
        </c:ser>
        <c:dLbls>
          <c:dLblPos val="outEnd"/>
          <c:showLegendKey val="0"/>
          <c:showVal val="1"/>
          <c:showCatName val="0"/>
          <c:showSerName val="0"/>
          <c:showPercent val="0"/>
          <c:showBubbleSize val="0"/>
        </c:dLbls>
        <c:gapWidth val="182"/>
        <c:axId val="1992353456"/>
        <c:axId val="1992364496"/>
      </c:barChart>
      <c:catAx>
        <c:axId val="199235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364496"/>
        <c:crosses val="autoZero"/>
        <c:auto val="1"/>
        <c:lblAlgn val="ctr"/>
        <c:lblOffset val="100"/>
        <c:noMultiLvlLbl val="0"/>
      </c:catAx>
      <c:valAx>
        <c:axId val="1992364496"/>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35345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007CC3"/>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DC44-4B47-BC4A-A80718CE61DD}"/>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2-DC44-4B47-BC4A-A80718CE61DD}"/>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DC44-4B47-BC4A-A80718CE61DD}"/>
              </c:ext>
            </c:extLst>
          </c:dPt>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4-DC44-4B47-BC4A-A80718CE61D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Analysis'!$D$83:$H$83</c:f>
              <c:numCache>
                <c:formatCode>mmm\-yy</c:formatCode>
                <c:ptCount val="5"/>
                <c:pt idx="0">
                  <c:v>44651</c:v>
                </c:pt>
                <c:pt idx="1">
                  <c:v>45016</c:v>
                </c:pt>
                <c:pt idx="2">
                  <c:v>45382</c:v>
                </c:pt>
                <c:pt idx="3">
                  <c:v>45747</c:v>
                </c:pt>
                <c:pt idx="4">
                  <c:v>46112</c:v>
                </c:pt>
              </c:numCache>
            </c:numRef>
          </c:cat>
          <c:val>
            <c:numRef>
              <c:f>'Dupont Analysis'!$D$85:$H$85</c:f>
              <c:numCache>
                <c:formatCode>General</c:formatCode>
                <c:ptCount val="5"/>
                <c:pt idx="0">
                  <c:v>121641</c:v>
                </c:pt>
                <c:pt idx="1">
                  <c:v>146767</c:v>
                </c:pt>
                <c:pt idx="2">
                  <c:v>153670</c:v>
                </c:pt>
                <c:pt idx="3">
                  <c:v>162990</c:v>
                </c:pt>
                <c:pt idx="4">
                  <c:v>178650</c:v>
                </c:pt>
              </c:numCache>
            </c:numRef>
          </c:val>
          <c:extLst>
            <c:ext xmlns:c16="http://schemas.microsoft.com/office/drawing/2014/chart" uri="{C3380CC4-5D6E-409C-BE32-E72D297353CC}">
              <c16:uniqueId val="{00000000-DC44-4B47-BC4A-A80718CE61DD}"/>
            </c:ext>
          </c:extLst>
        </c:ser>
        <c:dLbls>
          <c:showLegendKey val="0"/>
          <c:showVal val="0"/>
          <c:showCatName val="0"/>
          <c:showSerName val="0"/>
          <c:showPercent val="0"/>
          <c:showBubbleSize val="0"/>
        </c:dLbls>
        <c:gapWidth val="150"/>
        <c:overlap val="100"/>
        <c:axId val="501270463"/>
        <c:axId val="413392751"/>
      </c:barChart>
      <c:catAx>
        <c:axId val="501270463"/>
        <c:scaling>
          <c:orientation val="minMax"/>
        </c:scaling>
        <c:delete val="0"/>
        <c:axPos val="b"/>
        <c:numFmt formatCode="yy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92751"/>
        <c:crosses val="autoZero"/>
        <c:auto val="0"/>
        <c:lblAlgn val="ctr"/>
        <c:lblOffset val="100"/>
        <c:noMultiLvlLbl val="0"/>
      </c:catAx>
      <c:valAx>
        <c:axId val="413392751"/>
        <c:scaling>
          <c:orientation val="minMax"/>
        </c:scaling>
        <c:delete val="1"/>
        <c:axPos val="l"/>
        <c:numFmt formatCode="General" sourceLinked="1"/>
        <c:majorTickMark val="none"/>
        <c:minorTickMark val="none"/>
        <c:tickLblPos val="nextTo"/>
        <c:crossAx val="50127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007CC3"/>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6AB8-4BE7-9333-E7979FFD596B}"/>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6AB8-4BE7-9333-E7979FFD596B}"/>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6AB8-4BE7-9333-E7979FFD596B}"/>
              </c:ext>
            </c:extLst>
          </c:dPt>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7-6AB8-4BE7-9333-E7979FFD596B}"/>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Analysis'!$D$99:$H$99</c:f>
              <c:numCache>
                <c:formatCode>mmm\-yy</c:formatCode>
                <c:ptCount val="5"/>
                <c:pt idx="0">
                  <c:v>44651</c:v>
                </c:pt>
                <c:pt idx="1">
                  <c:v>45016</c:v>
                </c:pt>
                <c:pt idx="2">
                  <c:v>45382</c:v>
                </c:pt>
                <c:pt idx="3">
                  <c:v>45747</c:v>
                </c:pt>
                <c:pt idx="4">
                  <c:v>46112</c:v>
                </c:pt>
              </c:numCache>
            </c:numRef>
          </c:cat>
          <c:val>
            <c:numRef>
              <c:f>'Dupont Analysis'!$D$101:$H$101</c:f>
              <c:numCache>
                <c:formatCode>General</c:formatCode>
                <c:ptCount val="5"/>
                <c:pt idx="0">
                  <c:v>112120</c:v>
                </c:pt>
                <c:pt idx="1">
                  <c:v>120662.5</c:v>
                </c:pt>
                <c:pt idx="2">
                  <c:v>130308</c:v>
                </c:pt>
                <c:pt idx="3">
                  <c:v>141907.5</c:v>
                </c:pt>
                <c:pt idx="4">
                  <c:v>151041.5</c:v>
                </c:pt>
              </c:numCache>
            </c:numRef>
          </c:val>
          <c:extLst>
            <c:ext xmlns:c16="http://schemas.microsoft.com/office/drawing/2014/chart" uri="{C3380CC4-5D6E-409C-BE32-E72D297353CC}">
              <c16:uniqueId val="{00000008-6AB8-4BE7-9333-E7979FFD596B}"/>
            </c:ext>
          </c:extLst>
        </c:ser>
        <c:dLbls>
          <c:showLegendKey val="0"/>
          <c:showVal val="0"/>
          <c:showCatName val="0"/>
          <c:showSerName val="0"/>
          <c:showPercent val="0"/>
          <c:showBubbleSize val="0"/>
        </c:dLbls>
        <c:gapWidth val="150"/>
        <c:overlap val="100"/>
        <c:axId val="501270463"/>
        <c:axId val="413392751"/>
      </c:barChart>
      <c:catAx>
        <c:axId val="501270463"/>
        <c:scaling>
          <c:orientation val="minMax"/>
        </c:scaling>
        <c:delete val="0"/>
        <c:axPos val="b"/>
        <c:numFmt formatCode="yy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92751"/>
        <c:crosses val="autoZero"/>
        <c:auto val="0"/>
        <c:lblAlgn val="ctr"/>
        <c:lblOffset val="100"/>
        <c:noMultiLvlLbl val="0"/>
      </c:catAx>
      <c:valAx>
        <c:axId val="413392751"/>
        <c:scaling>
          <c:orientation val="minMax"/>
        </c:scaling>
        <c:delete val="1"/>
        <c:axPos val="l"/>
        <c:numFmt formatCode="General" sourceLinked="1"/>
        <c:majorTickMark val="none"/>
        <c:minorTickMark val="none"/>
        <c:tickLblPos val="nextTo"/>
        <c:crossAx val="50127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007CC3"/>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5BB8-46E8-A1E9-C40E079B5460}"/>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5BB8-46E8-A1E9-C40E079B5460}"/>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5BB8-46E8-A1E9-C40E079B5460}"/>
              </c:ext>
            </c:extLst>
          </c:dPt>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7-5BB8-46E8-A1E9-C40E079B5460}"/>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Analysis'!$D$83:$H$83</c:f>
              <c:numCache>
                <c:formatCode>mmm\-yy</c:formatCode>
                <c:ptCount val="5"/>
                <c:pt idx="0">
                  <c:v>44651</c:v>
                </c:pt>
                <c:pt idx="1">
                  <c:v>45016</c:v>
                </c:pt>
                <c:pt idx="2">
                  <c:v>45382</c:v>
                </c:pt>
                <c:pt idx="3">
                  <c:v>45747</c:v>
                </c:pt>
                <c:pt idx="4">
                  <c:v>46112</c:v>
                </c:pt>
              </c:numCache>
            </c:numRef>
          </c:cat>
          <c:val>
            <c:numRef>
              <c:f>'Dupont Analysis'!$D$96:$H$96</c:f>
              <c:numCache>
                <c:formatCode>0.00%</c:formatCode>
                <c:ptCount val="5"/>
                <c:pt idx="0">
                  <c:v>0.29149445290406789</c:v>
                </c:pt>
                <c:pt idx="1">
                  <c:v>0.31965348209370048</c:v>
                </c:pt>
                <c:pt idx="2">
                  <c:v>0.32084783180347726</c:v>
                </c:pt>
                <c:pt idx="3">
                  <c:v>0.29046288342557652</c:v>
                </c:pt>
                <c:pt idx="4">
                  <c:v>0.31207929188530242</c:v>
                </c:pt>
              </c:numCache>
            </c:numRef>
          </c:val>
          <c:extLst>
            <c:ext xmlns:c16="http://schemas.microsoft.com/office/drawing/2014/chart" uri="{C3380CC4-5D6E-409C-BE32-E72D297353CC}">
              <c16:uniqueId val="{00000008-5BB8-46E8-A1E9-C40E079B5460}"/>
            </c:ext>
          </c:extLst>
        </c:ser>
        <c:dLbls>
          <c:showLegendKey val="0"/>
          <c:showVal val="0"/>
          <c:showCatName val="0"/>
          <c:showSerName val="0"/>
          <c:showPercent val="0"/>
          <c:showBubbleSize val="0"/>
        </c:dLbls>
        <c:gapWidth val="150"/>
        <c:overlap val="100"/>
        <c:axId val="501270463"/>
        <c:axId val="413392751"/>
      </c:barChart>
      <c:catAx>
        <c:axId val="501270463"/>
        <c:scaling>
          <c:orientation val="minMax"/>
        </c:scaling>
        <c:delete val="0"/>
        <c:axPos val="b"/>
        <c:numFmt formatCode="yy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92751"/>
        <c:crosses val="autoZero"/>
        <c:auto val="0"/>
        <c:lblAlgn val="ctr"/>
        <c:lblOffset val="100"/>
        <c:noMultiLvlLbl val="0"/>
      </c:catAx>
      <c:valAx>
        <c:axId val="413392751"/>
        <c:scaling>
          <c:orientation val="minMax"/>
        </c:scaling>
        <c:delete val="1"/>
        <c:axPos val="l"/>
        <c:numFmt formatCode="0.00%" sourceLinked="1"/>
        <c:majorTickMark val="none"/>
        <c:minorTickMark val="none"/>
        <c:tickLblPos val="nextTo"/>
        <c:crossAx val="50127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007CC3"/>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4601-4CD8-A270-FE097D7D1E3D}"/>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4601-4CD8-A270-FE097D7D1E3D}"/>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4601-4CD8-A270-FE097D7D1E3D}"/>
              </c:ext>
            </c:extLst>
          </c:dPt>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7-4601-4CD8-A270-FE097D7D1E3D}"/>
              </c:ext>
            </c:extLst>
          </c:dPt>
          <c:dLbls>
            <c:numFmt formatCode="#,##0.0\x"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Analysis'!$D$83:$H$83</c:f>
              <c:numCache>
                <c:formatCode>mmm\-yy</c:formatCode>
                <c:ptCount val="5"/>
                <c:pt idx="0">
                  <c:v>44651</c:v>
                </c:pt>
                <c:pt idx="1">
                  <c:v>45016</c:v>
                </c:pt>
                <c:pt idx="2">
                  <c:v>45382</c:v>
                </c:pt>
                <c:pt idx="3">
                  <c:v>45747</c:v>
                </c:pt>
                <c:pt idx="4">
                  <c:v>46112</c:v>
                </c:pt>
              </c:numCache>
            </c:numRef>
          </c:cat>
          <c:val>
            <c:numRef>
              <c:f>'Dupont Analysis'!$D$94:$H$94</c:f>
              <c:numCache>
                <c:formatCode>0.0\x</c:formatCode>
                <c:ptCount val="5"/>
                <c:pt idx="0">
                  <c:v>1.4781708756039842</c:v>
                </c:pt>
                <c:pt idx="1">
                  <c:v>1.6007548571542283</c:v>
                </c:pt>
                <c:pt idx="2">
                  <c:v>1.5937574530799949</c:v>
                </c:pt>
                <c:pt idx="3">
                  <c:v>1.5430263029130014</c:v>
                </c:pt>
                <c:pt idx="4">
                  <c:v>1.6011183547993852</c:v>
                </c:pt>
              </c:numCache>
            </c:numRef>
          </c:val>
          <c:extLst>
            <c:ext xmlns:c16="http://schemas.microsoft.com/office/drawing/2014/chart" uri="{C3380CC4-5D6E-409C-BE32-E72D297353CC}">
              <c16:uniqueId val="{00000008-4601-4CD8-A270-FE097D7D1E3D}"/>
            </c:ext>
          </c:extLst>
        </c:ser>
        <c:dLbls>
          <c:showLegendKey val="0"/>
          <c:showVal val="0"/>
          <c:showCatName val="0"/>
          <c:showSerName val="0"/>
          <c:showPercent val="0"/>
          <c:showBubbleSize val="0"/>
        </c:dLbls>
        <c:gapWidth val="150"/>
        <c:overlap val="100"/>
        <c:axId val="501270463"/>
        <c:axId val="413392751"/>
      </c:barChart>
      <c:catAx>
        <c:axId val="501270463"/>
        <c:scaling>
          <c:orientation val="minMax"/>
        </c:scaling>
        <c:delete val="0"/>
        <c:axPos val="b"/>
        <c:numFmt formatCode="yy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92751"/>
        <c:crosses val="autoZero"/>
        <c:auto val="0"/>
        <c:lblAlgn val="ctr"/>
        <c:lblOffset val="100"/>
        <c:noMultiLvlLbl val="0"/>
      </c:catAx>
      <c:valAx>
        <c:axId val="413392751"/>
        <c:scaling>
          <c:orientation val="minMax"/>
        </c:scaling>
        <c:delete val="1"/>
        <c:axPos val="l"/>
        <c:numFmt formatCode="0.0\x" sourceLinked="1"/>
        <c:majorTickMark val="none"/>
        <c:minorTickMark val="none"/>
        <c:tickLblPos val="nextTo"/>
        <c:crossAx val="50127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007CC3"/>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14DF-4EB6-A628-9225F20CAF4B}"/>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14DF-4EB6-A628-9225F20CAF4B}"/>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14DF-4EB6-A628-9225F20CAF4B}"/>
              </c:ext>
            </c:extLst>
          </c:dPt>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7-14DF-4EB6-A628-9225F20CAF4B}"/>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Analysis'!$D$77:$H$77</c:f>
              <c:numCache>
                <c:formatCode>mmm\-yy</c:formatCode>
                <c:ptCount val="5"/>
                <c:pt idx="0">
                  <c:v>44651</c:v>
                </c:pt>
                <c:pt idx="1">
                  <c:v>45016</c:v>
                </c:pt>
                <c:pt idx="2">
                  <c:v>45382</c:v>
                </c:pt>
                <c:pt idx="3">
                  <c:v>45747</c:v>
                </c:pt>
                <c:pt idx="4">
                  <c:v>46112</c:v>
                </c:pt>
              </c:numCache>
            </c:numRef>
          </c:cat>
          <c:val>
            <c:numRef>
              <c:f>'Dupont Analysis'!$D$78:$H$78</c:f>
              <c:numCache>
                <c:formatCode>General</c:formatCode>
                <c:ptCount val="5"/>
                <c:pt idx="0">
                  <c:v>22110</c:v>
                </c:pt>
                <c:pt idx="1">
                  <c:v>24095</c:v>
                </c:pt>
                <c:pt idx="2">
                  <c:v>26233</c:v>
                </c:pt>
                <c:pt idx="3">
                  <c:v>26713</c:v>
                </c:pt>
                <c:pt idx="4">
                  <c:v>29440</c:v>
                </c:pt>
              </c:numCache>
            </c:numRef>
          </c:val>
          <c:extLst>
            <c:ext xmlns:c16="http://schemas.microsoft.com/office/drawing/2014/chart" uri="{C3380CC4-5D6E-409C-BE32-E72D297353CC}">
              <c16:uniqueId val="{00000008-14DF-4EB6-A628-9225F20CAF4B}"/>
            </c:ext>
          </c:extLst>
        </c:ser>
        <c:dLbls>
          <c:showLegendKey val="0"/>
          <c:showVal val="0"/>
          <c:showCatName val="0"/>
          <c:showSerName val="0"/>
          <c:showPercent val="0"/>
          <c:showBubbleSize val="0"/>
        </c:dLbls>
        <c:gapWidth val="150"/>
        <c:overlap val="100"/>
        <c:axId val="501270463"/>
        <c:axId val="413392751"/>
      </c:barChart>
      <c:catAx>
        <c:axId val="501270463"/>
        <c:scaling>
          <c:orientation val="minMax"/>
        </c:scaling>
        <c:delete val="0"/>
        <c:axPos val="b"/>
        <c:numFmt formatCode="yy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92751"/>
        <c:crosses val="autoZero"/>
        <c:auto val="0"/>
        <c:lblAlgn val="ctr"/>
        <c:lblOffset val="100"/>
        <c:noMultiLvlLbl val="0"/>
      </c:catAx>
      <c:valAx>
        <c:axId val="413392751"/>
        <c:scaling>
          <c:orientation val="minMax"/>
        </c:scaling>
        <c:delete val="1"/>
        <c:axPos val="l"/>
        <c:numFmt formatCode="General" sourceLinked="1"/>
        <c:majorTickMark val="none"/>
        <c:minorTickMark val="none"/>
        <c:tickLblPos val="nextTo"/>
        <c:crossAx val="50127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007CC3"/>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569A-4D20-8F87-8E57910CD96F}"/>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569A-4D20-8F87-8E57910CD96F}"/>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569A-4D20-8F87-8E57910CD96F}"/>
              </c:ext>
            </c:extLst>
          </c:dPt>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7-569A-4D20-8F87-8E57910CD96F}"/>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Analysis'!$D$105:$H$105</c:f>
              <c:numCache>
                <c:formatCode>mmm\-yy</c:formatCode>
                <c:ptCount val="5"/>
                <c:pt idx="0">
                  <c:v>44651</c:v>
                </c:pt>
                <c:pt idx="1">
                  <c:v>45016</c:v>
                </c:pt>
                <c:pt idx="2">
                  <c:v>45382</c:v>
                </c:pt>
                <c:pt idx="3">
                  <c:v>45747</c:v>
                </c:pt>
                <c:pt idx="4">
                  <c:v>46112</c:v>
                </c:pt>
              </c:numCache>
            </c:numRef>
          </c:cat>
          <c:val>
            <c:numRef>
              <c:f>'Dupont Analysis'!$D$114:$H$114</c:f>
              <c:numCache>
                <c:formatCode>0.00%</c:formatCode>
                <c:ptCount val="5"/>
                <c:pt idx="0">
                  <c:v>0.19719942918301819</c:v>
                </c:pt>
                <c:pt idx="1">
                  <c:v>0.19968921578783799</c:v>
                </c:pt>
                <c:pt idx="2">
                  <c:v>0.20131534518218377</c:v>
                </c:pt>
                <c:pt idx="3">
                  <c:v>0.18824234096154183</c:v>
                </c:pt>
                <c:pt idx="4">
                  <c:v>0.19491331852504115</c:v>
                </c:pt>
              </c:numCache>
            </c:numRef>
          </c:val>
          <c:extLst>
            <c:ext xmlns:c16="http://schemas.microsoft.com/office/drawing/2014/chart" uri="{C3380CC4-5D6E-409C-BE32-E72D297353CC}">
              <c16:uniqueId val="{00000008-569A-4D20-8F87-8E57910CD96F}"/>
            </c:ext>
          </c:extLst>
        </c:ser>
        <c:dLbls>
          <c:showLegendKey val="0"/>
          <c:showVal val="0"/>
          <c:showCatName val="0"/>
          <c:showSerName val="0"/>
          <c:showPercent val="0"/>
          <c:showBubbleSize val="0"/>
        </c:dLbls>
        <c:gapWidth val="150"/>
        <c:overlap val="100"/>
        <c:axId val="501270463"/>
        <c:axId val="413392751"/>
      </c:barChart>
      <c:catAx>
        <c:axId val="501270463"/>
        <c:scaling>
          <c:orientation val="minMax"/>
        </c:scaling>
        <c:delete val="0"/>
        <c:axPos val="b"/>
        <c:numFmt formatCode="yy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92751"/>
        <c:crosses val="autoZero"/>
        <c:auto val="0"/>
        <c:lblAlgn val="ctr"/>
        <c:lblOffset val="100"/>
        <c:noMultiLvlLbl val="0"/>
      </c:catAx>
      <c:valAx>
        <c:axId val="413392751"/>
        <c:scaling>
          <c:orientation val="minMax"/>
        </c:scaling>
        <c:delete val="1"/>
        <c:axPos val="l"/>
        <c:numFmt formatCode="0.00%" sourceLinked="1"/>
        <c:majorTickMark val="none"/>
        <c:minorTickMark val="none"/>
        <c:tickLblPos val="nextTo"/>
        <c:crossAx val="50127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rgbClr val="002060"/>
                </a:solidFill>
              </a:rPr>
              <a:t>Football</a:t>
            </a:r>
            <a:r>
              <a:rPr lang="en-IN" sz="1200" b="1" baseline="0">
                <a:solidFill>
                  <a:srgbClr val="002060"/>
                </a:solidFill>
              </a:rPr>
              <a:t> Field Analysis Summary (Rs)</a:t>
            </a:r>
            <a:endParaRPr lang="en-IN" sz="1200"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tockChart>
        <c:ser>
          <c:idx val="0"/>
          <c:order val="0"/>
          <c:spPr>
            <a:ln w="38100" cap="rnd">
              <a:noFill/>
              <a:round/>
            </a:ln>
            <a:effectLst/>
          </c:spPr>
          <c:marker>
            <c:symbol val="none"/>
          </c:marker>
          <c:cat>
            <c:strRef>
              <c:f>'Football Field'!$B$5:$B$9</c:f>
              <c:strCache>
                <c:ptCount val="5"/>
                <c:pt idx="0">
                  <c:v>Comps</c:v>
                </c:pt>
                <c:pt idx="1">
                  <c:v>DCF Bear</c:v>
                </c:pt>
                <c:pt idx="2">
                  <c:v>DCF Base</c:v>
                </c:pt>
                <c:pt idx="3">
                  <c:v>DCF Bull</c:v>
                </c:pt>
                <c:pt idx="4">
                  <c:v>52 W H/L</c:v>
                </c:pt>
              </c:strCache>
            </c:strRef>
          </c:cat>
          <c:val>
            <c:numRef>
              <c:f>'Football Field'!$C$5:$C$9</c:f>
              <c:numCache>
                <c:formatCode>0.0</c:formatCode>
                <c:ptCount val="5"/>
                <c:pt idx="0">
                  <c:v>967.52777286678747</c:v>
                </c:pt>
                <c:pt idx="1">
                  <c:v>899.45670468132369</c:v>
                </c:pt>
                <c:pt idx="2">
                  <c:v>988.72502247748139</c:v>
                </c:pt>
                <c:pt idx="3">
                  <c:v>1142.155557823854</c:v>
                </c:pt>
                <c:pt idx="4">
                  <c:v>980.4</c:v>
                </c:pt>
              </c:numCache>
            </c:numRef>
          </c:val>
          <c:smooth val="0"/>
          <c:extLst>
            <c:ext xmlns:c16="http://schemas.microsoft.com/office/drawing/2014/chart" uri="{C3380CC4-5D6E-409C-BE32-E72D297353CC}">
              <c16:uniqueId val="{00000000-30B4-44FC-8305-9156266804BC}"/>
            </c:ext>
          </c:extLst>
        </c:ser>
        <c:ser>
          <c:idx val="1"/>
          <c:order val="1"/>
          <c:spPr>
            <a:ln w="3810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Field'!$B$5:$B$9</c:f>
              <c:strCache>
                <c:ptCount val="5"/>
                <c:pt idx="0">
                  <c:v>Comps</c:v>
                </c:pt>
                <c:pt idx="1">
                  <c:v>DCF Bear</c:v>
                </c:pt>
                <c:pt idx="2">
                  <c:v>DCF Base</c:v>
                </c:pt>
                <c:pt idx="3">
                  <c:v>DCF Bull</c:v>
                </c:pt>
                <c:pt idx="4">
                  <c:v>52 W H/L</c:v>
                </c:pt>
              </c:strCache>
            </c:strRef>
          </c:cat>
          <c:val>
            <c:numRef>
              <c:f>'Football Field'!$D$5:$D$9</c:f>
              <c:numCache>
                <c:formatCode>0.0</c:formatCode>
                <c:ptCount val="5"/>
                <c:pt idx="0">
                  <c:v>967.52777286678747</c:v>
                </c:pt>
                <c:pt idx="1">
                  <c:v>899.45670468132369</c:v>
                </c:pt>
                <c:pt idx="2">
                  <c:v>988.72502247748139</c:v>
                </c:pt>
                <c:pt idx="3">
                  <c:v>1142.155557823854</c:v>
                </c:pt>
                <c:pt idx="4">
                  <c:v>980.4</c:v>
                </c:pt>
              </c:numCache>
            </c:numRef>
          </c:val>
          <c:smooth val="0"/>
          <c:extLst>
            <c:ext xmlns:c16="http://schemas.microsoft.com/office/drawing/2014/chart" uri="{C3380CC4-5D6E-409C-BE32-E72D297353CC}">
              <c16:uniqueId val="{00000001-30B4-44FC-8305-9156266804BC}"/>
            </c:ext>
          </c:extLst>
        </c:ser>
        <c:ser>
          <c:idx val="2"/>
          <c:order val="2"/>
          <c:spPr>
            <a:ln w="38100" cap="rnd">
              <a:noFill/>
              <a:round/>
            </a:ln>
            <a:effectLst/>
          </c:spPr>
          <c:marker>
            <c:symbol val="none"/>
          </c:marker>
          <c:cat>
            <c:strRef>
              <c:f>'Football Field'!$B$5:$B$9</c:f>
              <c:strCache>
                <c:ptCount val="5"/>
                <c:pt idx="0">
                  <c:v>Comps</c:v>
                </c:pt>
                <c:pt idx="1">
                  <c:v>DCF Bear</c:v>
                </c:pt>
                <c:pt idx="2">
                  <c:v>DCF Base</c:v>
                </c:pt>
                <c:pt idx="3">
                  <c:v>DCF Bull</c:v>
                </c:pt>
                <c:pt idx="4">
                  <c:v>52 W H/L</c:v>
                </c:pt>
              </c:strCache>
            </c:strRef>
          </c:cat>
          <c:val>
            <c:numRef>
              <c:f>'Football Field'!$E$5:$E$9</c:f>
              <c:numCache>
                <c:formatCode>0.0</c:formatCode>
                <c:ptCount val="5"/>
                <c:pt idx="0">
                  <c:v>1129.0636674385021</c:v>
                </c:pt>
                <c:pt idx="1">
                  <c:v>1293.4126587564883</c:v>
                </c:pt>
                <c:pt idx="2">
                  <c:v>1724.5584707689009</c:v>
                </c:pt>
                <c:pt idx="3">
                  <c:v>4362.709155801982</c:v>
                </c:pt>
                <c:pt idx="4">
                  <c:v>1728</c:v>
                </c:pt>
              </c:numCache>
            </c:numRef>
          </c:val>
          <c:smooth val="0"/>
          <c:extLst>
            <c:ext xmlns:c16="http://schemas.microsoft.com/office/drawing/2014/chart" uri="{C3380CC4-5D6E-409C-BE32-E72D297353CC}">
              <c16:uniqueId val="{00000002-30B4-44FC-8305-9156266804BC}"/>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002060"/>
              </a:solidFill>
              <a:ln w="9525" cap="flat" cmpd="sng" algn="ctr">
                <a:solidFill>
                  <a:srgbClr val="002060"/>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423262495"/>
        <c:axId val="270377583"/>
      </c:stockChart>
      <c:stockChart>
        <c:ser>
          <c:idx val="3"/>
          <c:order val="3"/>
          <c:spPr>
            <a:ln w="3810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Field'!$B$5:$B$9</c:f>
              <c:strCache>
                <c:ptCount val="5"/>
                <c:pt idx="0">
                  <c:v>Comps</c:v>
                </c:pt>
                <c:pt idx="1">
                  <c:v>DCF Bear</c:v>
                </c:pt>
                <c:pt idx="2">
                  <c:v>DCF Base</c:v>
                </c:pt>
                <c:pt idx="3">
                  <c:v>DCF Bull</c:v>
                </c:pt>
                <c:pt idx="4">
                  <c:v>52 W H/L</c:v>
                </c:pt>
              </c:strCache>
            </c:strRef>
          </c:cat>
          <c:val>
            <c:numRef>
              <c:f>'Football Field'!$F$5:$F$9</c:f>
              <c:numCache>
                <c:formatCode>0.0</c:formatCode>
                <c:ptCount val="5"/>
                <c:pt idx="0">
                  <c:v>1129.0636674385021</c:v>
                </c:pt>
                <c:pt idx="1">
                  <c:v>1293.4126587564883</c:v>
                </c:pt>
                <c:pt idx="2">
                  <c:v>1724.5584707689009</c:v>
                </c:pt>
                <c:pt idx="3">
                  <c:v>4362.709155801982</c:v>
                </c:pt>
                <c:pt idx="4">
                  <c:v>1728</c:v>
                </c:pt>
              </c:numCache>
            </c:numRef>
          </c:val>
          <c:smooth val="0"/>
          <c:extLst>
            <c:ext xmlns:c16="http://schemas.microsoft.com/office/drawing/2014/chart" uri="{C3380CC4-5D6E-409C-BE32-E72D297353CC}">
              <c16:uniqueId val="{00000003-30B4-44FC-8305-9156266804BC}"/>
            </c:ext>
          </c:extLst>
        </c:ser>
        <c:dLbls>
          <c:showLegendKey val="0"/>
          <c:showVal val="0"/>
          <c:showCatName val="0"/>
          <c:showSerName val="0"/>
          <c:showPercent val="0"/>
          <c:showBubbleSize val="0"/>
        </c:dLbls>
        <c:axId val="423262495"/>
        <c:axId val="270377583"/>
      </c:stockChart>
      <c:catAx>
        <c:axId val="42326249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77583"/>
        <c:crosses val="autoZero"/>
        <c:auto val="1"/>
        <c:lblAlgn val="ctr"/>
        <c:lblOffset val="100"/>
        <c:noMultiLvlLbl val="0"/>
      </c:catAx>
      <c:valAx>
        <c:axId val="270377583"/>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26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1888914</xdr:colOff>
      <xdr:row>3</xdr:row>
      <xdr:rowOff>855133</xdr:rowOff>
    </xdr:to>
    <xdr:pic>
      <xdr:nvPicPr>
        <xdr:cNvPr id="2" name="Picture 1" descr="Infosys - Media Resources | Infosys Logo | Campus">
          <a:extLst>
            <a:ext uri="{FF2B5EF4-FFF2-40B4-BE49-F238E27FC236}">
              <a16:creationId xmlns:a16="http://schemas.microsoft.com/office/drawing/2014/main" id="{5962BB5A-5B60-44BB-89D6-23A35227EFFD}"/>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469" t="21333" r="16078" b="24667"/>
        <a:stretch>
          <a:fillRect/>
        </a:stretch>
      </xdr:blipFill>
      <xdr:spPr bwMode="auto">
        <a:xfrm>
          <a:off x="129540" y="594360"/>
          <a:ext cx="1888914" cy="855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28576</xdr:colOff>
      <xdr:row>7</xdr:row>
      <xdr:rowOff>30480</xdr:rowOff>
    </xdr:from>
    <xdr:to>
      <xdr:col>10</xdr:col>
      <xdr:colOff>752475</xdr:colOff>
      <xdr:row>17</xdr:row>
      <xdr:rowOff>0</xdr:rowOff>
    </xdr:to>
    <xdr:graphicFrame macro="">
      <xdr:nvGraphicFramePr>
        <xdr:cNvPr id="4" name="Chart 3">
          <a:extLst>
            <a:ext uri="{FF2B5EF4-FFF2-40B4-BE49-F238E27FC236}">
              <a16:creationId xmlns:a16="http://schemas.microsoft.com/office/drawing/2014/main" id="{B99D83DD-BF5E-45BA-AE01-E2641F0E5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85725</xdr:colOff>
      <xdr:row>20</xdr:row>
      <xdr:rowOff>0</xdr:rowOff>
    </xdr:from>
    <xdr:to>
      <xdr:col>10</xdr:col>
      <xdr:colOff>752475</xdr:colOff>
      <xdr:row>26</xdr:row>
      <xdr:rowOff>0</xdr:rowOff>
    </xdr:to>
    <xdr:graphicFrame macro="">
      <xdr:nvGraphicFramePr>
        <xdr:cNvPr id="5" name="Chart 4">
          <a:extLst>
            <a:ext uri="{FF2B5EF4-FFF2-40B4-BE49-F238E27FC236}">
              <a16:creationId xmlns:a16="http://schemas.microsoft.com/office/drawing/2014/main" id="{5A4285E3-F211-4DCA-A1B3-D88D785C7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176741</xdr:colOff>
      <xdr:row>29</xdr:row>
      <xdr:rowOff>65616</xdr:rowOff>
    </xdr:from>
    <xdr:to>
      <xdr:col>10</xdr:col>
      <xdr:colOff>752475</xdr:colOff>
      <xdr:row>38</xdr:row>
      <xdr:rowOff>142875</xdr:rowOff>
    </xdr:to>
    <xdr:graphicFrame macro="">
      <xdr:nvGraphicFramePr>
        <xdr:cNvPr id="3" name="Chart 2">
          <a:extLst>
            <a:ext uri="{FF2B5EF4-FFF2-40B4-BE49-F238E27FC236}">
              <a16:creationId xmlns:a16="http://schemas.microsoft.com/office/drawing/2014/main" id="{907F3CB1-3F1D-4183-B08A-BDDA008B5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0</xdr:colOff>
      <xdr:row>52</xdr:row>
      <xdr:rowOff>38100</xdr:rowOff>
    </xdr:from>
    <xdr:ext cx="10477499" cy="4114800"/>
    <xdr:sp macro="" textlink="">
      <xdr:nvSpPr>
        <xdr:cNvPr id="6" name="TextBox 5">
          <a:extLst>
            <a:ext uri="{FF2B5EF4-FFF2-40B4-BE49-F238E27FC236}">
              <a16:creationId xmlns:a16="http://schemas.microsoft.com/office/drawing/2014/main" id="{04EC6327-FA5B-0212-B222-F1A57D3ECE75}"/>
            </a:ext>
          </a:extLst>
        </xdr:cNvPr>
        <xdr:cNvSpPr txBox="1"/>
      </xdr:nvSpPr>
      <xdr:spPr>
        <a:xfrm>
          <a:off x="133350" y="9658350"/>
          <a:ext cx="10477499" cy="411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lvl="0"/>
          <a:r>
            <a:rPr lang="en-IN" b="1"/>
            <a:t>Revenue Growth and Earnings Outlook:</a:t>
          </a:r>
          <a:r>
            <a:rPr lang="en-IN"/>
            <a:t> Infosys has demonstrated consistent long-term revenue growth, supported by its global client base and technology services portfolio. Revenue increased from ₹1,21,641 crore in FY22 to ₹1,78,650 crore in FY26, while EPS rose from ₹47.2 to ₹65.2. Sustaining this growth will depend on global IT spending, new client acquisitions, large deal conversion and demand for digital transformation services.</a:t>
          </a:r>
        </a:p>
        <a:p>
          <a:pPr lvl="0"/>
          <a:r>
            <a:rPr lang="en-IN" b="1"/>
            <a:t>AI-First Transformation and Digital Opportunities:</a:t>
          </a:r>
          <a:r>
            <a:rPr lang="en-IN"/>
            <a:t> The growing adoption of generative AI, cloud computing, cybersecurity, data analytics and automation presents significant opportunities for Infosys. Its established enterprise relationships and technology expertise may support future business expansion. However, the long-term financial benefits will depend on the company's ability to convert AI-related demand into scalable, recurring and profitable revenue.</a:t>
          </a:r>
        </a:p>
        <a:p>
          <a:pPr lvl="0"/>
          <a:r>
            <a:rPr lang="en-IN" b="1"/>
            <a:t>Profitability and Operational Efficiency:</a:t>
          </a:r>
          <a:r>
            <a:rPr lang="en-IN"/>
            <a:t> Infosys has maintained relatively stable operating margins, with its FY26 EBITDA margin at 23.67% and net profit margin at 14.80%. Improving employee utilisation, optimising delivery costs and increasing the contribution of higher-value digital services will be important for protecting profitability. Sustained margin performance and stronger cash generation will remain key indicators of operational efficiency.</a:t>
          </a:r>
        </a:p>
        <a:p>
          <a:pPr lvl="0"/>
          <a:r>
            <a:rPr lang="en-IN" b="1"/>
            <a:t>Valuation and Shareholder Returns:</a:t>
          </a:r>
          <a:r>
            <a:rPr lang="en-IN"/>
            <a:t> Infosys's FY26 P/E ratio of 17.2x and EV/EBITDA ratio of 11.7x are lower than their FY22 levels of 36.3x and 25.1x, respectively. This indicates a decline in valuation multiples, but does not independently establish that the stock is undervalued. Future returns will depend on earnings growth, dividend sustainability, market expectations and the price paid relative to estimated intrinsic value.</a:t>
          </a:r>
        </a:p>
        <a:p>
          <a:pPr lvl="0"/>
          <a:r>
            <a:rPr lang="en-IN" b="1"/>
            <a:t>Key Business and Investment Risks:</a:t>
          </a:r>
          <a:r>
            <a:rPr lang="en-IN"/>
            <a:t> Slower discretionary technology spending, global economic uncertainty, pricing pressure, competition from IT services peers and challenges in monetising AI investments could affect future performance. Currency fluctuations, wage inflation and changes in client demand may also influence margins and earnings growth. Investors should monitor management guidance, quarterly results, deal wins and operating cash flow to assess changes in the business outlook.</a:t>
          </a:r>
        </a:p>
        <a:p>
          <a:pPr lvl="0"/>
          <a:r>
            <a:rPr lang="en-IN" b="1"/>
            <a:t>Long-Term Growth and Investment Potential:</a:t>
          </a:r>
          <a:r>
            <a:rPr lang="en-IN"/>
            <a:t> Infosys has an established global presence, a diversified technology services portfolio and opportunities arising from enterprise digital transformation. Its ability to sustain competitive advantages will depend on innovation, talent development, client retention and disciplined execution. Long-term investment attractiveness should be evaluated through sustainable earnings growth, return on capital, free cash flow generation and valuation relative to future business prospects.</a:t>
          </a:r>
        </a:p>
        <a:p>
          <a:r>
            <a:rPr lang="en-IN" b="1"/>
            <a:t>Overall Conclusion:</a:t>
          </a:r>
          <a:r>
            <a:rPr lang="en-IN"/>
            <a:t> Infosys offers potential long-term growth opportunities through AI, cloud computing and digital transformation, supported by its established client relationships and historical profitability. Nevertheless, future performance is not guaranteed, and valuation attractiveness depends on the company's ability to sustain growth, protect operating margins and convert earnings into cash. A balanced investment assessment should consider both the company's long-term strengths and the risks of slower growth, competitive pressure and uncertain technology monetisation before reaching a buy, hold or sell conclusion.</a:t>
          </a:r>
        </a:p>
      </xdr:txBody>
    </xdr:sp>
    <xdr:clientData/>
  </xdr:oneCellAnchor>
  <xdr:oneCellAnchor>
    <xdr:from>
      <xdr:col>0</xdr:col>
      <xdr:colOff>114300</xdr:colOff>
      <xdr:row>46</xdr:row>
      <xdr:rowOff>28575</xdr:rowOff>
    </xdr:from>
    <xdr:ext cx="7686675" cy="638174"/>
    <xdr:sp macro="" textlink="">
      <xdr:nvSpPr>
        <xdr:cNvPr id="7" name="TextBox 6">
          <a:extLst>
            <a:ext uri="{FF2B5EF4-FFF2-40B4-BE49-F238E27FC236}">
              <a16:creationId xmlns:a16="http://schemas.microsoft.com/office/drawing/2014/main" id="{6D902661-03CC-C76A-9837-E2A59637C43D}"/>
            </a:ext>
          </a:extLst>
        </xdr:cNvPr>
        <xdr:cNvSpPr txBox="1"/>
      </xdr:nvSpPr>
      <xdr:spPr>
        <a:xfrm>
          <a:off x="114300" y="8667750"/>
          <a:ext cx="7686675" cy="638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a:t>The remuneration details in the above table pertain to directors and KMP as required under the Companies Act, 2013. The table above additionally includes the % increase in remuneration and ratio of remuneration to MRE, excluding perquisite value of stock incentives </a:t>
          </a:r>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15</xdr:col>
      <xdr:colOff>121920</xdr:colOff>
      <xdr:row>2</xdr:row>
      <xdr:rowOff>57150</xdr:rowOff>
    </xdr:from>
    <xdr:to>
      <xdr:col>18</xdr:col>
      <xdr:colOff>297180</xdr:colOff>
      <xdr:row>6</xdr:row>
      <xdr:rowOff>129540</xdr:rowOff>
    </xdr:to>
    <xdr:graphicFrame macro="">
      <xdr:nvGraphicFramePr>
        <xdr:cNvPr id="2" name="Chart 1">
          <a:extLst>
            <a:ext uri="{FF2B5EF4-FFF2-40B4-BE49-F238E27FC236}">
              <a16:creationId xmlns:a16="http://schemas.microsoft.com/office/drawing/2014/main" id="{9D3C450D-492A-842B-D739-B56596D853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518160</xdr:colOff>
      <xdr:row>7</xdr:row>
      <xdr:rowOff>95250</xdr:rowOff>
    </xdr:from>
    <xdr:to>
      <xdr:col>20</xdr:col>
      <xdr:colOff>106680</xdr:colOff>
      <xdr:row>16</xdr:row>
      <xdr:rowOff>121920</xdr:rowOff>
    </xdr:to>
    <xdr:graphicFrame macro="">
      <xdr:nvGraphicFramePr>
        <xdr:cNvPr id="3" name="Chart 2">
          <a:extLst>
            <a:ext uri="{FF2B5EF4-FFF2-40B4-BE49-F238E27FC236}">
              <a16:creationId xmlns:a16="http://schemas.microsoft.com/office/drawing/2014/main" id="{46B54BE7-C477-C10E-4FF0-1497BF2FCB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129540</xdr:colOff>
      <xdr:row>22</xdr:row>
      <xdr:rowOff>38100</xdr:rowOff>
    </xdr:from>
    <xdr:to>
      <xdr:col>8</xdr:col>
      <xdr:colOff>198120</xdr:colOff>
      <xdr:row>30</xdr:row>
      <xdr:rowOff>175260</xdr:rowOff>
    </xdr:to>
    <xdr:graphicFrame macro="">
      <xdr:nvGraphicFramePr>
        <xdr:cNvPr id="4" name="Chart 3">
          <a:extLst>
            <a:ext uri="{FF2B5EF4-FFF2-40B4-BE49-F238E27FC236}">
              <a16:creationId xmlns:a16="http://schemas.microsoft.com/office/drawing/2014/main" id="{D7902BF9-207B-1134-5907-D7585582F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347133</xdr:colOff>
      <xdr:row>1</xdr:row>
      <xdr:rowOff>152400</xdr:rowOff>
    </xdr:from>
    <xdr:to>
      <xdr:col>7</xdr:col>
      <xdr:colOff>195580</xdr:colOff>
      <xdr:row>5</xdr:row>
      <xdr:rowOff>42333</xdr:rowOff>
    </xdr:to>
    <xdr:pic>
      <xdr:nvPicPr>
        <xdr:cNvPr id="2" name="Picture 1" descr="Infosys - Media Resources | Infosys Logo | Campus">
          <a:extLst>
            <a:ext uri="{FF2B5EF4-FFF2-40B4-BE49-F238E27FC236}">
              <a16:creationId xmlns:a16="http://schemas.microsoft.com/office/drawing/2014/main" id="{EF8C0050-6864-A736-43AD-D0C1D9E5EB71}"/>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469" t="21333" r="16078" b="24667"/>
        <a:stretch>
          <a:fillRect/>
        </a:stretch>
      </xdr:blipFill>
      <xdr:spPr bwMode="auto">
        <a:xfrm>
          <a:off x="6773333" y="152400"/>
          <a:ext cx="1888914" cy="855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xdr:colOff>
      <xdr:row>20</xdr:row>
      <xdr:rowOff>123824</xdr:rowOff>
    </xdr:from>
    <xdr:to>
      <xdr:col>1</xdr:col>
      <xdr:colOff>2797628</xdr:colOff>
      <xdr:row>32</xdr:row>
      <xdr:rowOff>47624</xdr:rowOff>
    </xdr:to>
    <xdr:graphicFrame macro="">
      <xdr:nvGraphicFramePr>
        <xdr:cNvPr id="3" name="Chart 2">
          <a:extLst>
            <a:ext uri="{FF2B5EF4-FFF2-40B4-BE49-F238E27FC236}">
              <a16:creationId xmlns:a16="http://schemas.microsoft.com/office/drawing/2014/main" id="{A42AB907-F1E7-9B18-AD75-38379290EC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476250</xdr:colOff>
      <xdr:row>19</xdr:row>
      <xdr:rowOff>104775</xdr:rowOff>
    </xdr:from>
    <xdr:ext cx="1390650" cy="264560"/>
    <xdr:sp macro="" textlink="">
      <xdr:nvSpPr>
        <xdr:cNvPr id="12" name="TextBox 11">
          <a:extLst>
            <a:ext uri="{FF2B5EF4-FFF2-40B4-BE49-F238E27FC236}">
              <a16:creationId xmlns:a16="http://schemas.microsoft.com/office/drawing/2014/main" id="{0294DD33-92C1-7F64-2A95-056CFE9944B9}"/>
            </a:ext>
          </a:extLst>
        </xdr:cNvPr>
        <xdr:cNvSpPr txBox="1"/>
      </xdr:nvSpPr>
      <xdr:spPr>
        <a:xfrm>
          <a:off x="609600" y="2400300"/>
          <a:ext cx="1390650"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ln>
                <a:noFill/>
              </a:ln>
              <a:solidFill>
                <a:srgbClr val="007CC3"/>
              </a:solidFill>
            </a:rPr>
            <a:t>Revenue</a:t>
          </a:r>
          <a:r>
            <a:rPr lang="en-IN" sz="1100" b="1" baseline="0">
              <a:ln>
                <a:noFill/>
              </a:ln>
              <a:solidFill>
                <a:srgbClr val="007CC3"/>
              </a:solidFill>
            </a:rPr>
            <a:t>s ( INR Crs.)</a:t>
          </a:r>
          <a:endParaRPr lang="en-IN" sz="1100" b="1">
            <a:ln>
              <a:noFill/>
            </a:ln>
            <a:solidFill>
              <a:srgbClr val="007CC3"/>
            </a:solidFill>
          </a:endParaRPr>
        </a:p>
      </xdr:txBody>
    </xdr:sp>
    <xdr:clientData/>
  </xdr:oneCellAnchor>
  <xdr:twoCellAnchor>
    <xdr:from>
      <xdr:col>1</xdr:col>
      <xdr:colOff>80282</xdr:colOff>
      <xdr:row>19</xdr:row>
      <xdr:rowOff>83003</xdr:rowOff>
    </xdr:from>
    <xdr:to>
      <xdr:col>1</xdr:col>
      <xdr:colOff>2249261</xdr:colOff>
      <xdr:row>19</xdr:row>
      <xdr:rowOff>92528</xdr:rowOff>
    </xdr:to>
    <xdr:cxnSp macro="">
      <xdr:nvCxnSpPr>
        <xdr:cNvPr id="27" name="Straight Connector 26">
          <a:extLst>
            <a:ext uri="{FF2B5EF4-FFF2-40B4-BE49-F238E27FC236}">
              <a16:creationId xmlns:a16="http://schemas.microsoft.com/office/drawing/2014/main" id="{64F6FF98-8189-15DC-4631-3968083AF632}"/>
            </a:ext>
          </a:extLst>
        </xdr:cNvPr>
        <xdr:cNvCxnSpPr/>
      </xdr:nvCxnSpPr>
      <xdr:spPr>
        <a:xfrm>
          <a:off x="210911" y="2390774"/>
          <a:ext cx="2168979" cy="9525"/>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19</xdr:row>
      <xdr:rowOff>94489</xdr:rowOff>
    </xdr:from>
    <xdr:to>
      <xdr:col>7</xdr:col>
      <xdr:colOff>571499</xdr:colOff>
      <xdr:row>32</xdr:row>
      <xdr:rowOff>62593</xdr:rowOff>
    </xdr:to>
    <xdr:grpSp>
      <xdr:nvGrpSpPr>
        <xdr:cNvPr id="36" name="Group 35">
          <a:extLst>
            <a:ext uri="{FF2B5EF4-FFF2-40B4-BE49-F238E27FC236}">
              <a16:creationId xmlns:a16="http://schemas.microsoft.com/office/drawing/2014/main" id="{97F779FE-DAD6-D5FC-FE70-EA3B67597512}"/>
            </a:ext>
          </a:extLst>
        </xdr:cNvPr>
        <xdr:cNvGrpSpPr/>
      </xdr:nvGrpSpPr>
      <xdr:grpSpPr>
        <a:xfrm>
          <a:off x="5891590" y="3438822"/>
          <a:ext cx="3146576" cy="2389571"/>
          <a:chOff x="3396343" y="2489369"/>
          <a:chExt cx="2901042" cy="1818653"/>
        </a:xfrm>
      </xdr:grpSpPr>
      <xdr:graphicFrame macro="">
        <xdr:nvGraphicFramePr>
          <xdr:cNvPr id="30" name="Chart 29">
            <a:extLst>
              <a:ext uri="{FF2B5EF4-FFF2-40B4-BE49-F238E27FC236}">
                <a16:creationId xmlns:a16="http://schemas.microsoft.com/office/drawing/2014/main" id="{73B30D97-5D8B-42EB-91C4-02A6E149A547}"/>
              </a:ext>
            </a:extLst>
          </xdr:cNvPr>
          <xdr:cNvGraphicFramePr>
            <a:graphicFrameLocks/>
          </xdr:cNvGraphicFramePr>
        </xdr:nvGraphicFramePr>
        <xdr:xfrm>
          <a:off x="3396343" y="2718708"/>
          <a:ext cx="2901042" cy="1589314"/>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1" name="TextBox 30">
            <a:extLst>
              <a:ext uri="{FF2B5EF4-FFF2-40B4-BE49-F238E27FC236}">
                <a16:creationId xmlns:a16="http://schemas.microsoft.com/office/drawing/2014/main" id="{F78182AF-B76E-454C-8CF2-0BE7724C17F2}"/>
              </a:ext>
            </a:extLst>
          </xdr:cNvPr>
          <xdr:cNvSpPr txBox="1"/>
        </xdr:nvSpPr>
        <xdr:spPr>
          <a:xfrm>
            <a:off x="3757688" y="2489369"/>
            <a:ext cx="2078264" cy="26280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ln>
                  <a:noFill/>
                </a:ln>
                <a:solidFill>
                  <a:srgbClr val="007CC3"/>
                </a:solidFill>
              </a:rPr>
              <a:t>Average Total Assets</a:t>
            </a:r>
            <a:r>
              <a:rPr lang="en-IN" sz="1100" b="1" baseline="0">
                <a:ln>
                  <a:noFill/>
                </a:ln>
                <a:solidFill>
                  <a:srgbClr val="007CC3"/>
                </a:solidFill>
              </a:rPr>
              <a:t> ( INR Crs.)</a:t>
            </a:r>
            <a:endParaRPr lang="en-IN" sz="1100" b="1">
              <a:ln>
                <a:noFill/>
              </a:ln>
              <a:solidFill>
                <a:srgbClr val="007CC3"/>
              </a:solidFill>
            </a:endParaRPr>
          </a:p>
        </xdr:txBody>
      </xdr:sp>
      <xdr:cxnSp macro="">
        <xdr:nvCxnSpPr>
          <xdr:cNvPr id="32" name="Straight Connector 31">
            <a:extLst>
              <a:ext uri="{FF2B5EF4-FFF2-40B4-BE49-F238E27FC236}">
                <a16:creationId xmlns:a16="http://schemas.microsoft.com/office/drawing/2014/main" id="{74A3C06C-8B53-4D66-B024-6DD8A5201E3C}"/>
              </a:ext>
            </a:extLst>
          </xdr:cNvPr>
          <xdr:cNvCxnSpPr/>
        </xdr:nvCxnSpPr>
        <xdr:spPr>
          <a:xfrm>
            <a:off x="3607254" y="2492829"/>
            <a:ext cx="2168979" cy="9525"/>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32</xdr:row>
      <xdr:rowOff>163286</xdr:rowOff>
    </xdr:from>
    <xdr:to>
      <xdr:col>1</xdr:col>
      <xdr:colOff>2721428</xdr:colOff>
      <xdr:row>45</xdr:row>
      <xdr:rowOff>127908</xdr:rowOff>
    </xdr:to>
    <xdr:grpSp>
      <xdr:nvGrpSpPr>
        <xdr:cNvPr id="46" name="Group 45">
          <a:extLst>
            <a:ext uri="{FF2B5EF4-FFF2-40B4-BE49-F238E27FC236}">
              <a16:creationId xmlns:a16="http://schemas.microsoft.com/office/drawing/2014/main" id="{895EA2D4-8BB6-53F9-4818-EEB50CE25E7F}"/>
            </a:ext>
          </a:extLst>
        </xdr:cNvPr>
        <xdr:cNvGrpSpPr/>
      </xdr:nvGrpSpPr>
      <xdr:grpSpPr>
        <a:xfrm>
          <a:off x="0" y="5929086"/>
          <a:ext cx="2848428" cy="2386089"/>
          <a:chOff x="130629" y="4343400"/>
          <a:chExt cx="3075213" cy="1815193"/>
        </a:xfrm>
      </xdr:grpSpPr>
      <xdr:graphicFrame macro="">
        <xdr:nvGraphicFramePr>
          <xdr:cNvPr id="37" name="Chart 36">
            <a:extLst>
              <a:ext uri="{FF2B5EF4-FFF2-40B4-BE49-F238E27FC236}">
                <a16:creationId xmlns:a16="http://schemas.microsoft.com/office/drawing/2014/main" id="{D8C76E2E-EB58-4F3C-BF2A-133F7AC54B82}"/>
              </a:ext>
            </a:extLst>
          </xdr:cNvPr>
          <xdr:cNvGraphicFramePr>
            <a:graphicFrameLocks/>
          </xdr:cNvGraphicFramePr>
        </xdr:nvGraphicFramePr>
        <xdr:xfrm>
          <a:off x="130629" y="4569279"/>
          <a:ext cx="3075213" cy="1589314"/>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8" name="TextBox 37">
            <a:extLst>
              <a:ext uri="{FF2B5EF4-FFF2-40B4-BE49-F238E27FC236}">
                <a16:creationId xmlns:a16="http://schemas.microsoft.com/office/drawing/2014/main" id="{76F024E6-E560-42CF-9319-5CABAF262A79}"/>
              </a:ext>
            </a:extLst>
          </xdr:cNvPr>
          <xdr:cNvSpPr txBox="1"/>
        </xdr:nvSpPr>
        <xdr:spPr>
          <a:xfrm>
            <a:off x="691803" y="4356761"/>
            <a:ext cx="1596045" cy="26280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ln>
                  <a:noFill/>
                </a:ln>
                <a:solidFill>
                  <a:srgbClr val="007CC3"/>
                </a:solidFill>
              </a:rPr>
              <a:t>Return on Equity </a:t>
            </a:r>
            <a:r>
              <a:rPr lang="en-IN" sz="1100" b="1" baseline="0">
                <a:ln>
                  <a:noFill/>
                </a:ln>
                <a:solidFill>
                  <a:srgbClr val="007CC3"/>
                </a:solidFill>
              </a:rPr>
              <a:t>(%)</a:t>
            </a:r>
            <a:endParaRPr lang="en-IN" sz="1100" b="1">
              <a:ln>
                <a:noFill/>
              </a:ln>
              <a:solidFill>
                <a:srgbClr val="007CC3"/>
              </a:solidFill>
            </a:endParaRPr>
          </a:p>
        </xdr:txBody>
      </xdr:sp>
      <xdr:cxnSp macro="">
        <xdr:nvCxnSpPr>
          <xdr:cNvPr id="39" name="Straight Connector 38">
            <a:extLst>
              <a:ext uri="{FF2B5EF4-FFF2-40B4-BE49-F238E27FC236}">
                <a16:creationId xmlns:a16="http://schemas.microsoft.com/office/drawing/2014/main" id="{BFB551EA-9935-48B8-B79C-09707374820A}"/>
              </a:ext>
            </a:extLst>
          </xdr:cNvPr>
          <xdr:cNvCxnSpPr/>
        </xdr:nvCxnSpPr>
        <xdr:spPr>
          <a:xfrm>
            <a:off x="341540" y="4343400"/>
            <a:ext cx="2348503" cy="144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119743</xdr:colOff>
      <xdr:row>32</xdr:row>
      <xdr:rowOff>162222</xdr:rowOff>
    </xdr:from>
    <xdr:to>
      <xdr:col>7</xdr:col>
      <xdr:colOff>582385</xdr:colOff>
      <xdr:row>45</xdr:row>
      <xdr:rowOff>138794</xdr:rowOff>
    </xdr:to>
    <xdr:grpSp>
      <xdr:nvGrpSpPr>
        <xdr:cNvPr id="43" name="Group 42">
          <a:extLst>
            <a:ext uri="{FF2B5EF4-FFF2-40B4-BE49-F238E27FC236}">
              <a16:creationId xmlns:a16="http://schemas.microsoft.com/office/drawing/2014/main" id="{1A66E9A2-8037-9DF5-7FCE-2D6334F32AC1}"/>
            </a:ext>
          </a:extLst>
        </xdr:cNvPr>
        <xdr:cNvGrpSpPr/>
      </xdr:nvGrpSpPr>
      <xdr:grpSpPr>
        <a:xfrm>
          <a:off x="5902476" y="5928022"/>
          <a:ext cx="3146576" cy="2398039"/>
          <a:chOff x="3396343" y="4516586"/>
          <a:chExt cx="2901042" cy="1827064"/>
        </a:xfrm>
      </xdr:grpSpPr>
      <xdr:graphicFrame macro="">
        <xdr:nvGraphicFramePr>
          <xdr:cNvPr id="40" name="Chart 39">
            <a:extLst>
              <a:ext uri="{FF2B5EF4-FFF2-40B4-BE49-F238E27FC236}">
                <a16:creationId xmlns:a16="http://schemas.microsoft.com/office/drawing/2014/main" id="{2319AC91-ADD7-43E7-A539-4046848EE0B5}"/>
              </a:ext>
            </a:extLst>
          </xdr:cNvPr>
          <xdr:cNvGraphicFramePr>
            <a:graphicFrameLocks/>
          </xdr:cNvGraphicFramePr>
        </xdr:nvGraphicFramePr>
        <xdr:xfrm>
          <a:off x="3396343" y="4754336"/>
          <a:ext cx="2901042" cy="1589314"/>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41" name="TextBox 40">
            <a:extLst>
              <a:ext uri="{FF2B5EF4-FFF2-40B4-BE49-F238E27FC236}">
                <a16:creationId xmlns:a16="http://schemas.microsoft.com/office/drawing/2014/main" id="{D19E4249-7349-494F-B1B4-E7338048DDFA}"/>
              </a:ext>
            </a:extLst>
          </xdr:cNvPr>
          <xdr:cNvSpPr txBox="1"/>
        </xdr:nvSpPr>
        <xdr:spPr>
          <a:xfrm>
            <a:off x="4255464" y="4516586"/>
            <a:ext cx="1390650" cy="26280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ln>
                  <a:noFill/>
                </a:ln>
                <a:solidFill>
                  <a:srgbClr val="007CC3"/>
                </a:solidFill>
              </a:rPr>
              <a:t>Equity Multiplier</a:t>
            </a:r>
          </a:p>
        </xdr:txBody>
      </xdr:sp>
      <xdr:cxnSp macro="">
        <xdr:nvCxnSpPr>
          <xdr:cNvPr id="42" name="Straight Connector 41">
            <a:extLst>
              <a:ext uri="{FF2B5EF4-FFF2-40B4-BE49-F238E27FC236}">
                <a16:creationId xmlns:a16="http://schemas.microsoft.com/office/drawing/2014/main" id="{C23A9D92-FE3A-4677-89A8-89287F52C91D}"/>
              </a:ext>
            </a:extLst>
          </xdr:cNvPr>
          <xdr:cNvCxnSpPr/>
        </xdr:nvCxnSpPr>
        <xdr:spPr>
          <a:xfrm>
            <a:off x="3607254" y="4528457"/>
            <a:ext cx="2168979" cy="9525"/>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0</xdr:colOff>
      <xdr:row>19</xdr:row>
      <xdr:rowOff>87086</xdr:rowOff>
    </xdr:from>
    <xdr:to>
      <xdr:col>3</xdr:col>
      <xdr:colOff>97970</xdr:colOff>
      <xdr:row>32</xdr:row>
      <xdr:rowOff>51707</xdr:rowOff>
    </xdr:to>
    <xdr:grpSp>
      <xdr:nvGrpSpPr>
        <xdr:cNvPr id="62" name="Group 61">
          <a:extLst>
            <a:ext uri="{FF2B5EF4-FFF2-40B4-BE49-F238E27FC236}">
              <a16:creationId xmlns:a16="http://schemas.microsoft.com/office/drawing/2014/main" id="{B5F07ED3-2348-8D2D-A295-70AAADD67186}"/>
            </a:ext>
          </a:extLst>
        </xdr:cNvPr>
        <xdr:cNvGrpSpPr/>
      </xdr:nvGrpSpPr>
      <xdr:grpSpPr>
        <a:xfrm>
          <a:off x="2954867" y="3431419"/>
          <a:ext cx="2925836" cy="2386088"/>
          <a:chOff x="2960914" y="2307771"/>
          <a:chExt cx="2928256" cy="1815193"/>
        </a:xfrm>
      </xdr:grpSpPr>
      <xdr:graphicFrame macro="">
        <xdr:nvGraphicFramePr>
          <xdr:cNvPr id="59" name="Chart 58">
            <a:extLst>
              <a:ext uri="{FF2B5EF4-FFF2-40B4-BE49-F238E27FC236}">
                <a16:creationId xmlns:a16="http://schemas.microsoft.com/office/drawing/2014/main" id="{981CC46D-FE3D-4926-A621-E6BE892BE756}"/>
              </a:ext>
            </a:extLst>
          </xdr:cNvPr>
          <xdr:cNvGraphicFramePr>
            <a:graphicFrameLocks/>
          </xdr:cNvGraphicFramePr>
        </xdr:nvGraphicFramePr>
        <xdr:xfrm>
          <a:off x="2960914" y="2533650"/>
          <a:ext cx="2928256" cy="1589314"/>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60" name="TextBox 59">
            <a:extLst>
              <a:ext uri="{FF2B5EF4-FFF2-40B4-BE49-F238E27FC236}">
                <a16:creationId xmlns:a16="http://schemas.microsoft.com/office/drawing/2014/main" id="{986E9866-4851-4668-B118-7E041DDF3414}"/>
              </a:ext>
            </a:extLst>
          </xdr:cNvPr>
          <xdr:cNvSpPr txBox="1"/>
        </xdr:nvSpPr>
        <xdr:spPr>
          <a:xfrm>
            <a:off x="3567792" y="2329543"/>
            <a:ext cx="1390650"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ln>
                  <a:noFill/>
                </a:ln>
                <a:solidFill>
                  <a:srgbClr val="007CC3"/>
                </a:solidFill>
              </a:rPr>
              <a:t>Net Profit</a:t>
            </a:r>
            <a:r>
              <a:rPr lang="en-IN" sz="1100" b="1" baseline="0">
                <a:ln>
                  <a:noFill/>
                </a:ln>
                <a:solidFill>
                  <a:srgbClr val="007CC3"/>
                </a:solidFill>
              </a:rPr>
              <a:t> ( INR Crs.)</a:t>
            </a:r>
            <a:endParaRPr lang="en-IN" sz="1100" b="1">
              <a:ln>
                <a:noFill/>
              </a:ln>
              <a:solidFill>
                <a:srgbClr val="007CC3"/>
              </a:solidFill>
            </a:endParaRPr>
          </a:p>
        </xdr:txBody>
      </xdr:sp>
      <xdr:cxnSp macro="">
        <xdr:nvCxnSpPr>
          <xdr:cNvPr id="61" name="Straight Connector 60">
            <a:extLst>
              <a:ext uri="{FF2B5EF4-FFF2-40B4-BE49-F238E27FC236}">
                <a16:creationId xmlns:a16="http://schemas.microsoft.com/office/drawing/2014/main" id="{9FC7531C-CEA1-40A1-B671-B087F104A270}"/>
              </a:ext>
            </a:extLst>
          </xdr:cNvPr>
          <xdr:cNvCxnSpPr/>
        </xdr:nvCxnSpPr>
        <xdr:spPr>
          <a:xfrm>
            <a:off x="3171824" y="2307771"/>
            <a:ext cx="2168979" cy="9525"/>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0</xdr:colOff>
      <xdr:row>33</xdr:row>
      <xdr:rowOff>0</xdr:rowOff>
    </xdr:from>
    <xdr:to>
      <xdr:col>3</xdr:col>
      <xdr:colOff>97970</xdr:colOff>
      <xdr:row>45</xdr:row>
      <xdr:rowOff>149679</xdr:rowOff>
    </xdr:to>
    <xdr:grpSp>
      <xdr:nvGrpSpPr>
        <xdr:cNvPr id="63" name="Group 62">
          <a:extLst>
            <a:ext uri="{FF2B5EF4-FFF2-40B4-BE49-F238E27FC236}">
              <a16:creationId xmlns:a16="http://schemas.microsoft.com/office/drawing/2014/main" id="{C23AE87B-9ACB-4E0E-A4FB-2B7EA702FE04}"/>
            </a:ext>
          </a:extLst>
        </xdr:cNvPr>
        <xdr:cNvGrpSpPr/>
      </xdr:nvGrpSpPr>
      <xdr:grpSpPr>
        <a:xfrm>
          <a:off x="2954867" y="5952067"/>
          <a:ext cx="2925836" cy="2384879"/>
          <a:chOff x="2960914" y="2307771"/>
          <a:chExt cx="2928256" cy="1815193"/>
        </a:xfrm>
      </xdr:grpSpPr>
      <xdr:graphicFrame macro="">
        <xdr:nvGraphicFramePr>
          <xdr:cNvPr id="64" name="Chart 63">
            <a:extLst>
              <a:ext uri="{FF2B5EF4-FFF2-40B4-BE49-F238E27FC236}">
                <a16:creationId xmlns:a16="http://schemas.microsoft.com/office/drawing/2014/main" id="{57BEE263-2C20-0944-E9B1-512D64403877}"/>
              </a:ext>
            </a:extLst>
          </xdr:cNvPr>
          <xdr:cNvGraphicFramePr>
            <a:graphicFrameLocks/>
          </xdr:cNvGraphicFramePr>
        </xdr:nvGraphicFramePr>
        <xdr:xfrm>
          <a:off x="2960914" y="2533650"/>
          <a:ext cx="2928256" cy="1589314"/>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65" name="TextBox 64">
            <a:extLst>
              <a:ext uri="{FF2B5EF4-FFF2-40B4-BE49-F238E27FC236}">
                <a16:creationId xmlns:a16="http://schemas.microsoft.com/office/drawing/2014/main" id="{8DBCF583-0041-39F8-EAFF-2D8929AE7833}"/>
              </a:ext>
            </a:extLst>
          </xdr:cNvPr>
          <xdr:cNvSpPr txBox="1"/>
        </xdr:nvSpPr>
        <xdr:spPr>
          <a:xfrm>
            <a:off x="3567792" y="2329543"/>
            <a:ext cx="1390650" cy="26298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ln>
                  <a:noFill/>
                </a:ln>
                <a:solidFill>
                  <a:srgbClr val="007CC3"/>
                </a:solidFill>
              </a:rPr>
              <a:t>Return on Assets</a:t>
            </a:r>
            <a:r>
              <a:rPr lang="en-IN" sz="1100" b="1" baseline="0">
                <a:ln>
                  <a:noFill/>
                </a:ln>
                <a:solidFill>
                  <a:srgbClr val="007CC3"/>
                </a:solidFill>
              </a:rPr>
              <a:t> (%)</a:t>
            </a:r>
            <a:endParaRPr lang="en-IN" sz="1100" b="1">
              <a:ln>
                <a:noFill/>
              </a:ln>
              <a:solidFill>
                <a:srgbClr val="007CC3"/>
              </a:solidFill>
            </a:endParaRPr>
          </a:p>
        </xdr:txBody>
      </xdr:sp>
      <xdr:cxnSp macro="">
        <xdr:nvCxnSpPr>
          <xdr:cNvPr id="66" name="Straight Connector 65">
            <a:extLst>
              <a:ext uri="{FF2B5EF4-FFF2-40B4-BE49-F238E27FC236}">
                <a16:creationId xmlns:a16="http://schemas.microsoft.com/office/drawing/2014/main" id="{5D982618-1F75-BB93-F7F4-2A0DD241F44D}"/>
              </a:ext>
            </a:extLst>
          </xdr:cNvPr>
          <xdr:cNvCxnSpPr/>
        </xdr:nvCxnSpPr>
        <xdr:spPr>
          <a:xfrm>
            <a:off x="3171824" y="2307771"/>
            <a:ext cx="2168979" cy="9525"/>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8466</xdr:colOff>
      <xdr:row>46</xdr:row>
      <xdr:rowOff>101598</xdr:rowOff>
    </xdr:from>
    <xdr:to>
      <xdr:col>7</xdr:col>
      <xdr:colOff>423333</xdr:colOff>
      <xdr:row>67</xdr:row>
      <xdr:rowOff>59267</xdr:rowOff>
    </xdr:to>
    <xdr:sp macro="" textlink="">
      <xdr:nvSpPr>
        <xdr:cNvPr id="4" name="TextBox 3">
          <a:extLst>
            <a:ext uri="{FF2B5EF4-FFF2-40B4-BE49-F238E27FC236}">
              <a16:creationId xmlns:a16="http://schemas.microsoft.com/office/drawing/2014/main" id="{20F2E030-8088-7E56-FBBB-9C0012EDD8B1}"/>
            </a:ext>
          </a:extLst>
        </xdr:cNvPr>
        <xdr:cNvSpPr txBox="1"/>
      </xdr:nvSpPr>
      <xdr:spPr>
        <a:xfrm>
          <a:off x="135466" y="8475131"/>
          <a:ext cx="8754534" cy="38692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007CC3"/>
              </a:solidFill>
              <a:latin typeface="Calibri "/>
            </a:rPr>
            <a:t>Recent</a:t>
          </a:r>
          <a:r>
            <a:rPr lang="en-IN" sz="1600" b="1" baseline="0">
              <a:solidFill>
                <a:srgbClr val="007CC3"/>
              </a:solidFill>
              <a:latin typeface="Calibri "/>
            </a:rPr>
            <a:t> Updates</a:t>
          </a:r>
          <a:endParaRPr lang="en-IN" sz="1200" b="1">
            <a:solidFill>
              <a:srgbClr val="007CC3"/>
            </a:solidFill>
            <a:latin typeface="Calibri "/>
          </a:endParaRPr>
        </a:p>
        <a:p>
          <a:pPr marL="171450" lvl="0" indent="-171450">
            <a:buFont typeface="Arial" panose="020B0604020202020204" pitchFamily="34" charset="0"/>
            <a:buChar char="•"/>
          </a:pPr>
          <a:r>
            <a:rPr lang="en-IN" sz="1100" b="0">
              <a:latin typeface="+mn-lt"/>
            </a:rPr>
            <a:t>Revenue growth: Q1 revenue increased 14% year-on-year in rupee terms.</a:t>
          </a:r>
        </a:p>
        <a:p>
          <a:pPr marL="171450" lvl="0" indent="-171450">
            <a:buFont typeface="Arial" panose="020B0604020202020204" pitchFamily="34" charset="0"/>
            <a:buChar char="•"/>
          </a:pPr>
          <a:r>
            <a:rPr lang="en-IN" sz="1100" b="0">
              <a:latin typeface="+mn-lt"/>
            </a:rPr>
            <a:t>Net profit growth: Increased approximately 12.2% year-on-year.</a:t>
          </a:r>
        </a:p>
        <a:p>
          <a:pPr marL="171450" lvl="0" indent="-171450">
            <a:buFont typeface="Arial" panose="020B0604020202020204" pitchFamily="34" charset="0"/>
            <a:buChar char="•"/>
          </a:pPr>
          <a:r>
            <a:rPr lang="en-IN" sz="1100" b="0">
              <a:latin typeface="+mn-lt"/>
            </a:rPr>
            <a:t>AI business: AI-related services accounted for 8.2% of Q1 revenue.</a:t>
          </a:r>
        </a:p>
        <a:p>
          <a:pPr marL="171450" lvl="0" indent="-171450">
            <a:buFont typeface="Arial" panose="020B0604020202020204" pitchFamily="34" charset="0"/>
            <a:buChar char="•"/>
          </a:pPr>
          <a:r>
            <a:rPr lang="en-IN" sz="1100" b="0">
              <a:latin typeface="+mn-lt"/>
            </a:rPr>
            <a:t>FY2026–27 revenue guidance: 1.5%–3.0% growth in constant-currency terms.</a:t>
          </a:r>
        </a:p>
        <a:p>
          <a:pPr marL="171450" lvl="0" indent="-171450">
            <a:buFont typeface="Arial" panose="020B0604020202020204" pitchFamily="34" charset="0"/>
            <a:buChar char="•"/>
          </a:pPr>
          <a:r>
            <a:rPr lang="en-IN" sz="1100" b="0">
              <a:latin typeface="+mn-lt"/>
            </a:rPr>
            <a:t>Operating margin guidance: 20%–22%.</a:t>
          </a:r>
        </a:p>
        <a:p>
          <a:pPr marL="171450" lvl="0" indent="-171450">
            <a:buFont typeface="Arial" panose="020B0604020202020204" pitchFamily="34" charset="0"/>
            <a:buChar char="•"/>
          </a:pPr>
          <a:r>
            <a:rPr lang="en-IN" sz="1200">
              <a:latin typeface="+mn-lt"/>
            </a:rPr>
            <a:t>FY2025–26 revenue was approximately ₹1,78,650 crore, reflecting growth compared with the previous financial year.</a:t>
          </a:r>
        </a:p>
        <a:p>
          <a:pPr marL="171450" lvl="0" indent="-171450">
            <a:buFont typeface="Arial" panose="020B0604020202020204" pitchFamily="34" charset="0"/>
            <a:buChar char="•"/>
          </a:pPr>
          <a:r>
            <a:rPr lang="en-IN" sz="1200">
              <a:latin typeface="+mn-lt"/>
            </a:rPr>
            <a:t>FY2025–26 net profit was approximately ₹29,440 crore, indicating continued profitability.</a:t>
          </a:r>
        </a:p>
        <a:p>
          <a:pPr marL="171450" lvl="0" indent="-171450">
            <a:buFont typeface="Arial" panose="020B0604020202020204" pitchFamily="34" charset="0"/>
            <a:buChar char="•"/>
          </a:pPr>
          <a:r>
            <a:rPr lang="en-IN" sz="1200">
              <a:latin typeface="+mn-lt"/>
            </a:rPr>
            <a:t>Operating margin stood at approximately 20.3%, reflecting its ability to maintain operating profitability.</a:t>
          </a:r>
        </a:p>
        <a:p>
          <a:pPr marL="171450" lvl="0" indent="-171450">
            <a:buFont typeface="Arial" panose="020B0604020202020204" pitchFamily="34" charset="0"/>
            <a:buChar char="•"/>
          </a:pPr>
          <a:r>
            <a:rPr lang="en-IN" sz="1200">
              <a:latin typeface="+mn-lt"/>
            </a:rPr>
            <a:t>The company is expanding its focus on Artificial Intelligence (AI), generative AI, automation and cloud services.</a:t>
          </a:r>
        </a:p>
        <a:p>
          <a:pPr marL="171450" lvl="0" indent="-171450">
            <a:buFont typeface="Arial" panose="020B0604020202020204" pitchFamily="34" charset="0"/>
            <a:buChar char="•"/>
          </a:pPr>
          <a:r>
            <a:rPr lang="en-IN" sz="1200">
              <a:latin typeface="+mn-lt"/>
            </a:rPr>
            <a:t>Infosys serves clients across financial services, manufacturing, retail, healthcare and other industries.</a:t>
          </a:r>
        </a:p>
        <a:p>
          <a:pPr marL="171450" lvl="0" indent="-171450">
            <a:buFont typeface="Arial" panose="020B0604020202020204" pitchFamily="34" charset="0"/>
            <a:buChar char="•"/>
          </a:pPr>
          <a:r>
            <a:rPr lang="en-IN" sz="1200">
              <a:latin typeface="+mn-lt"/>
            </a:rPr>
            <a:t>International markets, particularly North America and Europe, are important sources of revenue.</a:t>
          </a:r>
        </a:p>
        <a:p>
          <a:pPr marL="171450" lvl="0" indent="-171450">
            <a:buFont typeface="Arial" panose="020B0604020202020204" pitchFamily="34" charset="0"/>
            <a:buChar char="•"/>
          </a:pPr>
          <a:r>
            <a:rPr lang="en-IN" sz="1200">
              <a:latin typeface="+mn-lt"/>
            </a:rPr>
            <a:t>Strong cash generation and an established client base support business stability and shareholder returns.</a:t>
          </a:r>
        </a:p>
        <a:p>
          <a:pPr marL="171450" lvl="0" indent="-171450">
            <a:buFont typeface="Arial" panose="020B0604020202020204" pitchFamily="34" charset="0"/>
            <a:buChar char="•"/>
          </a:pPr>
          <a:r>
            <a:rPr lang="en-IN" sz="1200">
              <a:latin typeface="+mn-lt"/>
            </a:rPr>
            <a:t>Key risks include global IT spending uncertainty, competition, wage inflation, foreign exchange fluctuations and rapid technological changes.</a:t>
          </a:r>
        </a:p>
        <a:p>
          <a:pPr marL="171450" lvl="0" indent="-171450">
            <a:buFont typeface="Arial" panose="020B0604020202020204" pitchFamily="34" charset="0"/>
            <a:buChar char="•"/>
          </a:pPr>
          <a:r>
            <a:rPr lang="en-IN" sz="1200">
              <a:latin typeface="+mn-lt"/>
            </a:rPr>
            <a:t>Management's FY2026–27 guidance indicates continued growth, with a focus on maintaining operating margins.</a:t>
          </a:r>
        </a:p>
        <a:p>
          <a:pPr marL="171450" lvl="0" indent="-171450">
            <a:buFont typeface="Arial" panose="020B0604020202020204" pitchFamily="34" charset="0"/>
            <a:buChar char="•"/>
          </a:pPr>
          <a:r>
            <a:rPr lang="en-IN" sz="1200">
              <a:latin typeface="+mn-lt"/>
            </a:rPr>
            <a:t>Overall outlook: Infosys has an established business model and strong technology capabilities, while future performance will depend on client demand, AI adoption, revenue growth and cost management.</a:t>
          </a:r>
        </a:p>
        <a:p>
          <a:endParaRPr lang="en-IN" sz="1200" b="1">
            <a:latin typeface="Calibri "/>
          </a:endParaRPr>
        </a:p>
      </xdr:txBody>
    </xdr:sp>
    <xdr:clientData/>
  </xdr:twoCellAnchor>
  <xdr:oneCellAnchor>
    <xdr:from>
      <xdr:col>0</xdr:col>
      <xdr:colOff>0</xdr:colOff>
      <xdr:row>72</xdr:row>
      <xdr:rowOff>42332</xdr:rowOff>
    </xdr:from>
    <xdr:ext cx="9169400" cy="431801"/>
    <xdr:sp macro="" textlink="">
      <xdr:nvSpPr>
        <xdr:cNvPr id="10" name="TextBox 9">
          <a:extLst>
            <a:ext uri="{FF2B5EF4-FFF2-40B4-BE49-F238E27FC236}">
              <a16:creationId xmlns:a16="http://schemas.microsoft.com/office/drawing/2014/main" id="{B252B09E-EBA4-E92D-48B3-1D9ED08E136F}"/>
            </a:ext>
          </a:extLst>
        </xdr:cNvPr>
        <xdr:cNvSpPr txBox="1"/>
      </xdr:nvSpPr>
      <xdr:spPr>
        <a:xfrm>
          <a:off x="0" y="13123332"/>
          <a:ext cx="9169400" cy="431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rgbClr val="007CC3"/>
              </a:solidFill>
              <a:effectLst/>
              <a:latin typeface="+mn-lt"/>
              <a:ea typeface="+mn-ea"/>
              <a:cs typeface="+mn-cs"/>
            </a:rPr>
            <a:t>Dupont</a:t>
          </a:r>
          <a:r>
            <a:rPr lang="en-IN" sz="2000" b="1" baseline="0">
              <a:solidFill>
                <a:srgbClr val="007CC3"/>
              </a:solidFill>
              <a:effectLst/>
              <a:latin typeface="+mn-lt"/>
              <a:ea typeface="+mn-ea"/>
              <a:cs typeface="+mn-cs"/>
            </a:rPr>
            <a:t> Analysis - Return on Equity &amp; Return on Assets </a:t>
          </a:r>
          <a:endParaRPr lang="en-IN" sz="2000" b="1">
            <a:solidFill>
              <a:srgbClr val="007CC3"/>
            </a:solidFill>
            <a:effectLst/>
          </a:endParaRPr>
        </a:p>
        <a:p>
          <a:endParaRPr lang="en-IN" sz="1100"/>
        </a:p>
      </xdr:txBody>
    </xdr:sp>
    <xdr:clientData/>
  </xdr:oneCellAnchor>
  <xdr:oneCellAnchor>
    <xdr:from>
      <xdr:col>0</xdr:col>
      <xdr:colOff>110066</xdr:colOff>
      <xdr:row>115</xdr:row>
      <xdr:rowOff>8467</xdr:rowOff>
    </xdr:from>
    <xdr:ext cx="9033933" cy="3411575"/>
    <xdr:sp macro="" textlink="">
      <xdr:nvSpPr>
        <xdr:cNvPr id="11" name="TextBox 10">
          <a:extLst>
            <a:ext uri="{FF2B5EF4-FFF2-40B4-BE49-F238E27FC236}">
              <a16:creationId xmlns:a16="http://schemas.microsoft.com/office/drawing/2014/main" id="{C68A84C7-BDE7-17D0-5C40-889A99470DF7}"/>
            </a:ext>
          </a:extLst>
        </xdr:cNvPr>
        <xdr:cNvSpPr txBox="1"/>
      </xdr:nvSpPr>
      <xdr:spPr>
        <a:xfrm>
          <a:off x="110066" y="21132800"/>
          <a:ext cx="9033933" cy="3411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rgbClr val="007CC3"/>
              </a:solidFill>
              <a:effectLst/>
              <a:latin typeface="+mn-lt"/>
              <a:ea typeface="+mn-ea"/>
              <a:cs typeface="+mn-cs"/>
            </a:rPr>
            <a:t>Dupont Summary</a:t>
          </a:r>
          <a:endParaRPr lang="en-IN" sz="1200">
            <a:solidFill>
              <a:srgbClr val="007CC3"/>
            </a:solidFill>
            <a:effectLst/>
          </a:endParaRPr>
        </a:p>
        <a:p>
          <a:pPr marL="171450" indent="-171450">
            <a:buFont typeface="Arial" panose="020B0604020202020204" pitchFamily="34" charset="0"/>
            <a:buChar char="•"/>
          </a:pPr>
          <a:r>
            <a:rPr lang="en-IN"/>
            <a:t>Strong Return on Equity (ROE): Infosys maintained a high ROE throughout the five-year period, increasing from 29.15% in FY2022 to 31.21% in FY2026. This indicates that the company consistently generated strong profits relative to shareholders’ equity.</a:t>
          </a:r>
        </a:p>
        <a:p>
          <a:pPr marL="171450" indent="-171450">
            <a:buFont typeface="Arial" panose="020B0604020202020204" pitchFamily="34" charset="0"/>
            <a:buChar char="•"/>
          </a:pPr>
          <a:r>
            <a:rPr lang="en-IN"/>
            <a:t>ROE Improvement in FY2026: ROE increased from 29.05% in FY2025 to 31.21% in FY2026, reflecting improved profitability and asset utilisation alongside a relatively moderate increase in financial leverage.</a:t>
          </a:r>
        </a:p>
        <a:p>
          <a:pPr marL="171450" indent="-171450">
            <a:buFont typeface="Arial" panose="020B0604020202020204" pitchFamily="34" charset="0"/>
            <a:buChar char="•"/>
          </a:pPr>
          <a:r>
            <a:rPr lang="en-IN"/>
            <a:t>Net Profit Margin: Net profit margin declined from 18.18% in FY2022 to 16.48% in FY2026. Despite this overall decline, the margin improved slightly from 16.39% in FY2025, indicating a modest recovery in the proportion of revenue converted into net profit.</a:t>
          </a:r>
        </a:p>
        <a:p>
          <a:pPr marL="171450" indent="-171450">
            <a:buFont typeface="Arial" panose="020B0604020202020204" pitchFamily="34" charset="0"/>
            <a:buChar char="•"/>
          </a:pPr>
          <a:r>
            <a:rPr lang="en-IN"/>
            <a:t>Revenue Growth: Revenue increased from ₹1,21,641 crore in FY2022 to ₹1,78,650 crore in FY2026. This consistent expansion demonstrates Infosys’s ability to grow its business and generate higher sales over the period.</a:t>
          </a:r>
        </a:p>
        <a:p>
          <a:pPr marL="171450" indent="-171450">
            <a:buFont typeface="Arial" panose="020B0604020202020204" pitchFamily="34" charset="0"/>
            <a:buChar char="•"/>
          </a:pPr>
          <a:r>
            <a:rPr lang="en-IN"/>
            <a:t>Asset Turnover Ratio: Asset turnover improved from approximately 1.1x in FY2022 to 1.2x in FY2026. This suggests that Infosys generated more revenue per rupee of average assets, indicating improved asset utilisation.</a:t>
          </a:r>
        </a:p>
        <a:p>
          <a:pPr marL="171450" indent="-171450">
            <a:buFont typeface="Arial" panose="020B0604020202020204" pitchFamily="34" charset="0"/>
            <a:buChar char="•"/>
          </a:pPr>
          <a:r>
            <a:rPr lang="en-IN"/>
            <a:t>Return on Assets (ROA): ROA increased from 19.72% in FY2022 to 20.13% in FY2024, before declining to 18.82% in FY2025 and recovering to 19.49% in FY2026. The recovery indicates improved profitability relative to the company’s asset base.</a:t>
          </a:r>
        </a:p>
        <a:p>
          <a:pPr marL="171450" indent="-171450">
            <a:buFont typeface="Arial" panose="020B0604020202020204" pitchFamily="34" charset="0"/>
            <a:buChar char="•"/>
          </a:pPr>
          <a:r>
            <a:rPr lang="en-IN"/>
            <a:t>Equity Multiplier: The equity multiplier remained relatively stable between 1.5x and 1.6x throughout the period. This suggests that Infosys’s ROE was supported primarily by profitability and asset efficiency rather than a substantial increase in financial leverage.</a:t>
          </a:r>
        </a:p>
        <a:p>
          <a:pPr marL="171450" indent="-171450">
            <a:buFont typeface="Arial" panose="020B0604020202020204" pitchFamily="34" charset="0"/>
            <a:buChar char="•"/>
          </a:pPr>
          <a:r>
            <a:rPr lang="en-IN"/>
            <a:t>FY2025 Performance: ROE declined to 29.05% and ROA fell to 18.82% in FY2025. The lower net profit margin and asset turnover indicate that profitability and asset efficiency both contributed to the weaker returns in that year.</a:t>
          </a:r>
        </a:p>
        <a:p>
          <a:pPr marL="171450" indent="-171450">
            <a:buFont typeface="Arial" panose="020B0604020202020204" pitchFamily="34" charset="0"/>
            <a:buChar char="•"/>
          </a:pPr>
          <a:r>
            <a:rPr lang="en-IN"/>
            <a:t>FY2026 Recovery: Net profit increased from ₹26,713 crore to ₹29,440 crore, while revenue increased from ₹1,62,990 crore to ₹1,78,650 crore. Alongside the improvement in asset turnover and net profit margin, these results supported the recovery in ROE and ROA.</a:t>
          </a:r>
        </a:p>
      </xdr:txBody>
    </xdr:sp>
    <xdr:clientData/>
  </xdr:oneCellAnchor>
  <xdr:oneCellAnchor>
    <xdr:from>
      <xdr:col>1</xdr:col>
      <xdr:colOff>1</xdr:colOff>
      <xdr:row>134</xdr:row>
      <xdr:rowOff>33865</xdr:rowOff>
    </xdr:from>
    <xdr:ext cx="9186332" cy="499535"/>
    <xdr:sp macro="" textlink="">
      <xdr:nvSpPr>
        <xdr:cNvPr id="13" name="TextBox 12">
          <a:extLst>
            <a:ext uri="{FF2B5EF4-FFF2-40B4-BE49-F238E27FC236}">
              <a16:creationId xmlns:a16="http://schemas.microsoft.com/office/drawing/2014/main" id="{4290C8EA-31C5-49A9-4C1F-6DE5CEBDD353}"/>
            </a:ext>
          </a:extLst>
        </xdr:cNvPr>
        <xdr:cNvSpPr txBox="1"/>
      </xdr:nvSpPr>
      <xdr:spPr>
        <a:xfrm>
          <a:off x="127001" y="24697265"/>
          <a:ext cx="9186332" cy="499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900" i="1">
              <a:solidFill>
                <a:srgbClr val="007CC3"/>
              </a:solidFill>
            </a:rPr>
            <a:t>Disclaimer : </a:t>
          </a:r>
          <a:r>
            <a:rPr lang="en-IN" sz="800" i="1">
              <a:solidFill>
                <a:sysClr val="windowText" lastClr="000000"/>
              </a:solidFill>
            </a:rPr>
            <a:t>This report has been prepared for educational and analytical purposes only. The analysis of Infosys Limited is based on publicly available finacial ninformationWhile reasonable care has been taken to ensure the accuracy of the information presented, no assurance is given that all data, assumptions, or estimates are complete or error-free.The preparer accepts no liability for any loss or damage arising from the use of this report or reliance on its contents.</a:t>
          </a:r>
        </a:p>
        <a:p>
          <a:pPr marL="0" marR="0" lvl="0" indent="0" defTabSz="914400" eaLnBrk="1" fontAlgn="auto" latinLnBrk="0" hangingPunct="1">
            <a:lnSpc>
              <a:spcPct val="100000"/>
            </a:lnSpc>
            <a:spcBef>
              <a:spcPts val="0"/>
            </a:spcBef>
            <a:spcAft>
              <a:spcPts val="0"/>
            </a:spcAft>
            <a:buClrTx/>
            <a:buSzTx/>
            <a:buFontTx/>
            <a:buNone/>
            <a:tabLst/>
            <a:defRPr/>
          </a:pPr>
          <a:endParaRPr lang="en-IN"/>
        </a:p>
        <a:p>
          <a:pPr marL="0" marR="0" lvl="0" indent="0" defTabSz="914400" eaLnBrk="1" fontAlgn="auto" latinLnBrk="0" hangingPunct="1">
            <a:lnSpc>
              <a:spcPct val="100000"/>
            </a:lnSpc>
            <a:spcBef>
              <a:spcPts val="0"/>
            </a:spcBef>
            <a:spcAft>
              <a:spcPts val="0"/>
            </a:spcAft>
            <a:buClrTx/>
            <a:buSzTx/>
            <a:buFontTx/>
            <a:buNone/>
            <a:tabLst/>
            <a:defRPr/>
          </a:pPr>
          <a:endParaRPr lang="en-IN"/>
        </a:p>
        <a:p>
          <a:endParaRPr lang="en-IN" sz="1100">
            <a:solidFill>
              <a:srgbClr val="007CC3"/>
            </a:solidFill>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6</xdr:col>
      <xdr:colOff>601980</xdr:colOff>
      <xdr:row>2</xdr:row>
      <xdr:rowOff>163830</xdr:rowOff>
    </xdr:from>
    <xdr:to>
      <xdr:col>15</xdr:col>
      <xdr:colOff>160020</xdr:colOff>
      <xdr:row>19</xdr:row>
      <xdr:rowOff>160020</xdr:rowOff>
    </xdr:to>
    <xdr:graphicFrame macro="">
      <xdr:nvGraphicFramePr>
        <xdr:cNvPr id="2" name="Chart 1">
          <a:extLst>
            <a:ext uri="{FF2B5EF4-FFF2-40B4-BE49-F238E27FC236}">
              <a16:creationId xmlns:a16="http://schemas.microsoft.com/office/drawing/2014/main" id="{F0CBF14C-A672-B85B-7350-6F092A6647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419100</xdr:colOff>
      <xdr:row>15</xdr:row>
      <xdr:rowOff>114300</xdr:rowOff>
    </xdr:from>
    <xdr:to>
      <xdr:col>14</xdr:col>
      <xdr:colOff>502920</xdr:colOff>
      <xdr:row>15</xdr:row>
      <xdr:rowOff>114300</xdr:rowOff>
    </xdr:to>
    <xdr:cxnSp macro="">
      <xdr:nvCxnSpPr>
        <xdr:cNvPr id="4" name="Straight Connector 3">
          <a:extLst>
            <a:ext uri="{FF2B5EF4-FFF2-40B4-BE49-F238E27FC236}">
              <a16:creationId xmlns:a16="http://schemas.microsoft.com/office/drawing/2014/main" id="{799320EF-51A0-A9D7-934A-AD82C74AC905}"/>
            </a:ext>
          </a:extLst>
        </xdr:cNvPr>
        <xdr:cNvCxnSpPr/>
      </xdr:nvCxnSpPr>
      <xdr:spPr>
        <a:xfrm>
          <a:off x="4526280" y="2857500"/>
          <a:ext cx="4351020" cy="0"/>
        </a:xfrm>
        <a:prstGeom prst="line">
          <a:avLst/>
        </a:prstGeom>
        <a:ln>
          <a:solidFill>
            <a:schemeClr val="accent3">
              <a:lumMod val="40000"/>
              <a:lumOff val="6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tableColumns count="14">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tableColumns count="11">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s>
  <tableStyleInfo showFirstColumn="0" showLastColumn="0" showRowStripes="1" showColumnStripes="0"/>
</table>
</file>

<file path=xl/theme/theme1.xml><?xml version="1.0" encoding="utf-8"?>
<a:theme xmlns:a="http://schemas.openxmlformats.org/drawingml/2006/main" name="Adjacency">
  <a:themeElements>
    <a:clrScheme name="Concourse">
      <a:dk1>
        <a:srgbClr val="000000"/>
      </a:dk1>
      <a:lt1>
        <a:srgbClr val="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majorFont>
      <a:minorFont>
        <a:latin typeface="Calibri"/>
        <a:ea typeface=""/>
        <a:cs typeface=""/>
      </a:minorFont>
    </a:fontScheme>
    <a:fmtScheme>
      <a:fillStyleLst>
        <a:solidFill>
          <a:schemeClr val="phClr"/>
        </a:solidFill>
        <a:solidFill>
          <a:schemeClr val="phClr">
            <a:tint val="55000"/>
          </a:schemeClr>
        </a:solidFill>
        <a:solidFill>
          <a:schemeClr val="phClr"/>
        </a:solidFill>
      </a:fillStyleLst>
      <a:lnStyleLst>
        <a:ln w="12700"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90000"/>
              </a:schemeClr>
            </a:gs>
            <a:gs pos="75000">
              <a:schemeClr val="phClr">
                <a:shade val="100000"/>
              </a:schemeClr>
            </a:gs>
            <a:gs pos="100000">
              <a:schemeClr val="phClr">
                <a:shade val="70000"/>
              </a:schemeClr>
            </a:gs>
          </a:gsLst>
          <a:path path="circle">
            <a:fillToRect l="20000" t="50000" r="100000" b="50000"/>
          </a:path>
          <a:tileRect/>
        </a:gradFill>
        <a:blipFill rotWithShape="1">
          <a:srcRect/>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screener.in/excel/" TargetMode="External"/></Relationships>
</file>

<file path=xl/worksheets/_rels/sheet20.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9.bin"/><Relationship Id="rId1" Type="http://schemas.openxmlformats.org/officeDocument/2006/relationships/hyperlink" Target="http://www.screener.in/"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1.bin"/><Relationship Id="rId1" Type="http://schemas.openxmlformats.org/officeDocument/2006/relationships/hyperlink" Target="http://www.screener.in/"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www.screener.in/"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www.screener.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73C2D-0336-404B-93AB-CA584F53C269}">
  <sheetPr>
    <pageSetUpPr fitToPage="1"/>
  </sheetPr>
  <dimension ref="B2:U52"/>
  <sheetViews>
    <sheetView showGridLines="0" tabSelected="1" topLeftCell="A31" zoomScale="80" zoomScaleNormal="80" workbookViewId="0">
      <selection activeCell="M58" sqref="M58"/>
    </sheetView>
  </sheetViews>
  <sheetFormatPr defaultRowHeight="14.4" x14ac:dyDescent="0.3"/>
  <cols>
    <col min="1" max="1" width="1.88671875" customWidth="1"/>
    <col min="2" max="2" width="51.44140625" bestFit="1" customWidth="1"/>
    <col min="3" max="3" width="13.109375" customWidth="1"/>
    <col min="4" max="4" width="13.33203125" customWidth="1"/>
    <col min="5" max="5" width="13.88671875" bestFit="1" customWidth="1"/>
    <col min="6" max="6" width="9.88671875" customWidth="1"/>
    <col min="7" max="7" width="10.33203125" customWidth="1"/>
    <col min="8" max="8" width="1.33203125" customWidth="1"/>
    <col min="9" max="9" width="17.33203125" bestFit="1" customWidth="1"/>
    <col min="10" max="11" width="11.33203125" customWidth="1"/>
    <col min="12" max="21" width="8.88671875" style="200"/>
  </cols>
  <sheetData>
    <row r="2" spans="2:13" ht="18" x14ac:dyDescent="0.35">
      <c r="B2" s="231" t="str">
        <f>'Data Sheet &gt;'!B1&amp;" - One Page Profile"</f>
        <v>INFOSYS LTD - One Page Profile</v>
      </c>
      <c r="C2" s="231"/>
      <c r="D2" s="231"/>
      <c r="E2" s="231"/>
      <c r="F2" s="231"/>
      <c r="G2" s="231"/>
      <c r="H2" s="231"/>
      <c r="I2" s="231"/>
      <c r="J2" s="231"/>
      <c r="K2" s="231"/>
    </row>
    <row r="3" spans="2:13" ht="3.6" customHeight="1" x14ac:dyDescent="0.3"/>
    <row r="4" spans="2:13" ht="89.4" customHeight="1" x14ac:dyDescent="0.3">
      <c r="B4" s="188"/>
      <c r="C4" s="232" t="str">
        <f>'Input Sheet'!C3</f>
        <v xml:space="preserve">With over four decades of experience in managing the systems and workings of global enterprises, we expertly steer clients, in 59 countries, as they navigate their digital transformation powered by cloud and AI. We enable them with an AI-first core, empower the business with agile digital at scale and drive continuous improvement with always-on learning through the transfer of digital skills, expertise, and ideas from our innovation ecosystem. </v>
      </c>
      <c r="D4" s="232"/>
      <c r="E4" s="232"/>
      <c r="F4" s="232"/>
      <c r="G4" s="232"/>
      <c r="H4" s="232"/>
      <c r="I4" s="232"/>
      <c r="J4" s="232"/>
      <c r="K4" s="232"/>
    </row>
    <row r="5" spans="2:13" x14ac:dyDescent="0.3">
      <c r="B5" s="191" t="s">
        <v>8715</v>
      </c>
    </row>
    <row r="6" spans="2:13" ht="15.6" x14ac:dyDescent="0.3">
      <c r="B6" s="189" t="s">
        <v>8716</v>
      </c>
      <c r="C6" s="190">
        <f>'Data Sheet &gt;'!G16</f>
        <v>44651</v>
      </c>
      <c r="D6" s="190">
        <f>'Data Sheet &gt;'!H16</f>
        <v>45016</v>
      </c>
      <c r="E6" s="190">
        <f>'Data Sheet &gt;'!I16</f>
        <v>45382</v>
      </c>
      <c r="F6" s="190">
        <f>'Data Sheet &gt;'!J16</f>
        <v>45747</v>
      </c>
      <c r="G6" s="190">
        <f>'Data Sheet &gt;'!K16</f>
        <v>46112</v>
      </c>
      <c r="I6" s="233" t="s">
        <v>9893</v>
      </c>
      <c r="J6" s="233"/>
      <c r="K6" s="233"/>
    </row>
    <row r="7" spans="2:13" ht="3" customHeight="1" x14ac:dyDescent="0.3"/>
    <row r="8" spans="2:13" x14ac:dyDescent="0.3">
      <c r="B8" s="205" t="s">
        <v>8717</v>
      </c>
      <c r="C8" s="205">
        <f>'Data Sheet &gt;'!G17</f>
        <v>121641</v>
      </c>
      <c r="D8" s="205">
        <f>'Data Sheet &gt;'!H17</f>
        <v>146767</v>
      </c>
      <c r="E8" s="205">
        <f>'Data Sheet &gt;'!I17</f>
        <v>153670</v>
      </c>
      <c r="F8" s="205">
        <f>'Data Sheet &gt;'!J17</f>
        <v>162990</v>
      </c>
      <c r="G8" s="205">
        <f>'Data Sheet &gt;'!K17</f>
        <v>178650</v>
      </c>
    </row>
    <row r="9" spans="2:13" x14ac:dyDescent="0.3">
      <c r="B9" s="205" t="s">
        <v>8718</v>
      </c>
      <c r="C9" s="206">
        <f>'Data Sheet &gt;'!G17/'Data Sheet &gt;'!F17-1</f>
        <v>0.21069551715900947</v>
      </c>
      <c r="D9" s="206">
        <f>'Data Sheet &gt;'!H17/'Data Sheet &gt;'!G17-1</f>
        <v>0.20655864387829759</v>
      </c>
      <c r="E9" s="206">
        <f>'Data Sheet &gt;'!I17/'Data Sheet &gt;'!H17-1</f>
        <v>4.7033733741236095E-2</v>
      </c>
      <c r="F9" s="206">
        <f>'Data Sheet &gt;'!J17/'Data Sheet &gt;'!I17-1</f>
        <v>6.0649443612936782E-2</v>
      </c>
      <c r="G9" s="206">
        <f>'Data Sheet &gt;'!K17/'Data Sheet &gt;'!J17-1</f>
        <v>9.6079514080618544E-2</v>
      </c>
    </row>
    <row r="10" spans="2:13" x14ac:dyDescent="0.3">
      <c r="B10" s="205" t="s">
        <v>8719</v>
      </c>
      <c r="C10" s="207">
        <f>'Income Statement '!C12</f>
        <v>0.82882416290559924</v>
      </c>
      <c r="D10" s="207">
        <f>'Income Statement '!D12</f>
        <v>0.81940081898519423</v>
      </c>
      <c r="E10" s="207">
        <f>'Income Statement '!E12</f>
        <v>0.8217348864449795</v>
      </c>
      <c r="F10" s="207">
        <f>'Income Statement '!F12</f>
        <v>0.81215411988465547</v>
      </c>
      <c r="G10" s="207">
        <f>'Income Statement '!G12</f>
        <v>0.81446963336132105</v>
      </c>
      <c r="M10" s="200" t="s">
        <v>411</v>
      </c>
    </row>
    <row r="11" spans="2:13" x14ac:dyDescent="0.3">
      <c r="B11" s="205" t="s">
        <v>8720</v>
      </c>
      <c r="C11" s="207">
        <f>'Income Statement '!C18</f>
        <v>0.25888475102966929</v>
      </c>
      <c r="D11" s="207">
        <f>'Income Statement '!D18</f>
        <v>0.23935898396778568</v>
      </c>
      <c r="E11" s="207">
        <f>'Income Statement '!E18</f>
        <v>0.23703390381987374</v>
      </c>
      <c r="F11" s="207">
        <f>'Income Statement '!F18</f>
        <v>0.24072642493404503</v>
      </c>
      <c r="G11" s="207">
        <f>'Income Statement '!G18</f>
        <v>0.23666386789812482</v>
      </c>
    </row>
    <row r="12" spans="2:13" x14ac:dyDescent="0.3">
      <c r="B12" s="205" t="s">
        <v>8721</v>
      </c>
      <c r="C12" s="207">
        <f>'Income Statement '!C24</f>
        <v>0.23030885967724699</v>
      </c>
      <c r="D12" s="207">
        <f>'Income Statement '!D24</f>
        <v>0.21057185879659596</v>
      </c>
      <c r="E12" s="207">
        <f>'Income Statement '!E24</f>
        <v>0.20659204789483959</v>
      </c>
      <c r="F12" s="207">
        <f>'Income Statement '!F24</f>
        <v>0.21120314129701209</v>
      </c>
      <c r="G12" s="207">
        <f>'Income Statement '!G24</f>
        <v>0.20922474111390987</v>
      </c>
    </row>
    <row r="13" spans="2:13" x14ac:dyDescent="0.3">
      <c r="B13" s="205" t="s">
        <v>8722</v>
      </c>
      <c r="C13" s="207">
        <f>'Income Statement '!C36</f>
        <v>0.16319333119589613</v>
      </c>
      <c r="D13" s="207">
        <f>'Income Statement '!D36</f>
        <v>0.14585703870761138</v>
      </c>
      <c r="E13" s="207">
        <f>'Income Statement '!E36</f>
        <v>0.14015097286392919</v>
      </c>
      <c r="F13" s="207">
        <f>'Income Statement '!F36</f>
        <v>0.14203325357383889</v>
      </c>
      <c r="G13" s="207">
        <f>'Income Statement '!G36</f>
        <v>0.14800447802966696</v>
      </c>
    </row>
    <row r="14" spans="2:13" x14ac:dyDescent="0.3">
      <c r="B14" s="205" t="s">
        <v>8723</v>
      </c>
      <c r="C14" s="208">
        <f>'Income Statement '!C40</f>
        <v>47.189008011030019</v>
      </c>
      <c r="D14" s="208">
        <f>'Income Statement '!D40</f>
        <v>51.600539941184977</v>
      </c>
      <c r="E14" s="208">
        <f>'Income Statement '!E40</f>
        <v>51.885133344575877</v>
      </c>
      <c r="F14" s="208">
        <f>'Income Statement '!F40</f>
        <v>55.738810102809815</v>
      </c>
      <c r="G14" s="208">
        <f>'Income Statement '!G40</f>
        <v>65.196271821678664</v>
      </c>
    </row>
    <row r="15" spans="2:13" x14ac:dyDescent="0.3">
      <c r="B15" s="205" t="s">
        <v>8724</v>
      </c>
      <c r="C15" s="206">
        <f>'Profit &amp; Loss'!G13/'Profit &amp; Loss'!F13-1</f>
        <v>0.15724348458563164</v>
      </c>
      <c r="D15" s="206">
        <f>'Profit &amp; Loss'!H13/'Profit &amp; Loss'!G13-1</f>
        <v>0.10504042679669645</v>
      </c>
      <c r="E15" s="206">
        <f>'Profit &amp; Loss'!I13/'Profit &amp; Loss'!H13-1</f>
        <v>8.812883922882464E-2</v>
      </c>
      <c r="F15" s="206">
        <f>'Profit &amp; Loss'!J13/'Profit &amp; Loss'!I13-1</f>
        <v>1.7709137065787806E-2</v>
      </c>
      <c r="G15" s="206">
        <f>'Profit &amp; Loss'!K13/'Profit &amp; Loss'!J13-1</f>
        <v>0.12863451976276408</v>
      </c>
    </row>
    <row r="16" spans="2:13" x14ac:dyDescent="0.3">
      <c r="B16" s="205" t="s">
        <v>8725</v>
      </c>
      <c r="C16" s="208">
        <f>'Income Statement '!C43</f>
        <v>30.921149594694178</v>
      </c>
      <c r="D16" s="208">
        <f>'Income Statement '!D43</f>
        <v>33.913127320059779</v>
      </c>
      <c r="E16" s="208">
        <f>'Income Statement '!E43</f>
        <v>45.901370787058234</v>
      </c>
      <c r="F16" s="208">
        <f>'Income Statement '!F43</f>
        <v>42.924421544314157</v>
      </c>
      <c r="G16" s="208">
        <f>'Income Statement '!G43</f>
        <v>47.910050300818625</v>
      </c>
    </row>
    <row r="17" spans="2:11" x14ac:dyDescent="0.3">
      <c r="B17" s="205" t="s">
        <v>8726</v>
      </c>
      <c r="C17" s="207">
        <f>'Profit &amp; Loss'!G29</f>
        <v>0.148651583996944</v>
      </c>
      <c r="D17" s="207">
        <f>'Profit &amp; Loss'!H29</f>
        <v>9.6761529392781931E-2</v>
      </c>
      <c r="E17" s="207">
        <f>'Profit &amp; Loss'!I29</f>
        <v>0.35349861290755524</v>
      </c>
      <c r="F17" s="207">
        <f>'Profit &amp; Loss'!J29</f>
        <v>-6.4855345095345296E-2</v>
      </c>
      <c r="G17" s="207">
        <f>'Profit &amp; Loss'!K29</f>
        <v>0.11614900276192208</v>
      </c>
      <c r="H17" s="18"/>
    </row>
    <row r="18" spans="2:11" ht="6.6" customHeight="1" x14ac:dyDescent="0.3"/>
    <row r="19" spans="2:11" ht="15.6" x14ac:dyDescent="0.3">
      <c r="B19" s="189" t="s">
        <v>9895</v>
      </c>
      <c r="C19" s="190">
        <f t="shared" ref="C19:G19" si="0">C6</f>
        <v>44651</v>
      </c>
      <c r="D19" s="190">
        <f t="shared" si="0"/>
        <v>45016</v>
      </c>
      <c r="E19" s="190">
        <f t="shared" si="0"/>
        <v>45382</v>
      </c>
      <c r="F19" s="190">
        <f t="shared" si="0"/>
        <v>45747</v>
      </c>
      <c r="G19" s="190">
        <f t="shared" si="0"/>
        <v>46112</v>
      </c>
      <c r="H19" s="193"/>
      <c r="I19" s="230" t="s">
        <v>9894</v>
      </c>
      <c r="J19" s="230"/>
      <c r="K19" s="230"/>
    </row>
    <row r="20" spans="2:11" ht="3.6" customHeight="1" x14ac:dyDescent="0.3"/>
    <row r="21" spans="2:11" x14ac:dyDescent="0.3">
      <c r="B21" s="205" t="s">
        <v>121</v>
      </c>
      <c r="C21" s="209">
        <f>'Profit &amp; Loss'!G14</f>
        <v>36.280171393034827</v>
      </c>
      <c r="D21" s="209">
        <f>'Profit &amp; Loss'!H14</f>
        <v>24.585986179705333</v>
      </c>
      <c r="E21" s="209">
        <f>'Profit &amp; Loss'!I14</f>
        <v>23.703944440208897</v>
      </c>
      <c r="F21" s="209">
        <f>'Profit &amp; Loss'!J14</f>
        <v>24.420247239171935</v>
      </c>
      <c r="G21" s="209">
        <f>'Profit &amp; Loss'!K14</f>
        <v>17.228034510869566</v>
      </c>
    </row>
    <row r="22" spans="2:11" x14ac:dyDescent="0.3">
      <c r="B22" s="205" t="s">
        <v>447</v>
      </c>
      <c r="C22" s="209">
        <f>'Profit &amp; Loss'!G35</f>
        <v>25.091505176082055</v>
      </c>
      <c r="D22" s="209">
        <f>'Profit &amp; Loss'!H35</f>
        <v>16.752784998576718</v>
      </c>
      <c r="E22" s="209">
        <f>'Profit &amp; Loss'!I35</f>
        <v>16.894950569663692</v>
      </c>
      <c r="F22" s="209">
        <f>'Profit &amp; Loss'!J35</f>
        <v>16.21240861708635</v>
      </c>
      <c r="G22" s="209">
        <f>'Profit &amp; Loss'!K35</f>
        <v>11.687992809839166</v>
      </c>
    </row>
    <row r="23" spans="2:11" x14ac:dyDescent="0.3">
      <c r="B23" s="205" t="s">
        <v>8728</v>
      </c>
      <c r="C23" s="209">
        <f>'Profit &amp; Loss'!G36</f>
        <v>6.4958080704696606</v>
      </c>
      <c r="D23" s="209">
        <f>'Profit &amp; Loss'!H36</f>
        <v>4.0099295958900845</v>
      </c>
      <c r="E23" s="209">
        <f>'Profit &amp; Loss'!I36</f>
        <v>4.0046760883711849</v>
      </c>
      <c r="F23" s="209">
        <f>'Profit &amp; Loss'!J36</f>
        <v>3.9027551659611017</v>
      </c>
      <c r="G23" s="209">
        <f>'Profit &amp; Loss'!K36</f>
        <v>2.7661255863420093</v>
      </c>
    </row>
    <row r="24" spans="2:11" x14ac:dyDescent="0.3">
      <c r="B24" s="205" t="s">
        <v>8729</v>
      </c>
      <c r="C24" s="209">
        <f>'Profit &amp; Loss'!G37</f>
        <v>10.645714525547445</v>
      </c>
      <c r="D24" s="209">
        <f>'Profit &amp; Loss'!H37</f>
        <v>7.8560257933613595</v>
      </c>
      <c r="E24" s="209">
        <f>'Profit &amp; Loss'!I37</f>
        <v>7.056897436333923</v>
      </c>
      <c r="F24" s="209">
        <f>'Profit &amp; Loss'!J37</f>
        <v>6.8080951856644889</v>
      </c>
      <c r="G24" s="209">
        <f>'Profit &amp; Loss'!K37</f>
        <v>5.4623846120708217</v>
      </c>
    </row>
    <row r="25" spans="2:11" x14ac:dyDescent="0.3">
      <c r="B25" s="205" t="s">
        <v>8730</v>
      </c>
      <c r="C25" s="207">
        <f>'His Balance Sheet'!G23</f>
        <v>0.29343065693430659</v>
      </c>
      <c r="D25" s="207">
        <f>'His Balance Sheet'!H23</f>
        <v>0.31953266938082669</v>
      </c>
      <c r="E25" s="207">
        <f>'His Balance Sheet'!I23</f>
        <v>0.29770983703300197</v>
      </c>
      <c r="F25" s="207">
        <f>'His Balance Sheet'!J23</f>
        <v>0.27878895405873633</v>
      </c>
      <c r="G25" s="207">
        <f>'His Balance Sheet'!K23</f>
        <v>0.31706371429802266</v>
      </c>
    </row>
    <row r="26" spans="2:11" x14ac:dyDescent="0.3">
      <c r="B26" s="205" t="s">
        <v>8731</v>
      </c>
      <c r="C26" s="207">
        <f>'His Balance Sheet'!G24</f>
        <v>0.37304615384615386</v>
      </c>
      <c r="D26" s="207">
        <f>'His Balance Sheet'!H24</f>
        <v>0.40850908648878625</v>
      </c>
      <c r="E26" s="207">
        <f>'His Balance Sheet'!I24</f>
        <v>0.40468195869708795</v>
      </c>
      <c r="F26" s="207">
        <f>'His Balance Sheet'!J24</f>
        <v>0.37925393975663274</v>
      </c>
      <c r="G26" s="207">
        <f>'His Balance Sheet'!K24</f>
        <v>0.39220082203879209</v>
      </c>
    </row>
    <row r="27" spans="2:11" ht="6.6" customHeight="1" x14ac:dyDescent="0.3"/>
    <row r="28" spans="2:11" ht="31.2" x14ac:dyDescent="0.3">
      <c r="B28" s="202" t="str">
        <f>'Input Sheet'!B11</f>
        <v>Shareholder's name</v>
      </c>
      <c r="C28" s="199" t="str">
        <f>'Input Sheet'!C11</f>
        <v>No. of Share (in crs)</v>
      </c>
      <c r="D28" s="199" t="str">
        <f>'Input Sheet'!D11</f>
        <v>Shareholding (%)</v>
      </c>
      <c r="E28" s="199" t="str">
        <f>'Input Sheet'!E11</f>
        <v>Market Value (in crs)</v>
      </c>
      <c r="G28" s="229" t="s">
        <v>9915</v>
      </c>
      <c r="H28" s="229"/>
      <c r="I28" s="229"/>
      <c r="J28" s="229"/>
      <c r="K28" s="229"/>
    </row>
    <row r="29" spans="2:11" ht="3" customHeight="1" x14ac:dyDescent="0.3">
      <c r="B29" s="102"/>
    </row>
    <row r="30" spans="2:11" x14ac:dyDescent="0.3">
      <c r="B30" s="210" t="str">
        <f>'Input Sheet'!B12</f>
        <v>LIFE INSURANCE CORPORATION OF INDIA - ULIF00220091</v>
      </c>
      <c r="C30" s="211">
        <f>'Input Sheet'!C12</f>
        <v>43.859487199999997</v>
      </c>
      <c r="D30" s="206">
        <f>'Input Sheet'!D12</f>
        <v>0.11800000000000001</v>
      </c>
      <c r="E30" s="211">
        <f>'Input Sheet'!E12</f>
        <v>50613.848228799994</v>
      </c>
    </row>
    <row r="31" spans="2:11" x14ac:dyDescent="0.3">
      <c r="B31" s="210" t="str">
        <f>'Input Sheet'!B13</f>
        <v>SBI MUTUAL FUND</v>
      </c>
      <c r="C31" s="211">
        <f>'Input Sheet'!C13</f>
        <v>16.748512099999999</v>
      </c>
      <c r="D31" s="206">
        <f>'Input Sheet'!D13</f>
        <v>4.5100000000000001E-2</v>
      </c>
      <c r="E31" s="211">
        <f>'Input Sheet'!E13</f>
        <v>19327.782963400001</v>
      </c>
    </row>
    <row r="32" spans="2:11" x14ac:dyDescent="0.3">
      <c r="B32" s="210" t="str">
        <f>'Input Sheet'!B14</f>
        <v>ICICI PRUDENTIAL MUTUAL FUND</v>
      </c>
      <c r="C32" s="211">
        <f>'Input Sheet'!C14</f>
        <v>14.669215599999999</v>
      </c>
      <c r="D32" s="206">
        <f>'Input Sheet'!D14</f>
        <v>3.95E-2</v>
      </c>
      <c r="E32" s="211">
        <f>'Input Sheet'!E14</f>
        <v>16928.274802399999</v>
      </c>
    </row>
    <row r="33" spans="2:11" x14ac:dyDescent="0.3">
      <c r="B33" s="210" t="str">
        <f>'Input Sheet'!B15</f>
        <v>National Pension System Trust</v>
      </c>
      <c r="C33" s="211">
        <f>'Input Sheet'!C15</f>
        <v>12.5705046</v>
      </c>
      <c r="D33" s="206">
        <f>'Input Sheet'!D15</f>
        <v>3.3799999999999997E-2</v>
      </c>
      <c r="E33" s="211">
        <f>'Input Sheet'!E15</f>
        <v>14506.362308399999</v>
      </c>
    </row>
    <row r="34" spans="2:11" x14ac:dyDescent="0.3">
      <c r="B34" s="210" t="str">
        <f>'Input Sheet'!B16</f>
        <v>NIPPON LIFE INDIA TRUSTEE</v>
      </c>
      <c r="C34" s="211">
        <f>'Input Sheet'!C16</f>
        <v>9.8562135000000008</v>
      </c>
      <c r="D34" s="206">
        <f>'Input Sheet'!D16</f>
        <v>2.6499999999999999E-2</v>
      </c>
      <c r="E34" s="211">
        <f>'Input Sheet'!E16</f>
        <v>11374.070379000001</v>
      </c>
    </row>
    <row r="35" spans="2:11" x14ac:dyDescent="0.3">
      <c r="B35" s="210" t="str">
        <f>'Input Sheet'!B17</f>
        <v>SUDHA GOPALAKRISHNAN</v>
      </c>
      <c r="C35" s="211">
        <f>'Input Sheet'!C17</f>
        <v>9.5357000000000003</v>
      </c>
      <c r="D35" s="206">
        <f>'Input Sheet'!D17</f>
        <v>2.5699999999999997E-2</v>
      </c>
      <c r="E35" s="211">
        <f>'Input Sheet'!E17</f>
        <v>11004.1978</v>
      </c>
    </row>
    <row r="36" spans="2:11" x14ac:dyDescent="0.3">
      <c r="B36" s="210" t="str">
        <f>'Input Sheet'!B18</f>
        <v>UTI MUTUAL FUND</v>
      </c>
      <c r="C36" s="211">
        <f>'Input Sheet'!C18</f>
        <v>7.188733</v>
      </c>
      <c r="D36" s="206">
        <f>'Input Sheet'!D18</f>
        <v>1.9299999999999998E-2</v>
      </c>
      <c r="E36" s="211">
        <f>'Input Sheet'!E18</f>
        <v>8295.7978820000008</v>
      </c>
    </row>
    <row r="37" spans="2:11" x14ac:dyDescent="0.3">
      <c r="B37" s="210" t="str">
        <f>'Input Sheet'!B19</f>
        <v>HDFC MUTUAL FUND</v>
      </c>
      <c r="C37" s="211">
        <f>'Input Sheet'!C19</f>
        <v>6.3538616000000001</v>
      </c>
      <c r="D37" s="206">
        <f>'Input Sheet'!D19</f>
        <v>1.7100000000000001E-2</v>
      </c>
      <c r="E37" s="211">
        <f>'Input Sheet'!E19</f>
        <v>7332.3562864000005</v>
      </c>
    </row>
    <row r="38" spans="2:11" x14ac:dyDescent="0.3">
      <c r="B38" s="210" t="str">
        <f>'Input Sheet'!B20</f>
        <v>ROHAN MURTY</v>
      </c>
      <c r="C38" s="211">
        <f>'Input Sheet'!C20</f>
        <v>6.0812891999999996</v>
      </c>
      <c r="D38" s="206">
        <f>'Input Sheet'!D20</f>
        <v>1.6399999999999998E-2</v>
      </c>
      <c r="E38" s="211">
        <f>'Input Sheet'!E20</f>
        <v>7017.8077367999995</v>
      </c>
    </row>
    <row r="39" spans="2:11" x14ac:dyDescent="0.3">
      <c r="B39" s="210" t="str">
        <f>'Input Sheet'!B21</f>
        <v>VANGUARD TOTAL INTERNATIONAL STOCK INDEX FUND</v>
      </c>
      <c r="C39" s="211">
        <f>'Input Sheet'!C21</f>
        <v>5.2268865</v>
      </c>
      <c r="D39" s="206">
        <f>'Input Sheet'!D21</f>
        <v>1.41E-2</v>
      </c>
      <c r="E39" s="211">
        <f>'Input Sheet'!E21</f>
        <v>6031.8270210000001</v>
      </c>
    </row>
    <row r="40" spans="2:11" ht="6.6" customHeight="1" x14ac:dyDescent="0.3"/>
    <row r="41" spans="2:11" ht="15.6" x14ac:dyDescent="0.3">
      <c r="B41" s="189" t="s">
        <v>9922</v>
      </c>
      <c r="C41" s="230" t="s">
        <v>9923</v>
      </c>
      <c r="D41" s="230"/>
      <c r="E41" s="189" t="s">
        <v>9924</v>
      </c>
      <c r="F41" s="230" t="s">
        <v>9925</v>
      </c>
      <c r="G41" s="230"/>
      <c r="I41" s="189" t="s">
        <v>9916</v>
      </c>
      <c r="J41" s="128"/>
      <c r="K41" s="128"/>
    </row>
    <row r="42" spans="2:11" ht="3.6" customHeight="1" x14ac:dyDescent="0.3">
      <c r="C42" s="224"/>
      <c r="D42" s="224"/>
      <c r="F42" s="224"/>
      <c r="G42" s="224"/>
    </row>
    <row r="43" spans="2:11" x14ac:dyDescent="0.3">
      <c r="B43" s="205" t="s">
        <v>9933</v>
      </c>
      <c r="C43" s="228" t="s">
        <v>9934</v>
      </c>
      <c r="D43" s="228"/>
      <c r="E43" s="214" t="s">
        <v>9931</v>
      </c>
      <c r="F43" s="228" t="s">
        <v>9931</v>
      </c>
      <c r="G43" s="228"/>
      <c r="I43" s="205" t="s">
        <v>443</v>
      </c>
      <c r="J43" s="205"/>
      <c r="K43" s="216">
        <f>'Data Sheet &gt;'!B8</f>
        <v>1013.85</v>
      </c>
    </row>
    <row r="44" spans="2:11" x14ac:dyDescent="0.3">
      <c r="B44" s="205" t="s">
        <v>9926</v>
      </c>
      <c r="C44" s="228" t="s">
        <v>9927</v>
      </c>
      <c r="D44" s="228"/>
      <c r="E44" s="214">
        <v>22</v>
      </c>
      <c r="F44" s="225" t="s">
        <v>9928</v>
      </c>
      <c r="G44" s="226"/>
      <c r="I44" s="205" t="s">
        <v>9917</v>
      </c>
      <c r="J44" s="205"/>
      <c r="K44" s="216">
        <f>'Data Sheet &gt;'!B6</f>
        <v>406.22571386299745</v>
      </c>
    </row>
    <row r="45" spans="2:11" ht="15" thickBot="1" x14ac:dyDescent="0.35">
      <c r="B45" s="205" t="s">
        <v>9929</v>
      </c>
      <c r="C45" s="228" t="s">
        <v>9930</v>
      </c>
      <c r="D45" s="228"/>
      <c r="E45" s="214" t="s">
        <v>9931</v>
      </c>
      <c r="F45" s="227" t="s">
        <v>9932</v>
      </c>
      <c r="G45" s="227"/>
      <c r="I45" s="221" t="s">
        <v>68</v>
      </c>
      <c r="J45" s="222"/>
      <c r="K45" s="223">
        <f>K43*K44</f>
        <v>411851.94</v>
      </c>
    </row>
    <row r="46" spans="2:11" x14ac:dyDescent="0.3">
      <c r="B46" s="205" t="s">
        <v>9935</v>
      </c>
      <c r="C46" s="228" t="s">
        <v>9936</v>
      </c>
      <c r="D46" s="228"/>
      <c r="E46" s="215">
        <v>-4</v>
      </c>
      <c r="F46" s="227" t="s">
        <v>9937</v>
      </c>
      <c r="G46" s="228"/>
      <c r="I46" s="217" t="s">
        <v>9918</v>
      </c>
      <c r="J46" s="218"/>
      <c r="K46" s="219">
        <f>-'Data Sheet &gt;'!K69</f>
        <v>-22201</v>
      </c>
    </row>
    <row r="47" spans="2:11" x14ac:dyDescent="0.3">
      <c r="E47" s="212"/>
      <c r="F47" s="224"/>
      <c r="G47" s="224"/>
      <c r="I47" s="220" t="s">
        <v>9919</v>
      </c>
      <c r="J47" s="205"/>
      <c r="K47" s="216">
        <f>'Data Sheet &gt;'!K59</f>
        <v>9176</v>
      </c>
    </row>
    <row r="48" spans="2:11" x14ac:dyDescent="0.3">
      <c r="F48" s="224"/>
      <c r="G48" s="224"/>
      <c r="I48" s="220" t="s">
        <v>9920</v>
      </c>
      <c r="J48" s="205"/>
      <c r="K48" s="216">
        <v>466</v>
      </c>
    </row>
    <row r="49" spans="2:11" ht="15" thickBot="1" x14ac:dyDescent="0.35">
      <c r="D49" s="213"/>
      <c r="I49" s="221" t="s">
        <v>9921</v>
      </c>
      <c r="J49" s="222"/>
      <c r="K49" s="223">
        <f>SUM(K45:K48)</f>
        <v>399292.94</v>
      </c>
    </row>
    <row r="50" spans="2:11" x14ac:dyDescent="0.3">
      <c r="D50" s="213"/>
    </row>
    <row r="51" spans="2:11" ht="15.6" x14ac:dyDescent="0.3">
      <c r="B51" s="189" t="s">
        <v>9938</v>
      </c>
      <c r="C51" s="128"/>
      <c r="D51" s="201"/>
      <c r="E51" s="128"/>
      <c r="F51" s="128"/>
      <c r="G51" s="128"/>
      <c r="H51" s="128"/>
      <c r="I51" s="128"/>
      <c r="J51" s="128"/>
      <c r="K51" s="128"/>
    </row>
    <row r="52" spans="2:11" ht="3.6" customHeight="1" x14ac:dyDescent="0.3"/>
  </sheetData>
  <mergeCells count="19">
    <mergeCell ref="G28:K28"/>
    <mergeCell ref="F41:G41"/>
    <mergeCell ref="C41:D41"/>
    <mergeCell ref="B2:K2"/>
    <mergeCell ref="C4:K4"/>
    <mergeCell ref="I6:K6"/>
    <mergeCell ref="I19:K19"/>
    <mergeCell ref="F48:G48"/>
    <mergeCell ref="C44:D44"/>
    <mergeCell ref="C45:D45"/>
    <mergeCell ref="C46:D46"/>
    <mergeCell ref="C42:D42"/>
    <mergeCell ref="C43:D43"/>
    <mergeCell ref="F43:G43"/>
    <mergeCell ref="F42:G42"/>
    <mergeCell ref="F44:G44"/>
    <mergeCell ref="F45:G45"/>
    <mergeCell ref="F46:G46"/>
    <mergeCell ref="F47:G47"/>
  </mergeCells>
  <pageMargins left="0.23622047244094491" right="0.23622047244094491" top="0.59055118110236227" bottom="0.59055118110236227" header="0.31496062992125984" footer="0.31496062992125984"/>
  <pageSetup scale="5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5DFEB-D230-4897-A357-AB6786F2EF7D}">
  <sheetPr>
    <tabColor rgb="FFFFFF00"/>
  </sheetPr>
  <dimension ref="B3:O1257"/>
  <sheetViews>
    <sheetView showGridLines="0" workbookViewId="0">
      <selection activeCell="C30" sqref="C30"/>
    </sheetView>
  </sheetViews>
  <sheetFormatPr defaultRowHeight="14.4" x14ac:dyDescent="0.3"/>
  <cols>
    <col min="1" max="1" width="1.88671875" customWidth="1"/>
    <col min="2" max="2" width="49.44140625" bestFit="1" customWidth="1"/>
    <col min="3" max="3" width="16.6640625" bestFit="1" customWidth="1"/>
    <col min="4" max="4" width="14.5546875" bestFit="1" customWidth="1"/>
    <col min="5" max="5" width="17.44140625" bestFit="1" customWidth="1"/>
  </cols>
  <sheetData>
    <row r="3" spans="2:15" ht="12.6" customHeight="1" x14ac:dyDescent="0.3">
      <c r="B3" s="187" t="s">
        <v>8713</v>
      </c>
      <c r="C3" s="234" t="s">
        <v>8714</v>
      </c>
      <c r="D3" s="234"/>
      <c r="E3" s="234"/>
      <c r="F3" s="234"/>
      <c r="G3" s="234"/>
      <c r="H3" s="234"/>
      <c r="I3" s="234"/>
      <c r="J3" s="234"/>
      <c r="K3" s="234"/>
      <c r="M3" t="s">
        <v>254</v>
      </c>
      <c r="N3" t="s">
        <v>255</v>
      </c>
      <c r="O3" t="s">
        <v>8735</v>
      </c>
    </row>
    <row r="4" spans="2:15" x14ac:dyDescent="0.3">
      <c r="C4" s="234"/>
      <c r="D4" s="234"/>
      <c r="E4" s="234"/>
      <c r="F4" s="234"/>
      <c r="G4" s="234"/>
      <c r="H4" s="234"/>
      <c r="I4" s="234"/>
      <c r="J4" s="234"/>
      <c r="K4" s="234"/>
      <c r="M4" t="s">
        <v>8736</v>
      </c>
      <c r="N4">
        <v>13.12</v>
      </c>
      <c r="O4">
        <v>22668585</v>
      </c>
    </row>
    <row r="5" spans="2:15" x14ac:dyDescent="0.3">
      <c r="C5" s="234"/>
      <c r="D5" s="234"/>
      <c r="E5" s="234"/>
      <c r="F5" s="234"/>
      <c r="G5" s="234"/>
      <c r="H5" s="234"/>
      <c r="I5" s="234"/>
      <c r="J5" s="234"/>
      <c r="K5" s="234"/>
      <c r="M5" t="s">
        <v>8737</v>
      </c>
      <c r="N5">
        <v>12.75</v>
      </c>
      <c r="O5">
        <v>22042900</v>
      </c>
    </row>
    <row r="6" spans="2:15" x14ac:dyDescent="0.3">
      <c r="C6" s="234"/>
      <c r="D6" s="234"/>
      <c r="E6" s="234"/>
      <c r="F6" s="234"/>
      <c r="G6" s="234"/>
      <c r="H6" s="234"/>
      <c r="I6" s="234"/>
      <c r="J6" s="234"/>
      <c r="K6" s="234"/>
      <c r="M6" t="s">
        <v>8738</v>
      </c>
      <c r="N6">
        <v>12.66</v>
      </c>
      <c r="O6">
        <v>22799200</v>
      </c>
    </row>
    <row r="7" spans="2:15" x14ac:dyDescent="0.3">
      <c r="C7" s="234"/>
      <c r="D7" s="234"/>
      <c r="E7" s="234"/>
      <c r="F7" s="234"/>
      <c r="G7" s="234"/>
      <c r="H7" s="234"/>
      <c r="I7" s="234"/>
      <c r="J7" s="234"/>
      <c r="K7" s="234"/>
      <c r="M7" t="s">
        <v>8739</v>
      </c>
      <c r="N7">
        <v>12.2</v>
      </c>
      <c r="O7">
        <v>20804200</v>
      </c>
    </row>
    <row r="8" spans="2:15" x14ac:dyDescent="0.3">
      <c r="C8" s="234"/>
      <c r="D8" s="234"/>
      <c r="E8" s="234"/>
      <c r="F8" s="234"/>
      <c r="G8" s="234"/>
      <c r="H8" s="234"/>
      <c r="I8" s="234"/>
      <c r="J8" s="234"/>
      <c r="K8" s="234"/>
      <c r="M8" t="s">
        <v>8740</v>
      </c>
      <c r="N8">
        <v>12.24</v>
      </c>
      <c r="O8">
        <v>17932300</v>
      </c>
    </row>
    <row r="9" spans="2:15" x14ac:dyDescent="0.3">
      <c r="M9" t="s">
        <v>8741</v>
      </c>
      <c r="N9">
        <v>12.13</v>
      </c>
      <c r="O9">
        <v>29560200</v>
      </c>
    </row>
    <row r="10" spans="2:15" x14ac:dyDescent="0.3">
      <c r="B10" s="194"/>
      <c r="C10" s="196">
        <v>100</v>
      </c>
      <c r="D10" s="194"/>
      <c r="E10" s="194"/>
      <c r="M10" t="s">
        <v>8742</v>
      </c>
      <c r="N10">
        <v>11.48</v>
      </c>
      <c r="O10">
        <v>14209400</v>
      </c>
    </row>
    <row r="11" spans="2:15" x14ac:dyDescent="0.3">
      <c r="B11" s="197" t="s">
        <v>9896</v>
      </c>
      <c r="C11" s="197" t="s">
        <v>9908</v>
      </c>
      <c r="D11" s="197" t="s">
        <v>9897</v>
      </c>
      <c r="E11" s="197" t="s">
        <v>9909</v>
      </c>
      <c r="M11" t="s">
        <v>8743</v>
      </c>
      <c r="N11">
        <v>11.4</v>
      </c>
      <c r="O11">
        <v>25564500</v>
      </c>
    </row>
    <row r="12" spans="2:15" x14ac:dyDescent="0.3">
      <c r="B12" s="194" t="s">
        <v>9898</v>
      </c>
      <c r="C12" s="195">
        <v>43.859487199999997</v>
      </c>
      <c r="D12" s="198">
        <v>0.11800000000000001</v>
      </c>
      <c r="E12" s="195">
        <f t="shared" ref="E12:E21" si="0">1154*C12</f>
        <v>50613.848228799994</v>
      </c>
      <c r="M12" t="s">
        <v>8744</v>
      </c>
      <c r="N12">
        <v>10.83</v>
      </c>
      <c r="O12">
        <v>13025600</v>
      </c>
    </row>
    <row r="13" spans="2:15" x14ac:dyDescent="0.3">
      <c r="B13" s="194" t="s">
        <v>9899</v>
      </c>
      <c r="C13" s="195">
        <v>16.748512099999999</v>
      </c>
      <c r="D13" s="198">
        <v>4.5100000000000001E-2</v>
      </c>
      <c r="E13" s="195">
        <f t="shared" si="0"/>
        <v>19327.782963400001</v>
      </c>
      <c r="M13" t="s">
        <v>8745</v>
      </c>
      <c r="N13">
        <v>10.73</v>
      </c>
      <c r="O13">
        <v>12902100</v>
      </c>
    </row>
    <row r="14" spans="2:15" x14ac:dyDescent="0.3">
      <c r="B14" s="194" t="s">
        <v>9900</v>
      </c>
      <c r="C14" s="195">
        <v>14.669215599999999</v>
      </c>
      <c r="D14" s="198">
        <v>3.95E-2</v>
      </c>
      <c r="E14" s="195">
        <f t="shared" si="0"/>
        <v>16928.274802399999</v>
      </c>
      <c r="M14" t="s">
        <v>8746</v>
      </c>
      <c r="N14">
        <v>10.7</v>
      </c>
      <c r="O14">
        <v>31359300</v>
      </c>
    </row>
    <row r="15" spans="2:15" x14ac:dyDescent="0.3">
      <c r="B15" s="194" t="s">
        <v>9901</v>
      </c>
      <c r="C15" s="195">
        <v>12.5705046</v>
      </c>
      <c r="D15" s="198">
        <v>3.3799999999999997E-2</v>
      </c>
      <c r="E15" s="195">
        <f t="shared" si="0"/>
        <v>14506.362308399999</v>
      </c>
      <c r="M15" t="s">
        <v>8747</v>
      </c>
      <c r="N15">
        <v>10.55</v>
      </c>
      <c r="O15">
        <v>28397400</v>
      </c>
    </row>
    <row r="16" spans="2:15" x14ac:dyDescent="0.3">
      <c r="B16" s="194" t="s">
        <v>9902</v>
      </c>
      <c r="C16" s="195">
        <v>9.8562135000000008</v>
      </c>
      <c r="D16" s="198">
        <v>2.6499999999999999E-2</v>
      </c>
      <c r="E16" s="195">
        <f t="shared" si="0"/>
        <v>11374.070379000001</v>
      </c>
      <c r="M16" t="s">
        <v>8748</v>
      </c>
      <c r="N16">
        <v>10.55</v>
      </c>
      <c r="O16">
        <v>20107800</v>
      </c>
    </row>
    <row r="17" spans="2:15" x14ac:dyDescent="0.3">
      <c r="B17" s="194" t="s">
        <v>9903</v>
      </c>
      <c r="C17" s="195">
        <v>9.5357000000000003</v>
      </c>
      <c r="D17" s="198">
        <v>2.5699999999999997E-2</v>
      </c>
      <c r="E17" s="195">
        <f t="shared" si="0"/>
        <v>11004.1978</v>
      </c>
      <c r="M17" t="s">
        <v>256</v>
      </c>
      <c r="N17">
        <v>10.76</v>
      </c>
      <c r="O17">
        <v>17223000</v>
      </c>
    </row>
    <row r="18" spans="2:15" x14ac:dyDescent="0.3">
      <c r="B18" s="194" t="s">
        <v>9904</v>
      </c>
      <c r="C18" s="195">
        <v>7.188733</v>
      </c>
      <c r="D18" s="198">
        <v>1.9299999999999998E-2</v>
      </c>
      <c r="E18" s="195">
        <f t="shared" si="0"/>
        <v>8295.7978820000008</v>
      </c>
      <c r="M18" t="s">
        <v>8749</v>
      </c>
      <c r="N18">
        <v>11.04</v>
      </c>
      <c r="O18">
        <v>19592500</v>
      </c>
    </row>
    <row r="19" spans="2:15" x14ac:dyDescent="0.3">
      <c r="B19" s="194" t="s">
        <v>9905</v>
      </c>
      <c r="C19" s="195">
        <v>6.3538616000000001</v>
      </c>
      <c r="D19" s="198">
        <v>1.7100000000000001E-2</v>
      </c>
      <c r="E19" s="195">
        <f t="shared" si="0"/>
        <v>7332.3562864000005</v>
      </c>
      <c r="M19" t="s">
        <v>8750</v>
      </c>
      <c r="N19">
        <v>11.35</v>
      </c>
      <c r="O19">
        <v>38330500</v>
      </c>
    </row>
    <row r="20" spans="2:15" x14ac:dyDescent="0.3">
      <c r="B20" s="194" t="s">
        <v>9906</v>
      </c>
      <c r="C20" s="195">
        <v>6.0812891999999996</v>
      </c>
      <c r="D20" s="198">
        <v>1.6399999999999998E-2</v>
      </c>
      <c r="E20" s="195">
        <f t="shared" si="0"/>
        <v>7017.8077367999995</v>
      </c>
      <c r="M20" t="s">
        <v>8751</v>
      </c>
      <c r="N20">
        <v>10.76</v>
      </c>
      <c r="O20">
        <v>20322700</v>
      </c>
    </row>
    <row r="21" spans="2:15" x14ac:dyDescent="0.3">
      <c r="B21" s="194" t="s">
        <v>9907</v>
      </c>
      <c r="C21" s="195">
        <v>5.2268865</v>
      </c>
      <c r="D21" s="198">
        <v>1.41E-2</v>
      </c>
      <c r="E21" s="195">
        <f t="shared" si="0"/>
        <v>6031.8270210000001</v>
      </c>
      <c r="M21" t="s">
        <v>8752</v>
      </c>
      <c r="N21">
        <v>10.64</v>
      </c>
      <c r="O21">
        <v>14285700</v>
      </c>
    </row>
    <row r="22" spans="2:15" x14ac:dyDescent="0.3">
      <c r="M22" t="s">
        <v>257</v>
      </c>
      <c r="N22">
        <v>10.52</v>
      </c>
      <c r="O22">
        <v>13014600</v>
      </c>
    </row>
    <row r="23" spans="2:15" x14ac:dyDescent="0.3">
      <c r="M23" t="s">
        <v>8753</v>
      </c>
      <c r="N23">
        <v>10.5</v>
      </c>
      <c r="O23">
        <v>17570900</v>
      </c>
    </row>
    <row r="24" spans="2:15" x14ac:dyDescent="0.3">
      <c r="B24" s="203" t="s">
        <v>9910</v>
      </c>
      <c r="C24" s="204">
        <v>0.13900000000000001</v>
      </c>
      <c r="M24" t="s">
        <v>8754</v>
      </c>
      <c r="N24">
        <v>10.5</v>
      </c>
      <c r="O24">
        <v>14511200</v>
      </c>
    </row>
    <row r="25" spans="2:15" x14ac:dyDescent="0.3">
      <c r="B25" s="203" t="s">
        <v>9911</v>
      </c>
      <c r="C25" s="204">
        <v>0.27439999999999998</v>
      </c>
      <c r="M25" t="s">
        <v>8755</v>
      </c>
      <c r="N25">
        <v>10.75</v>
      </c>
      <c r="O25">
        <v>17357500</v>
      </c>
    </row>
    <row r="26" spans="2:15" x14ac:dyDescent="0.3">
      <c r="B26" s="203" t="s">
        <v>9912</v>
      </c>
      <c r="C26" s="204">
        <v>0.42659999999999998</v>
      </c>
      <c r="M26" t="s">
        <v>8756</v>
      </c>
      <c r="N26">
        <v>10.76</v>
      </c>
      <c r="O26">
        <v>17671200</v>
      </c>
    </row>
    <row r="27" spans="2:15" x14ac:dyDescent="0.3">
      <c r="B27" s="203" t="s">
        <v>9914</v>
      </c>
      <c r="C27" s="204">
        <v>0.15590000000000001</v>
      </c>
      <c r="M27" t="s">
        <v>258</v>
      </c>
      <c r="N27">
        <v>10.89</v>
      </c>
      <c r="O27">
        <v>9680900</v>
      </c>
    </row>
    <row r="28" spans="2:15" x14ac:dyDescent="0.3">
      <c r="B28" s="203" t="s">
        <v>9913</v>
      </c>
      <c r="C28" s="204">
        <v>2.0999999999999999E-3</v>
      </c>
      <c r="M28" t="s">
        <v>8757</v>
      </c>
      <c r="N28">
        <v>10.82</v>
      </c>
      <c r="O28">
        <v>17157100</v>
      </c>
    </row>
    <row r="29" spans="2:15" x14ac:dyDescent="0.3">
      <c r="M29" t="s">
        <v>8758</v>
      </c>
      <c r="N29">
        <v>11.07</v>
      </c>
      <c r="O29">
        <v>9199200</v>
      </c>
    </row>
    <row r="30" spans="2:15" x14ac:dyDescent="0.3">
      <c r="M30" t="s">
        <v>8759</v>
      </c>
      <c r="N30">
        <v>11.08</v>
      </c>
      <c r="O30">
        <v>11497600</v>
      </c>
    </row>
    <row r="31" spans="2:15" x14ac:dyDescent="0.3">
      <c r="M31" t="s">
        <v>8760</v>
      </c>
      <c r="N31">
        <v>11.32</v>
      </c>
      <c r="O31">
        <v>17333900</v>
      </c>
    </row>
    <row r="32" spans="2:15" x14ac:dyDescent="0.3">
      <c r="M32" t="s">
        <v>259</v>
      </c>
      <c r="N32">
        <v>11.6</v>
      </c>
      <c r="O32">
        <v>24835300</v>
      </c>
    </row>
    <row r="33" spans="13:15" x14ac:dyDescent="0.3">
      <c r="M33" t="s">
        <v>8761</v>
      </c>
      <c r="N33">
        <v>11.07</v>
      </c>
      <c r="O33">
        <v>16797600</v>
      </c>
    </row>
    <row r="34" spans="13:15" x14ac:dyDescent="0.3">
      <c r="M34" t="s">
        <v>8762</v>
      </c>
      <c r="N34">
        <v>10.91</v>
      </c>
      <c r="O34">
        <v>14030500</v>
      </c>
    </row>
    <row r="35" spans="13:15" x14ac:dyDescent="0.3">
      <c r="M35" t="s">
        <v>8763</v>
      </c>
      <c r="N35">
        <v>10.93</v>
      </c>
      <c r="O35">
        <v>17975200</v>
      </c>
    </row>
    <row r="36" spans="13:15" x14ac:dyDescent="0.3">
      <c r="M36" t="s">
        <v>8764</v>
      </c>
      <c r="N36">
        <v>11.13</v>
      </c>
      <c r="O36">
        <v>20180800</v>
      </c>
    </row>
    <row r="37" spans="13:15" x14ac:dyDescent="0.3">
      <c r="M37" t="s">
        <v>8765</v>
      </c>
      <c r="N37">
        <v>11.7</v>
      </c>
      <c r="O37">
        <v>19837900</v>
      </c>
    </row>
    <row r="38" spans="13:15" x14ac:dyDescent="0.3">
      <c r="M38" t="s">
        <v>8766</v>
      </c>
      <c r="N38">
        <v>12.09</v>
      </c>
      <c r="O38">
        <v>11957100</v>
      </c>
    </row>
    <row r="39" spans="13:15" x14ac:dyDescent="0.3">
      <c r="M39" t="s">
        <v>8767</v>
      </c>
      <c r="N39">
        <v>11.97</v>
      </c>
      <c r="O39">
        <v>11007700</v>
      </c>
    </row>
    <row r="40" spans="13:15" x14ac:dyDescent="0.3">
      <c r="M40" t="s">
        <v>8768</v>
      </c>
      <c r="N40">
        <v>12</v>
      </c>
      <c r="O40">
        <v>16393700</v>
      </c>
    </row>
    <row r="41" spans="13:15" x14ac:dyDescent="0.3">
      <c r="M41" t="s">
        <v>261</v>
      </c>
      <c r="N41">
        <v>12.06</v>
      </c>
      <c r="O41">
        <v>14547900</v>
      </c>
    </row>
    <row r="42" spans="13:15" x14ac:dyDescent="0.3">
      <c r="M42" t="s">
        <v>8769</v>
      </c>
      <c r="N42">
        <v>12.05</v>
      </c>
      <c r="O42">
        <v>11604300</v>
      </c>
    </row>
    <row r="43" spans="13:15" x14ac:dyDescent="0.3">
      <c r="M43" t="s">
        <v>8770</v>
      </c>
      <c r="N43">
        <v>11.9</v>
      </c>
      <c r="O43">
        <v>17711800</v>
      </c>
    </row>
    <row r="44" spans="13:15" x14ac:dyDescent="0.3">
      <c r="M44" t="s">
        <v>8771</v>
      </c>
      <c r="N44">
        <v>11.69</v>
      </c>
      <c r="O44">
        <v>6728000</v>
      </c>
    </row>
    <row r="45" spans="13:15" x14ac:dyDescent="0.3">
      <c r="M45" t="s">
        <v>8772</v>
      </c>
      <c r="N45">
        <v>12.03</v>
      </c>
      <c r="O45">
        <v>8604700</v>
      </c>
    </row>
    <row r="46" spans="13:15" x14ac:dyDescent="0.3">
      <c r="M46" t="s">
        <v>262</v>
      </c>
      <c r="N46">
        <v>11.82</v>
      </c>
      <c r="O46">
        <v>15911000</v>
      </c>
    </row>
    <row r="47" spans="13:15" x14ac:dyDescent="0.3">
      <c r="M47" t="s">
        <v>8773</v>
      </c>
      <c r="N47">
        <v>11.94</v>
      </c>
      <c r="O47">
        <v>16035200</v>
      </c>
    </row>
    <row r="48" spans="13:15" x14ac:dyDescent="0.3">
      <c r="M48" t="s">
        <v>8774</v>
      </c>
      <c r="N48">
        <v>11.83</v>
      </c>
      <c r="O48">
        <v>14693100</v>
      </c>
    </row>
    <row r="49" spans="13:15" x14ac:dyDescent="0.3">
      <c r="M49" t="s">
        <v>8775</v>
      </c>
      <c r="N49">
        <v>12.03</v>
      </c>
      <c r="O49">
        <v>21522300</v>
      </c>
    </row>
    <row r="50" spans="13:15" x14ac:dyDescent="0.3">
      <c r="M50" t="s">
        <v>8776</v>
      </c>
      <c r="N50">
        <v>11.83</v>
      </c>
      <c r="O50">
        <v>19065200</v>
      </c>
    </row>
    <row r="51" spans="13:15" x14ac:dyDescent="0.3">
      <c r="M51" t="s">
        <v>263</v>
      </c>
      <c r="N51">
        <v>11.62</v>
      </c>
      <c r="O51">
        <v>15418500</v>
      </c>
    </row>
    <row r="52" spans="13:15" x14ac:dyDescent="0.3">
      <c r="M52" t="s">
        <v>8777</v>
      </c>
      <c r="N52">
        <v>12.09</v>
      </c>
      <c r="O52">
        <v>11033200</v>
      </c>
    </row>
    <row r="53" spans="13:15" x14ac:dyDescent="0.3">
      <c r="M53" t="s">
        <v>8778</v>
      </c>
      <c r="N53">
        <v>12.41</v>
      </c>
      <c r="O53">
        <v>15555300</v>
      </c>
    </row>
    <row r="54" spans="13:15" x14ac:dyDescent="0.3">
      <c r="M54" t="s">
        <v>8779</v>
      </c>
      <c r="N54">
        <v>12.28</v>
      </c>
      <c r="O54">
        <v>16074700</v>
      </c>
    </row>
    <row r="55" spans="13:15" x14ac:dyDescent="0.3">
      <c r="M55" t="s">
        <v>8780</v>
      </c>
      <c r="N55">
        <v>12.6</v>
      </c>
      <c r="O55">
        <v>14448800</v>
      </c>
    </row>
    <row r="56" spans="13:15" x14ac:dyDescent="0.3">
      <c r="M56" t="s">
        <v>264</v>
      </c>
      <c r="N56">
        <v>12.56</v>
      </c>
      <c r="O56">
        <v>12604300</v>
      </c>
    </row>
    <row r="57" spans="13:15" x14ac:dyDescent="0.3">
      <c r="M57" t="s">
        <v>8781</v>
      </c>
      <c r="N57">
        <v>12.53</v>
      </c>
      <c r="O57">
        <v>15272100</v>
      </c>
    </row>
    <row r="58" spans="13:15" x14ac:dyDescent="0.3">
      <c r="M58" t="s">
        <v>8782</v>
      </c>
      <c r="N58">
        <v>12.36</v>
      </c>
      <c r="O58">
        <v>33115000</v>
      </c>
    </row>
    <row r="59" spans="13:15" x14ac:dyDescent="0.3">
      <c r="M59" t="s">
        <v>8783</v>
      </c>
      <c r="N59">
        <v>12.48</v>
      </c>
      <c r="O59">
        <v>22906700</v>
      </c>
    </row>
    <row r="60" spans="13:15" x14ac:dyDescent="0.3">
      <c r="M60" t="s">
        <v>8784</v>
      </c>
      <c r="N60">
        <v>12.6</v>
      </c>
      <c r="O60">
        <v>19825900</v>
      </c>
    </row>
    <row r="61" spans="13:15" x14ac:dyDescent="0.3">
      <c r="M61" t="s">
        <v>265</v>
      </c>
      <c r="N61">
        <v>12.25</v>
      </c>
      <c r="O61">
        <v>30556300</v>
      </c>
    </row>
    <row r="62" spans="13:15" x14ac:dyDescent="0.3">
      <c r="M62" t="s">
        <v>8785</v>
      </c>
      <c r="N62">
        <v>12.03</v>
      </c>
      <c r="O62">
        <v>18091400</v>
      </c>
    </row>
    <row r="63" spans="13:15" x14ac:dyDescent="0.3">
      <c r="M63" t="s">
        <v>8786</v>
      </c>
      <c r="N63">
        <v>11.95</v>
      </c>
      <c r="O63">
        <v>20245200</v>
      </c>
    </row>
    <row r="64" spans="13:15" x14ac:dyDescent="0.3">
      <c r="M64" t="s">
        <v>8787</v>
      </c>
      <c r="N64">
        <v>12.6</v>
      </c>
      <c r="O64">
        <v>30088300</v>
      </c>
    </row>
    <row r="65" spans="13:15" x14ac:dyDescent="0.3">
      <c r="M65" t="s">
        <v>8788</v>
      </c>
      <c r="N65">
        <v>12.35</v>
      </c>
      <c r="O65">
        <v>41732500</v>
      </c>
    </row>
    <row r="66" spans="13:15" x14ac:dyDescent="0.3">
      <c r="M66" t="s">
        <v>266</v>
      </c>
      <c r="N66">
        <v>11.7</v>
      </c>
      <c r="O66">
        <v>47793100</v>
      </c>
    </row>
    <row r="67" spans="13:15" x14ac:dyDescent="0.3">
      <c r="M67" t="s">
        <v>8789</v>
      </c>
      <c r="N67">
        <v>11.11</v>
      </c>
      <c r="O67">
        <v>29071800</v>
      </c>
    </row>
    <row r="68" spans="13:15" x14ac:dyDescent="0.3">
      <c r="M68" t="s">
        <v>8790</v>
      </c>
      <c r="N68">
        <v>10.67</v>
      </c>
      <c r="O68">
        <v>39061000</v>
      </c>
    </row>
    <row r="69" spans="13:15" x14ac:dyDescent="0.3">
      <c r="M69" t="s">
        <v>8791</v>
      </c>
      <c r="N69">
        <v>10.93</v>
      </c>
      <c r="O69">
        <v>29623500</v>
      </c>
    </row>
    <row r="70" spans="13:15" x14ac:dyDescent="0.3">
      <c r="M70" t="s">
        <v>8792</v>
      </c>
      <c r="N70">
        <v>11.16</v>
      </c>
      <c r="O70">
        <v>16905900</v>
      </c>
    </row>
    <row r="71" spans="13:15" x14ac:dyDescent="0.3">
      <c r="M71" t="s">
        <v>267</v>
      </c>
      <c r="N71">
        <v>11.31</v>
      </c>
      <c r="O71">
        <v>22350400</v>
      </c>
    </row>
    <row r="72" spans="13:15" x14ac:dyDescent="0.3">
      <c r="M72" t="s">
        <v>8793</v>
      </c>
      <c r="N72">
        <v>11.49</v>
      </c>
      <c r="O72">
        <v>18944400</v>
      </c>
    </row>
    <row r="73" spans="13:15" x14ac:dyDescent="0.3">
      <c r="M73" t="s">
        <v>8794</v>
      </c>
      <c r="N73">
        <v>11.53</v>
      </c>
      <c r="O73">
        <v>30549100</v>
      </c>
    </row>
    <row r="74" spans="13:15" x14ac:dyDescent="0.3">
      <c r="M74" t="s">
        <v>8795</v>
      </c>
      <c r="N74">
        <v>11.04</v>
      </c>
      <c r="O74">
        <v>28665800</v>
      </c>
    </row>
    <row r="75" spans="13:15" x14ac:dyDescent="0.3">
      <c r="M75" t="s">
        <v>8796</v>
      </c>
      <c r="N75">
        <v>11.05</v>
      </c>
      <c r="O75">
        <v>23874900</v>
      </c>
    </row>
    <row r="76" spans="13:15" x14ac:dyDescent="0.3">
      <c r="M76" t="s">
        <v>268</v>
      </c>
      <c r="N76">
        <v>11.5</v>
      </c>
      <c r="O76">
        <v>26638300</v>
      </c>
    </row>
    <row r="77" spans="13:15" x14ac:dyDescent="0.3">
      <c r="M77" t="s">
        <v>8797</v>
      </c>
      <c r="N77">
        <v>10.94</v>
      </c>
      <c r="O77">
        <v>15888800</v>
      </c>
    </row>
    <row r="78" spans="13:15" x14ac:dyDescent="0.3">
      <c r="M78" t="s">
        <v>8798</v>
      </c>
      <c r="N78">
        <v>11.13</v>
      </c>
      <c r="O78">
        <v>12176700</v>
      </c>
    </row>
    <row r="79" spans="13:15" x14ac:dyDescent="0.3">
      <c r="M79" t="s">
        <v>8799</v>
      </c>
      <c r="N79">
        <v>10.93</v>
      </c>
      <c r="O79">
        <v>44311900</v>
      </c>
    </row>
    <row r="80" spans="13:15" x14ac:dyDescent="0.3">
      <c r="M80" t="s">
        <v>8800</v>
      </c>
      <c r="N80">
        <v>11.27</v>
      </c>
      <c r="O80">
        <v>18506800</v>
      </c>
    </row>
    <row r="81" spans="13:15" x14ac:dyDescent="0.3">
      <c r="M81" t="s">
        <v>269</v>
      </c>
      <c r="N81">
        <v>10.88</v>
      </c>
      <c r="O81">
        <v>17356200</v>
      </c>
    </row>
    <row r="82" spans="13:15" x14ac:dyDescent="0.3">
      <c r="M82" t="s">
        <v>8801</v>
      </c>
      <c r="N82">
        <v>11.16</v>
      </c>
      <c r="O82">
        <v>20504600</v>
      </c>
    </row>
    <row r="83" spans="13:15" x14ac:dyDescent="0.3">
      <c r="M83" t="s">
        <v>8802</v>
      </c>
      <c r="N83">
        <v>10.65</v>
      </c>
      <c r="O83">
        <v>28803500</v>
      </c>
    </row>
    <row r="84" spans="13:15" x14ac:dyDescent="0.3">
      <c r="M84" t="s">
        <v>8803</v>
      </c>
      <c r="N84">
        <v>10.49</v>
      </c>
      <c r="O84">
        <v>18011400</v>
      </c>
    </row>
    <row r="85" spans="13:15" x14ac:dyDescent="0.3">
      <c r="M85" t="s">
        <v>270</v>
      </c>
      <c r="N85">
        <v>10.7</v>
      </c>
      <c r="O85">
        <v>17432700</v>
      </c>
    </row>
    <row r="86" spans="13:15" x14ac:dyDescent="0.3">
      <c r="M86" t="s">
        <v>8804</v>
      </c>
      <c r="N86">
        <v>10.78</v>
      </c>
      <c r="O86">
        <v>17504500</v>
      </c>
    </row>
    <row r="87" spans="13:15" x14ac:dyDescent="0.3">
      <c r="M87" t="s">
        <v>8805</v>
      </c>
      <c r="N87">
        <v>10.57</v>
      </c>
      <c r="O87">
        <v>28691300</v>
      </c>
    </row>
    <row r="88" spans="13:15" x14ac:dyDescent="0.3">
      <c r="M88" t="s">
        <v>8806</v>
      </c>
      <c r="N88">
        <v>10.93</v>
      </c>
      <c r="O88">
        <v>22637100</v>
      </c>
    </row>
    <row r="89" spans="13:15" x14ac:dyDescent="0.3">
      <c r="M89" t="s">
        <v>8807</v>
      </c>
      <c r="N89">
        <v>10.79</v>
      </c>
      <c r="O89">
        <v>34590100</v>
      </c>
    </row>
    <row r="90" spans="13:15" x14ac:dyDescent="0.3">
      <c r="M90" t="s">
        <v>271</v>
      </c>
      <c r="N90">
        <v>10.77</v>
      </c>
      <c r="O90">
        <v>33480500</v>
      </c>
    </row>
    <row r="91" spans="13:15" x14ac:dyDescent="0.3">
      <c r="M91" t="s">
        <v>8808</v>
      </c>
      <c r="N91">
        <v>10.57</v>
      </c>
      <c r="O91">
        <v>63561800</v>
      </c>
    </row>
    <row r="92" spans="13:15" x14ac:dyDescent="0.3">
      <c r="M92" t="s">
        <v>8809</v>
      </c>
      <c r="N92">
        <v>11.7</v>
      </c>
      <c r="O92">
        <v>32500100</v>
      </c>
    </row>
    <row r="93" spans="13:15" x14ac:dyDescent="0.3">
      <c r="M93" t="s">
        <v>8810</v>
      </c>
      <c r="N93">
        <v>11.97</v>
      </c>
      <c r="O93">
        <v>17804800</v>
      </c>
    </row>
    <row r="94" spans="13:15" x14ac:dyDescent="0.3">
      <c r="M94" t="s">
        <v>272</v>
      </c>
      <c r="N94">
        <v>11.6</v>
      </c>
      <c r="O94">
        <v>15029000</v>
      </c>
    </row>
    <row r="95" spans="13:15" x14ac:dyDescent="0.3">
      <c r="M95" t="s">
        <v>8811</v>
      </c>
      <c r="N95">
        <v>11.74</v>
      </c>
      <c r="O95">
        <v>7443300</v>
      </c>
    </row>
    <row r="96" spans="13:15" x14ac:dyDescent="0.3">
      <c r="M96" t="s">
        <v>8812</v>
      </c>
      <c r="N96">
        <v>11.6</v>
      </c>
      <c r="O96">
        <v>10272500</v>
      </c>
    </row>
    <row r="97" spans="13:15" x14ac:dyDescent="0.3">
      <c r="M97" t="s">
        <v>8813</v>
      </c>
      <c r="N97">
        <v>11.76</v>
      </c>
      <c r="O97">
        <v>11298600</v>
      </c>
    </row>
    <row r="98" spans="13:15" x14ac:dyDescent="0.3">
      <c r="M98" t="s">
        <v>8814</v>
      </c>
      <c r="N98">
        <v>11.98</v>
      </c>
      <c r="O98">
        <v>10546600</v>
      </c>
    </row>
    <row r="99" spans="13:15" x14ac:dyDescent="0.3">
      <c r="M99" t="s">
        <v>273</v>
      </c>
      <c r="N99">
        <v>12.02</v>
      </c>
      <c r="O99">
        <v>12375000</v>
      </c>
    </row>
    <row r="100" spans="13:15" x14ac:dyDescent="0.3">
      <c r="M100" t="s">
        <v>8815</v>
      </c>
      <c r="N100">
        <v>12.14</v>
      </c>
      <c r="O100">
        <v>8239600</v>
      </c>
    </row>
    <row r="101" spans="13:15" x14ac:dyDescent="0.3">
      <c r="M101" t="s">
        <v>8816</v>
      </c>
      <c r="N101">
        <v>12.3</v>
      </c>
      <c r="O101">
        <v>14882500</v>
      </c>
    </row>
    <row r="102" spans="13:15" x14ac:dyDescent="0.3">
      <c r="M102" t="s">
        <v>8817</v>
      </c>
      <c r="N102">
        <v>12.2</v>
      </c>
      <c r="O102">
        <v>17725700</v>
      </c>
    </row>
    <row r="103" spans="13:15" x14ac:dyDescent="0.3">
      <c r="M103" t="s">
        <v>8818</v>
      </c>
      <c r="N103">
        <v>12.8</v>
      </c>
      <c r="O103">
        <v>23013900</v>
      </c>
    </row>
    <row r="104" spans="13:15" x14ac:dyDescent="0.3">
      <c r="M104" t="s">
        <v>274</v>
      </c>
      <c r="N104">
        <v>13.13</v>
      </c>
      <c r="O104">
        <v>34182100</v>
      </c>
    </row>
    <row r="105" spans="13:15" x14ac:dyDescent="0.3">
      <c r="M105" t="s">
        <v>8819</v>
      </c>
      <c r="N105">
        <v>12.38</v>
      </c>
      <c r="O105">
        <v>27699800</v>
      </c>
    </row>
    <row r="106" spans="13:15" x14ac:dyDescent="0.3">
      <c r="M106" t="s">
        <v>8820</v>
      </c>
      <c r="N106">
        <v>12.43</v>
      </c>
      <c r="O106">
        <v>33405700</v>
      </c>
    </row>
    <row r="107" spans="13:15" x14ac:dyDescent="0.3">
      <c r="M107" t="s">
        <v>8821</v>
      </c>
      <c r="N107">
        <v>12.13</v>
      </c>
      <c r="O107">
        <v>15036500</v>
      </c>
    </row>
    <row r="108" spans="13:15" x14ac:dyDescent="0.3">
      <c r="M108" t="s">
        <v>8822</v>
      </c>
      <c r="N108">
        <v>11.82</v>
      </c>
      <c r="O108">
        <v>22361400</v>
      </c>
    </row>
    <row r="109" spans="13:15" x14ac:dyDescent="0.3">
      <c r="M109" t="s">
        <v>8823</v>
      </c>
      <c r="N109">
        <v>12.4</v>
      </c>
      <c r="O109">
        <v>19027200</v>
      </c>
    </row>
    <row r="110" spans="13:15" x14ac:dyDescent="0.3">
      <c r="M110" t="s">
        <v>8824</v>
      </c>
      <c r="N110">
        <v>12.37</v>
      </c>
      <c r="O110">
        <v>17329800</v>
      </c>
    </row>
    <row r="111" spans="13:15" x14ac:dyDescent="0.3">
      <c r="M111" t="s">
        <v>8825</v>
      </c>
      <c r="N111">
        <v>12.5</v>
      </c>
      <c r="O111">
        <v>28776000</v>
      </c>
    </row>
    <row r="112" spans="13:15" x14ac:dyDescent="0.3">
      <c r="M112" t="s">
        <v>8826</v>
      </c>
      <c r="N112">
        <v>12.45</v>
      </c>
      <c r="O112">
        <v>22702700</v>
      </c>
    </row>
    <row r="113" spans="13:15" x14ac:dyDescent="0.3">
      <c r="M113" t="s">
        <v>276</v>
      </c>
      <c r="N113">
        <v>12.32</v>
      </c>
      <c r="O113">
        <v>22950900</v>
      </c>
    </row>
    <row r="114" spans="13:15" x14ac:dyDescent="0.3">
      <c r="M114" t="s">
        <v>8827</v>
      </c>
      <c r="N114">
        <v>11.81</v>
      </c>
      <c r="O114">
        <v>18788100</v>
      </c>
    </row>
    <row r="115" spans="13:15" x14ac:dyDescent="0.3">
      <c r="M115" t="s">
        <v>8828</v>
      </c>
      <c r="N115">
        <v>11.41</v>
      </c>
      <c r="O115">
        <v>11782300</v>
      </c>
    </row>
    <row r="116" spans="13:15" x14ac:dyDescent="0.3">
      <c r="M116" t="s">
        <v>8829</v>
      </c>
      <c r="N116">
        <v>11.61</v>
      </c>
      <c r="O116">
        <v>12549500</v>
      </c>
    </row>
    <row r="117" spans="13:15" x14ac:dyDescent="0.3">
      <c r="M117" t="s">
        <v>8830</v>
      </c>
      <c r="N117">
        <v>11.8</v>
      </c>
      <c r="O117">
        <v>10114300</v>
      </c>
    </row>
    <row r="118" spans="13:15" x14ac:dyDescent="0.3">
      <c r="M118" t="s">
        <v>277</v>
      </c>
      <c r="N118">
        <v>12.04</v>
      </c>
      <c r="O118">
        <v>11768600</v>
      </c>
    </row>
    <row r="119" spans="13:15" x14ac:dyDescent="0.3">
      <c r="M119" t="s">
        <v>8831</v>
      </c>
      <c r="N119">
        <v>12.56</v>
      </c>
      <c r="O119">
        <v>12856600</v>
      </c>
    </row>
    <row r="120" spans="13:15" x14ac:dyDescent="0.3">
      <c r="M120" t="s">
        <v>8832</v>
      </c>
      <c r="N120">
        <v>12.3</v>
      </c>
      <c r="O120">
        <v>11742600</v>
      </c>
    </row>
    <row r="121" spans="13:15" x14ac:dyDescent="0.3">
      <c r="M121" t="s">
        <v>8833</v>
      </c>
      <c r="N121">
        <v>12.37</v>
      </c>
      <c r="O121">
        <v>16179400</v>
      </c>
    </row>
    <row r="122" spans="13:15" x14ac:dyDescent="0.3">
      <c r="M122" t="s">
        <v>8834</v>
      </c>
      <c r="N122">
        <v>12.2</v>
      </c>
      <c r="O122">
        <v>10423300</v>
      </c>
    </row>
    <row r="123" spans="13:15" x14ac:dyDescent="0.3">
      <c r="M123" t="s">
        <v>278</v>
      </c>
      <c r="N123">
        <v>11.98</v>
      </c>
      <c r="O123">
        <v>11735400</v>
      </c>
    </row>
    <row r="124" spans="13:15" x14ac:dyDescent="0.3">
      <c r="M124" t="s">
        <v>8835</v>
      </c>
      <c r="N124">
        <v>12.22</v>
      </c>
      <c r="O124">
        <v>8389800</v>
      </c>
    </row>
    <row r="125" spans="13:15" x14ac:dyDescent="0.3">
      <c r="M125" t="s">
        <v>8836</v>
      </c>
      <c r="N125">
        <v>12.2</v>
      </c>
      <c r="O125">
        <v>13167800</v>
      </c>
    </row>
    <row r="126" spans="13:15" x14ac:dyDescent="0.3">
      <c r="M126" t="s">
        <v>8837</v>
      </c>
      <c r="N126">
        <v>12.08</v>
      </c>
      <c r="O126">
        <v>14906600</v>
      </c>
    </row>
    <row r="127" spans="13:15" x14ac:dyDescent="0.3">
      <c r="M127" t="s">
        <v>8838</v>
      </c>
      <c r="N127">
        <v>11.99</v>
      </c>
      <c r="O127">
        <v>18627200</v>
      </c>
    </row>
    <row r="128" spans="13:15" x14ac:dyDescent="0.3">
      <c r="M128" t="s">
        <v>279</v>
      </c>
      <c r="N128">
        <v>12.02</v>
      </c>
      <c r="O128">
        <v>20410400</v>
      </c>
    </row>
    <row r="129" spans="13:15" x14ac:dyDescent="0.3">
      <c r="M129" t="s">
        <v>8839</v>
      </c>
      <c r="N129">
        <v>12.59</v>
      </c>
      <c r="O129">
        <v>22912100</v>
      </c>
    </row>
    <row r="130" spans="13:15" x14ac:dyDescent="0.3">
      <c r="M130" t="s">
        <v>8840</v>
      </c>
      <c r="N130">
        <v>12.67</v>
      </c>
      <c r="O130">
        <v>33431700</v>
      </c>
    </row>
    <row r="131" spans="13:15" x14ac:dyDescent="0.3">
      <c r="M131" t="s">
        <v>8841</v>
      </c>
      <c r="N131">
        <v>13.19</v>
      </c>
      <c r="O131">
        <v>21799500</v>
      </c>
    </row>
    <row r="132" spans="13:15" x14ac:dyDescent="0.3">
      <c r="M132" t="s">
        <v>8842</v>
      </c>
      <c r="N132">
        <v>13.77</v>
      </c>
      <c r="O132">
        <v>19462600</v>
      </c>
    </row>
    <row r="133" spans="13:15" x14ac:dyDescent="0.3">
      <c r="M133" t="s">
        <v>280</v>
      </c>
      <c r="N133">
        <v>13.91</v>
      </c>
      <c r="O133">
        <v>13034400</v>
      </c>
    </row>
    <row r="134" spans="13:15" x14ac:dyDescent="0.3">
      <c r="M134" t="s">
        <v>8843</v>
      </c>
      <c r="N134">
        <v>14.15</v>
      </c>
      <c r="O134">
        <v>14210800</v>
      </c>
    </row>
    <row r="135" spans="13:15" x14ac:dyDescent="0.3">
      <c r="M135" t="s">
        <v>8844</v>
      </c>
      <c r="N135">
        <v>14.08</v>
      </c>
      <c r="O135">
        <v>16461800</v>
      </c>
    </row>
    <row r="136" spans="13:15" x14ac:dyDescent="0.3">
      <c r="M136" t="s">
        <v>8845</v>
      </c>
      <c r="N136">
        <v>14.01</v>
      </c>
      <c r="O136">
        <v>16260500</v>
      </c>
    </row>
    <row r="137" spans="13:15" x14ac:dyDescent="0.3">
      <c r="M137" t="s">
        <v>8846</v>
      </c>
      <c r="N137">
        <v>13.65</v>
      </c>
      <c r="O137">
        <v>14719900</v>
      </c>
    </row>
    <row r="138" spans="13:15" x14ac:dyDescent="0.3">
      <c r="M138" t="s">
        <v>281</v>
      </c>
      <c r="N138">
        <v>13.67</v>
      </c>
      <c r="O138">
        <v>15023700</v>
      </c>
    </row>
    <row r="139" spans="13:15" x14ac:dyDescent="0.3">
      <c r="M139" t="s">
        <v>8847</v>
      </c>
      <c r="N139">
        <v>13.01</v>
      </c>
      <c r="O139">
        <v>19339800</v>
      </c>
    </row>
    <row r="140" spans="13:15" x14ac:dyDescent="0.3">
      <c r="M140" t="s">
        <v>8848</v>
      </c>
      <c r="N140">
        <v>13.47</v>
      </c>
      <c r="O140">
        <v>21081000</v>
      </c>
    </row>
    <row r="141" spans="13:15" x14ac:dyDescent="0.3">
      <c r="M141" t="s">
        <v>8849</v>
      </c>
      <c r="N141">
        <v>13.7</v>
      </c>
      <c r="O141">
        <v>13072700</v>
      </c>
    </row>
    <row r="142" spans="13:15" x14ac:dyDescent="0.3">
      <c r="M142" t="s">
        <v>8850</v>
      </c>
      <c r="N142">
        <v>13.66</v>
      </c>
      <c r="O142">
        <v>17202300</v>
      </c>
    </row>
    <row r="143" spans="13:15" x14ac:dyDescent="0.3">
      <c r="M143" t="s">
        <v>282</v>
      </c>
      <c r="N143">
        <v>13.41</v>
      </c>
      <c r="O143">
        <v>9093000</v>
      </c>
    </row>
    <row r="144" spans="13:15" x14ac:dyDescent="0.3">
      <c r="M144" t="s">
        <v>8851</v>
      </c>
      <c r="N144">
        <v>13.45</v>
      </c>
      <c r="O144">
        <v>11172000</v>
      </c>
    </row>
    <row r="145" spans="13:15" x14ac:dyDescent="0.3">
      <c r="M145" t="s">
        <v>8852</v>
      </c>
      <c r="N145">
        <v>13.02</v>
      </c>
      <c r="O145">
        <v>14046400</v>
      </c>
    </row>
    <row r="146" spans="13:15" x14ac:dyDescent="0.3">
      <c r="M146" t="s">
        <v>8853</v>
      </c>
      <c r="N146">
        <v>13.22</v>
      </c>
      <c r="O146">
        <v>16621100</v>
      </c>
    </row>
    <row r="147" spans="13:15" x14ac:dyDescent="0.3">
      <c r="M147" t="s">
        <v>283</v>
      </c>
      <c r="N147">
        <v>12.97</v>
      </c>
      <c r="O147">
        <v>10980700</v>
      </c>
    </row>
    <row r="148" spans="13:15" x14ac:dyDescent="0.3">
      <c r="M148" t="s">
        <v>8854</v>
      </c>
      <c r="N148">
        <v>12.56</v>
      </c>
      <c r="O148">
        <v>11866900</v>
      </c>
    </row>
    <row r="149" spans="13:15" x14ac:dyDescent="0.3">
      <c r="M149" t="s">
        <v>8855</v>
      </c>
      <c r="N149">
        <v>12.88</v>
      </c>
      <c r="O149">
        <v>8750500</v>
      </c>
    </row>
    <row r="150" spans="13:15" x14ac:dyDescent="0.3">
      <c r="M150" t="s">
        <v>8856</v>
      </c>
      <c r="N150">
        <v>12.89</v>
      </c>
      <c r="O150">
        <v>11348100</v>
      </c>
    </row>
    <row r="151" spans="13:15" x14ac:dyDescent="0.3">
      <c r="M151" t="s">
        <v>8857</v>
      </c>
      <c r="N151">
        <v>12.8</v>
      </c>
      <c r="O151">
        <v>11069900</v>
      </c>
    </row>
    <row r="152" spans="13:15" x14ac:dyDescent="0.3">
      <c r="M152" t="s">
        <v>284</v>
      </c>
      <c r="N152">
        <v>13.02</v>
      </c>
      <c r="O152">
        <v>15983100</v>
      </c>
    </row>
    <row r="153" spans="13:15" x14ac:dyDescent="0.3">
      <c r="M153" t="s">
        <v>8858</v>
      </c>
      <c r="N153">
        <v>12.84</v>
      </c>
      <c r="O153">
        <v>100979500</v>
      </c>
    </row>
    <row r="154" spans="13:15" x14ac:dyDescent="0.3">
      <c r="M154" t="s">
        <v>8859</v>
      </c>
      <c r="N154">
        <v>12.77</v>
      </c>
      <c r="O154">
        <v>24317200</v>
      </c>
    </row>
    <row r="155" spans="13:15" x14ac:dyDescent="0.3">
      <c r="M155" t="s">
        <v>8860</v>
      </c>
      <c r="N155">
        <v>12.65</v>
      </c>
      <c r="O155">
        <v>25447600</v>
      </c>
    </row>
    <row r="156" spans="13:15" x14ac:dyDescent="0.3">
      <c r="M156" t="s">
        <v>8861</v>
      </c>
      <c r="N156">
        <v>12.92</v>
      </c>
      <c r="O156">
        <v>22008800</v>
      </c>
    </row>
    <row r="157" spans="13:15" x14ac:dyDescent="0.3">
      <c r="M157" t="s">
        <v>285</v>
      </c>
      <c r="N157">
        <v>12.98</v>
      </c>
      <c r="O157">
        <v>22523200</v>
      </c>
    </row>
    <row r="158" spans="13:15" x14ac:dyDescent="0.3">
      <c r="M158" t="s">
        <v>8862</v>
      </c>
      <c r="N158">
        <v>12.99</v>
      </c>
      <c r="O158">
        <v>10456500</v>
      </c>
    </row>
    <row r="159" spans="13:15" x14ac:dyDescent="0.3">
      <c r="M159" t="s">
        <v>8863</v>
      </c>
      <c r="N159">
        <v>13.16</v>
      </c>
      <c r="O159">
        <v>16372600</v>
      </c>
    </row>
    <row r="160" spans="13:15" x14ac:dyDescent="0.3">
      <c r="M160" t="s">
        <v>8864</v>
      </c>
      <c r="N160">
        <v>13.58</v>
      </c>
      <c r="O160">
        <v>15353300</v>
      </c>
    </row>
    <row r="161" spans="13:15" x14ac:dyDescent="0.3">
      <c r="M161" t="s">
        <v>8865</v>
      </c>
      <c r="N161">
        <v>13.74</v>
      </c>
      <c r="O161">
        <v>17286900</v>
      </c>
    </row>
    <row r="162" spans="13:15" x14ac:dyDescent="0.3">
      <c r="M162" t="s">
        <v>286</v>
      </c>
      <c r="N162">
        <v>14.11</v>
      </c>
      <c r="O162">
        <v>14572800</v>
      </c>
    </row>
    <row r="163" spans="13:15" x14ac:dyDescent="0.3">
      <c r="M163" t="s">
        <v>8866</v>
      </c>
      <c r="N163">
        <v>14.13</v>
      </c>
      <c r="O163">
        <v>15217400</v>
      </c>
    </row>
    <row r="164" spans="13:15" x14ac:dyDescent="0.3">
      <c r="M164" t="s">
        <v>8867</v>
      </c>
      <c r="N164">
        <v>14.1</v>
      </c>
      <c r="O164">
        <v>14782300</v>
      </c>
    </row>
    <row r="165" spans="13:15" x14ac:dyDescent="0.3">
      <c r="M165" t="s">
        <v>8868</v>
      </c>
      <c r="N165">
        <v>14.03</v>
      </c>
      <c r="O165">
        <v>20009500</v>
      </c>
    </row>
    <row r="166" spans="13:15" x14ac:dyDescent="0.3">
      <c r="M166" t="s">
        <v>8869</v>
      </c>
      <c r="N166">
        <v>13.92</v>
      </c>
      <c r="O166">
        <v>11463100</v>
      </c>
    </row>
    <row r="167" spans="13:15" x14ac:dyDescent="0.3">
      <c r="M167" t="s">
        <v>287</v>
      </c>
      <c r="N167">
        <v>13.89</v>
      </c>
      <c r="O167">
        <v>10539300</v>
      </c>
    </row>
    <row r="168" spans="13:15" x14ac:dyDescent="0.3">
      <c r="M168" t="s">
        <v>8870</v>
      </c>
      <c r="N168">
        <v>14.13</v>
      </c>
      <c r="O168">
        <v>16921500</v>
      </c>
    </row>
    <row r="169" spans="13:15" x14ac:dyDescent="0.3">
      <c r="M169" t="s">
        <v>8871</v>
      </c>
      <c r="N169">
        <v>14.39</v>
      </c>
      <c r="O169">
        <v>19283300</v>
      </c>
    </row>
    <row r="170" spans="13:15" x14ac:dyDescent="0.3">
      <c r="M170" t="s">
        <v>8872</v>
      </c>
      <c r="N170">
        <v>13.94</v>
      </c>
      <c r="O170">
        <v>28804500</v>
      </c>
    </row>
    <row r="171" spans="13:15" x14ac:dyDescent="0.3">
      <c r="M171" t="s">
        <v>8873</v>
      </c>
      <c r="N171">
        <v>13.55</v>
      </c>
      <c r="O171">
        <v>25141200</v>
      </c>
    </row>
    <row r="172" spans="13:15" x14ac:dyDescent="0.3">
      <c r="M172" t="s">
        <v>288</v>
      </c>
      <c r="N172">
        <v>13.62</v>
      </c>
      <c r="O172">
        <v>23772100</v>
      </c>
    </row>
    <row r="173" spans="13:15" x14ac:dyDescent="0.3">
      <c r="M173" t="s">
        <v>8874</v>
      </c>
      <c r="N173">
        <v>14.34</v>
      </c>
      <c r="O173">
        <v>15845900</v>
      </c>
    </row>
    <row r="174" spans="13:15" x14ac:dyDescent="0.3">
      <c r="M174" t="s">
        <v>8875</v>
      </c>
      <c r="N174">
        <v>14.24</v>
      </c>
      <c r="O174">
        <v>18068200</v>
      </c>
    </row>
    <row r="175" spans="13:15" x14ac:dyDescent="0.3">
      <c r="M175" t="s">
        <v>8876</v>
      </c>
      <c r="N175">
        <v>14.73</v>
      </c>
      <c r="O175">
        <v>14666600</v>
      </c>
    </row>
    <row r="176" spans="13:15" x14ac:dyDescent="0.3">
      <c r="M176" t="s">
        <v>8877</v>
      </c>
      <c r="N176">
        <v>14.44</v>
      </c>
      <c r="O176">
        <v>23069500</v>
      </c>
    </row>
    <row r="177" spans="13:15" x14ac:dyDescent="0.3">
      <c r="M177" t="s">
        <v>8878</v>
      </c>
      <c r="N177">
        <v>14.41</v>
      </c>
      <c r="O177">
        <v>19838300</v>
      </c>
    </row>
    <row r="178" spans="13:15" x14ac:dyDescent="0.3">
      <c r="M178" t="s">
        <v>8879</v>
      </c>
      <c r="N178">
        <v>13.91</v>
      </c>
      <c r="O178">
        <v>32387500</v>
      </c>
    </row>
    <row r="179" spans="13:15" x14ac:dyDescent="0.3">
      <c r="M179" t="s">
        <v>8880</v>
      </c>
      <c r="N179">
        <v>15.43</v>
      </c>
      <c r="O179">
        <v>12472900</v>
      </c>
    </row>
    <row r="180" spans="13:15" x14ac:dyDescent="0.3">
      <c r="M180" t="s">
        <v>8881</v>
      </c>
      <c r="N180">
        <v>16.260000000000002</v>
      </c>
      <c r="O180">
        <v>9978100</v>
      </c>
    </row>
    <row r="181" spans="13:15" x14ac:dyDescent="0.3">
      <c r="M181" t="s">
        <v>290</v>
      </c>
      <c r="N181">
        <v>15.96</v>
      </c>
      <c r="O181">
        <v>10278200</v>
      </c>
    </row>
    <row r="182" spans="13:15" x14ac:dyDescent="0.3">
      <c r="M182" t="s">
        <v>8882</v>
      </c>
      <c r="N182">
        <v>16.48</v>
      </c>
      <c r="O182">
        <v>14622500</v>
      </c>
    </row>
    <row r="183" spans="13:15" x14ac:dyDescent="0.3">
      <c r="M183" t="s">
        <v>8883</v>
      </c>
      <c r="N183">
        <v>16.440000000000001</v>
      </c>
      <c r="O183">
        <v>13642800</v>
      </c>
    </row>
    <row r="184" spans="13:15" x14ac:dyDescent="0.3">
      <c r="M184" t="s">
        <v>8884</v>
      </c>
      <c r="N184">
        <v>16.39</v>
      </c>
      <c r="O184">
        <v>32385600</v>
      </c>
    </row>
    <row r="185" spans="13:15" x14ac:dyDescent="0.3">
      <c r="M185" t="s">
        <v>8885</v>
      </c>
      <c r="N185">
        <v>16.95</v>
      </c>
      <c r="O185">
        <v>29449200</v>
      </c>
    </row>
    <row r="186" spans="13:15" x14ac:dyDescent="0.3">
      <c r="M186" t="s">
        <v>291</v>
      </c>
      <c r="N186">
        <v>17.95</v>
      </c>
      <c r="O186">
        <v>14203800</v>
      </c>
    </row>
    <row r="187" spans="13:15" x14ac:dyDescent="0.3">
      <c r="M187" t="s">
        <v>8886</v>
      </c>
      <c r="N187">
        <v>17.21</v>
      </c>
      <c r="O187">
        <v>17190500</v>
      </c>
    </row>
    <row r="188" spans="13:15" x14ac:dyDescent="0.3">
      <c r="M188" t="s">
        <v>8887</v>
      </c>
      <c r="N188">
        <v>17.37</v>
      </c>
      <c r="O188">
        <v>15133900</v>
      </c>
    </row>
    <row r="189" spans="13:15" x14ac:dyDescent="0.3">
      <c r="M189" t="s">
        <v>8888</v>
      </c>
      <c r="N189">
        <v>17.55</v>
      </c>
      <c r="O189">
        <v>8729200</v>
      </c>
    </row>
    <row r="190" spans="13:15" x14ac:dyDescent="0.3">
      <c r="M190" t="s">
        <v>8889</v>
      </c>
      <c r="N190">
        <v>17.86</v>
      </c>
      <c r="O190">
        <v>7960200</v>
      </c>
    </row>
    <row r="191" spans="13:15" x14ac:dyDescent="0.3">
      <c r="M191" t="s">
        <v>292</v>
      </c>
      <c r="N191">
        <v>18.16</v>
      </c>
      <c r="O191">
        <v>5162400</v>
      </c>
    </row>
    <row r="192" spans="13:15" x14ac:dyDescent="0.3">
      <c r="M192" t="s">
        <v>8890</v>
      </c>
      <c r="N192">
        <v>17.850000000000001</v>
      </c>
      <c r="O192">
        <v>4347600</v>
      </c>
    </row>
    <row r="193" spans="13:15" x14ac:dyDescent="0.3">
      <c r="M193" t="s">
        <v>8891</v>
      </c>
      <c r="N193">
        <v>17.899999999999999</v>
      </c>
      <c r="O193">
        <v>7346300</v>
      </c>
    </row>
    <row r="194" spans="13:15" x14ac:dyDescent="0.3">
      <c r="M194" t="s">
        <v>8892</v>
      </c>
      <c r="N194">
        <v>17.920000000000002</v>
      </c>
      <c r="O194">
        <v>9311900</v>
      </c>
    </row>
    <row r="195" spans="13:15" x14ac:dyDescent="0.3">
      <c r="M195" t="s">
        <v>8893</v>
      </c>
      <c r="N195">
        <v>17.82</v>
      </c>
      <c r="O195">
        <v>8885400</v>
      </c>
    </row>
    <row r="196" spans="13:15" x14ac:dyDescent="0.3">
      <c r="M196" t="s">
        <v>8894</v>
      </c>
      <c r="N196">
        <v>18.239999999999998</v>
      </c>
      <c r="O196">
        <v>12792700</v>
      </c>
    </row>
    <row r="197" spans="13:15" x14ac:dyDescent="0.3">
      <c r="M197" t="s">
        <v>8895</v>
      </c>
      <c r="N197">
        <v>18.420000000000002</v>
      </c>
      <c r="O197">
        <v>19077800</v>
      </c>
    </row>
    <row r="198" spans="13:15" x14ac:dyDescent="0.3">
      <c r="M198" t="s">
        <v>8896</v>
      </c>
      <c r="N198">
        <v>18.940000000000001</v>
      </c>
      <c r="O198">
        <v>37606900</v>
      </c>
    </row>
    <row r="199" spans="13:15" x14ac:dyDescent="0.3">
      <c r="M199" t="s">
        <v>8897</v>
      </c>
      <c r="N199">
        <v>17.149999999999999</v>
      </c>
      <c r="O199">
        <v>19913500</v>
      </c>
    </row>
    <row r="200" spans="13:15" x14ac:dyDescent="0.3">
      <c r="M200" t="s">
        <v>294</v>
      </c>
      <c r="N200">
        <v>17.420000000000002</v>
      </c>
      <c r="O200">
        <v>12811600</v>
      </c>
    </row>
    <row r="201" spans="13:15" x14ac:dyDescent="0.3">
      <c r="M201" t="s">
        <v>8898</v>
      </c>
      <c r="N201">
        <v>17.45</v>
      </c>
      <c r="O201">
        <v>6356300</v>
      </c>
    </row>
    <row r="202" spans="13:15" x14ac:dyDescent="0.3">
      <c r="M202" t="s">
        <v>8899</v>
      </c>
      <c r="N202">
        <v>17.66</v>
      </c>
      <c r="O202">
        <v>7461600</v>
      </c>
    </row>
    <row r="203" spans="13:15" x14ac:dyDescent="0.3">
      <c r="M203" t="s">
        <v>8900</v>
      </c>
      <c r="N203">
        <v>17.84</v>
      </c>
      <c r="O203">
        <v>8960000</v>
      </c>
    </row>
    <row r="204" spans="13:15" x14ac:dyDescent="0.3">
      <c r="M204" t="s">
        <v>8901</v>
      </c>
      <c r="N204">
        <v>17.72</v>
      </c>
      <c r="O204">
        <v>11906900</v>
      </c>
    </row>
    <row r="205" spans="13:15" x14ac:dyDescent="0.3">
      <c r="M205" t="s">
        <v>295</v>
      </c>
      <c r="N205">
        <v>17.309999999999999</v>
      </c>
      <c r="O205">
        <v>16098800</v>
      </c>
    </row>
    <row r="206" spans="13:15" x14ac:dyDescent="0.3">
      <c r="M206" t="s">
        <v>8902</v>
      </c>
      <c r="N206">
        <v>17.77</v>
      </c>
      <c r="O206">
        <v>8327700</v>
      </c>
    </row>
    <row r="207" spans="13:15" x14ac:dyDescent="0.3">
      <c r="M207" t="s">
        <v>8903</v>
      </c>
      <c r="N207">
        <v>17.440000000000001</v>
      </c>
      <c r="O207">
        <v>4524100</v>
      </c>
    </row>
    <row r="208" spans="13:15" x14ac:dyDescent="0.3">
      <c r="M208" t="s">
        <v>8904</v>
      </c>
      <c r="N208">
        <v>17.66</v>
      </c>
      <c r="O208">
        <v>6867400</v>
      </c>
    </row>
    <row r="209" spans="13:15" x14ac:dyDescent="0.3">
      <c r="M209" t="s">
        <v>296</v>
      </c>
      <c r="N209">
        <v>18.04</v>
      </c>
      <c r="O209">
        <v>6075600</v>
      </c>
    </row>
    <row r="210" spans="13:15" x14ac:dyDescent="0.3">
      <c r="M210" t="s">
        <v>8905</v>
      </c>
      <c r="N210">
        <v>18.39</v>
      </c>
      <c r="O210">
        <v>6204000</v>
      </c>
    </row>
    <row r="211" spans="13:15" x14ac:dyDescent="0.3">
      <c r="M211" t="s">
        <v>8906</v>
      </c>
      <c r="N211">
        <v>18.27</v>
      </c>
      <c r="O211">
        <v>13262500</v>
      </c>
    </row>
    <row r="212" spans="13:15" x14ac:dyDescent="0.3">
      <c r="M212" t="s">
        <v>8907</v>
      </c>
      <c r="N212">
        <v>18.18</v>
      </c>
      <c r="O212">
        <v>13291700</v>
      </c>
    </row>
    <row r="213" spans="13:15" x14ac:dyDescent="0.3">
      <c r="M213" t="s">
        <v>297</v>
      </c>
      <c r="N213">
        <v>18.75</v>
      </c>
      <c r="O213">
        <v>23938800</v>
      </c>
    </row>
    <row r="214" spans="13:15" x14ac:dyDescent="0.3">
      <c r="M214" t="s">
        <v>8908</v>
      </c>
      <c r="N214">
        <v>19.79</v>
      </c>
      <c r="O214">
        <v>118705800</v>
      </c>
    </row>
    <row r="215" spans="13:15" x14ac:dyDescent="0.3">
      <c r="M215" t="s">
        <v>8909</v>
      </c>
      <c r="N215">
        <v>18.77</v>
      </c>
      <c r="O215">
        <v>29526500</v>
      </c>
    </row>
    <row r="216" spans="13:15" x14ac:dyDescent="0.3">
      <c r="M216" t="s">
        <v>8910</v>
      </c>
      <c r="N216">
        <v>17.829999999999998</v>
      </c>
      <c r="O216">
        <v>15974900</v>
      </c>
    </row>
    <row r="217" spans="13:15" x14ac:dyDescent="0.3">
      <c r="M217" t="s">
        <v>8911</v>
      </c>
      <c r="N217">
        <v>17.39</v>
      </c>
      <c r="O217">
        <v>14058800</v>
      </c>
    </row>
    <row r="218" spans="13:15" x14ac:dyDescent="0.3">
      <c r="M218" t="s">
        <v>298</v>
      </c>
      <c r="N218">
        <v>17.399999999999999</v>
      </c>
      <c r="O218">
        <v>8091200</v>
      </c>
    </row>
    <row r="219" spans="13:15" x14ac:dyDescent="0.3">
      <c r="M219" t="s">
        <v>8912</v>
      </c>
      <c r="N219">
        <v>17.399999999999999</v>
      </c>
      <c r="O219">
        <v>7955900</v>
      </c>
    </row>
    <row r="220" spans="13:15" x14ac:dyDescent="0.3">
      <c r="M220" t="s">
        <v>8913</v>
      </c>
      <c r="N220">
        <v>17.420000000000002</v>
      </c>
      <c r="O220">
        <v>12986500</v>
      </c>
    </row>
    <row r="221" spans="13:15" x14ac:dyDescent="0.3">
      <c r="M221" t="s">
        <v>8914</v>
      </c>
      <c r="N221">
        <v>17.690000000000001</v>
      </c>
      <c r="O221">
        <v>10143600</v>
      </c>
    </row>
    <row r="222" spans="13:15" x14ac:dyDescent="0.3">
      <c r="M222" t="s">
        <v>8915</v>
      </c>
      <c r="N222">
        <v>17.37</v>
      </c>
      <c r="O222">
        <v>16529000</v>
      </c>
    </row>
    <row r="223" spans="13:15" x14ac:dyDescent="0.3">
      <c r="M223" t="s">
        <v>299</v>
      </c>
      <c r="N223">
        <v>17.350000000000001</v>
      </c>
      <c r="O223">
        <v>7209500</v>
      </c>
    </row>
    <row r="224" spans="13:15" x14ac:dyDescent="0.3">
      <c r="M224" t="s">
        <v>8916</v>
      </c>
      <c r="N224">
        <v>17.690000000000001</v>
      </c>
      <c r="O224">
        <v>9198300</v>
      </c>
    </row>
    <row r="225" spans="13:15" x14ac:dyDescent="0.3">
      <c r="M225" t="s">
        <v>8917</v>
      </c>
      <c r="N225">
        <v>17.899999999999999</v>
      </c>
      <c r="O225">
        <v>18299700</v>
      </c>
    </row>
    <row r="226" spans="13:15" x14ac:dyDescent="0.3">
      <c r="M226" t="s">
        <v>8918</v>
      </c>
      <c r="N226">
        <v>17.29</v>
      </c>
      <c r="O226">
        <v>7412700</v>
      </c>
    </row>
    <row r="227" spans="13:15" x14ac:dyDescent="0.3">
      <c r="M227" t="s">
        <v>8919</v>
      </c>
      <c r="N227">
        <v>17.04</v>
      </c>
      <c r="O227">
        <v>6642800</v>
      </c>
    </row>
    <row r="228" spans="13:15" x14ac:dyDescent="0.3">
      <c r="M228" t="s">
        <v>300</v>
      </c>
      <c r="N228">
        <v>17.079999999999998</v>
      </c>
      <c r="O228">
        <v>5508400</v>
      </c>
    </row>
    <row r="229" spans="13:15" x14ac:dyDescent="0.3">
      <c r="M229" t="s">
        <v>8920</v>
      </c>
      <c r="N229">
        <v>17.11</v>
      </c>
      <c r="O229">
        <v>3688900</v>
      </c>
    </row>
    <row r="230" spans="13:15" x14ac:dyDescent="0.3">
      <c r="M230" t="s">
        <v>8921</v>
      </c>
      <c r="N230">
        <v>17.05</v>
      </c>
      <c r="O230">
        <v>8260000</v>
      </c>
    </row>
    <row r="231" spans="13:15" x14ac:dyDescent="0.3">
      <c r="M231" t="s">
        <v>8922</v>
      </c>
      <c r="N231">
        <v>16.91</v>
      </c>
      <c r="O231">
        <v>10433200</v>
      </c>
    </row>
    <row r="232" spans="13:15" x14ac:dyDescent="0.3">
      <c r="M232" t="s">
        <v>301</v>
      </c>
      <c r="N232">
        <v>16.899999999999999</v>
      </c>
      <c r="O232">
        <v>12775000</v>
      </c>
    </row>
    <row r="233" spans="13:15" x14ac:dyDescent="0.3">
      <c r="M233" t="s">
        <v>8923</v>
      </c>
      <c r="N233">
        <v>17.329999999999998</v>
      </c>
      <c r="O233">
        <v>16657000</v>
      </c>
    </row>
    <row r="234" spans="13:15" x14ac:dyDescent="0.3">
      <c r="M234" t="s">
        <v>8924</v>
      </c>
      <c r="N234">
        <v>16.77</v>
      </c>
      <c r="O234">
        <v>12455000</v>
      </c>
    </row>
    <row r="235" spans="13:15" x14ac:dyDescent="0.3">
      <c r="M235" t="s">
        <v>8925</v>
      </c>
      <c r="N235">
        <v>16.940000000000001</v>
      </c>
      <c r="O235">
        <v>7807700</v>
      </c>
    </row>
    <row r="236" spans="13:15" x14ac:dyDescent="0.3">
      <c r="M236" t="s">
        <v>8926</v>
      </c>
      <c r="N236">
        <v>16.59</v>
      </c>
      <c r="O236">
        <v>14371300</v>
      </c>
    </row>
    <row r="237" spans="13:15" x14ac:dyDescent="0.3">
      <c r="M237" t="s">
        <v>302</v>
      </c>
      <c r="N237">
        <v>16.420000000000002</v>
      </c>
      <c r="O237">
        <v>10426600</v>
      </c>
    </row>
    <row r="238" spans="13:15" x14ac:dyDescent="0.3">
      <c r="M238" t="s">
        <v>8927</v>
      </c>
      <c r="N238">
        <v>16.3</v>
      </c>
      <c r="O238">
        <v>11248600</v>
      </c>
    </row>
    <row r="239" spans="13:15" x14ac:dyDescent="0.3">
      <c r="M239" t="s">
        <v>8928</v>
      </c>
      <c r="N239">
        <v>16.600000000000001</v>
      </c>
      <c r="O239">
        <v>10304900</v>
      </c>
    </row>
    <row r="240" spans="13:15" x14ac:dyDescent="0.3">
      <c r="M240" t="s">
        <v>8929</v>
      </c>
      <c r="N240">
        <v>16.73</v>
      </c>
      <c r="O240">
        <v>10919500</v>
      </c>
    </row>
    <row r="241" spans="13:15" x14ac:dyDescent="0.3">
      <c r="M241" t="s">
        <v>8930</v>
      </c>
      <c r="N241">
        <v>16.649999999999999</v>
      </c>
      <c r="O241">
        <v>9370300</v>
      </c>
    </row>
    <row r="242" spans="13:15" x14ac:dyDescent="0.3">
      <c r="M242" t="s">
        <v>303</v>
      </c>
      <c r="N242">
        <v>16.41</v>
      </c>
      <c r="O242">
        <v>9889900</v>
      </c>
    </row>
    <row r="243" spans="13:15" x14ac:dyDescent="0.3">
      <c r="M243" t="s">
        <v>8931</v>
      </c>
      <c r="N243">
        <v>16.149999999999999</v>
      </c>
      <c r="O243">
        <v>8094500</v>
      </c>
    </row>
    <row r="244" spans="13:15" x14ac:dyDescent="0.3">
      <c r="M244" t="s">
        <v>8932</v>
      </c>
      <c r="N244">
        <v>15.84</v>
      </c>
      <c r="O244">
        <v>10341600</v>
      </c>
    </row>
    <row r="245" spans="13:15" x14ac:dyDescent="0.3">
      <c r="M245" t="s">
        <v>8933</v>
      </c>
      <c r="N245">
        <v>16.07</v>
      </c>
      <c r="O245">
        <v>9322900</v>
      </c>
    </row>
    <row r="246" spans="13:15" x14ac:dyDescent="0.3">
      <c r="M246" t="s">
        <v>8934</v>
      </c>
      <c r="N246">
        <v>15.96</v>
      </c>
      <c r="O246">
        <v>10752700</v>
      </c>
    </row>
    <row r="247" spans="13:15" x14ac:dyDescent="0.3">
      <c r="M247" t="s">
        <v>304</v>
      </c>
      <c r="N247">
        <v>16.059999999999999</v>
      </c>
      <c r="O247">
        <v>12273800</v>
      </c>
    </row>
    <row r="248" spans="13:15" x14ac:dyDescent="0.3">
      <c r="M248" t="s">
        <v>8935</v>
      </c>
      <c r="N248">
        <v>16.22</v>
      </c>
      <c r="O248">
        <v>13459400</v>
      </c>
    </row>
    <row r="249" spans="13:15" x14ac:dyDescent="0.3">
      <c r="M249" t="s">
        <v>8936</v>
      </c>
      <c r="N249">
        <v>16.29</v>
      </c>
      <c r="O249">
        <v>14127400</v>
      </c>
    </row>
    <row r="250" spans="13:15" x14ac:dyDescent="0.3">
      <c r="M250" t="s">
        <v>8937</v>
      </c>
      <c r="N250">
        <v>16.52</v>
      </c>
      <c r="O250">
        <v>13848200</v>
      </c>
    </row>
    <row r="251" spans="13:15" x14ac:dyDescent="0.3">
      <c r="M251" t="s">
        <v>8938</v>
      </c>
      <c r="N251">
        <v>16.53</v>
      </c>
      <c r="O251">
        <v>15833300</v>
      </c>
    </row>
    <row r="252" spans="13:15" x14ac:dyDescent="0.3">
      <c r="M252" t="s">
        <v>305</v>
      </c>
      <c r="N252">
        <v>16.68</v>
      </c>
      <c r="O252">
        <v>11499700</v>
      </c>
    </row>
    <row r="253" spans="13:15" x14ac:dyDescent="0.3">
      <c r="M253" t="s">
        <v>8939</v>
      </c>
      <c r="N253">
        <v>16.86</v>
      </c>
      <c r="O253">
        <v>8492500</v>
      </c>
    </row>
    <row r="254" spans="13:15" x14ac:dyDescent="0.3">
      <c r="M254" t="s">
        <v>8940</v>
      </c>
      <c r="N254">
        <v>16.899999999999999</v>
      </c>
      <c r="O254">
        <v>14138800</v>
      </c>
    </row>
    <row r="255" spans="13:15" x14ac:dyDescent="0.3">
      <c r="M255" t="s">
        <v>8941</v>
      </c>
      <c r="N255">
        <v>16.850000000000001</v>
      </c>
      <c r="O255">
        <v>23013100</v>
      </c>
    </row>
    <row r="256" spans="13:15" x14ac:dyDescent="0.3">
      <c r="M256" t="s">
        <v>8942</v>
      </c>
      <c r="N256">
        <v>16.79</v>
      </c>
      <c r="O256">
        <v>24526800</v>
      </c>
    </row>
    <row r="257" spans="13:15" x14ac:dyDescent="0.3">
      <c r="M257" t="s">
        <v>306</v>
      </c>
      <c r="N257">
        <v>16.309999999999999</v>
      </c>
      <c r="O257">
        <v>19872900</v>
      </c>
    </row>
    <row r="258" spans="13:15" x14ac:dyDescent="0.3">
      <c r="M258" t="s">
        <v>8943</v>
      </c>
      <c r="N258">
        <v>15.75</v>
      </c>
      <c r="O258">
        <v>12874600</v>
      </c>
    </row>
    <row r="259" spans="13:15" x14ac:dyDescent="0.3">
      <c r="M259" t="s">
        <v>8944</v>
      </c>
      <c r="N259">
        <v>15.5</v>
      </c>
      <c r="O259">
        <v>30758900</v>
      </c>
    </row>
    <row r="260" spans="13:15" x14ac:dyDescent="0.3">
      <c r="M260" t="s">
        <v>8945</v>
      </c>
      <c r="N260">
        <v>15.85</v>
      </c>
      <c r="O260">
        <v>23613300</v>
      </c>
    </row>
    <row r="261" spans="13:15" x14ac:dyDescent="0.3">
      <c r="M261" t="s">
        <v>8946</v>
      </c>
      <c r="N261">
        <v>15.89</v>
      </c>
      <c r="O261">
        <v>19181600</v>
      </c>
    </row>
    <row r="262" spans="13:15" x14ac:dyDescent="0.3">
      <c r="M262" t="s">
        <v>307</v>
      </c>
      <c r="N262">
        <v>16.18</v>
      </c>
      <c r="O262">
        <v>9959800</v>
      </c>
    </row>
    <row r="263" spans="13:15" x14ac:dyDescent="0.3">
      <c r="M263" t="s">
        <v>8947</v>
      </c>
      <c r="N263">
        <v>15.99</v>
      </c>
      <c r="O263">
        <v>15132700</v>
      </c>
    </row>
    <row r="264" spans="13:15" x14ac:dyDescent="0.3">
      <c r="M264" t="s">
        <v>8948</v>
      </c>
      <c r="N264">
        <v>16.45</v>
      </c>
      <c r="O264">
        <v>21105900</v>
      </c>
    </row>
    <row r="265" spans="13:15" x14ac:dyDescent="0.3">
      <c r="M265" t="s">
        <v>8949</v>
      </c>
      <c r="N265">
        <v>16.14</v>
      </c>
      <c r="O265">
        <v>13231300</v>
      </c>
    </row>
    <row r="266" spans="13:15" x14ac:dyDescent="0.3">
      <c r="M266" t="s">
        <v>8950</v>
      </c>
      <c r="N266">
        <v>15.81</v>
      </c>
      <c r="O266">
        <v>15178500</v>
      </c>
    </row>
    <row r="267" spans="13:15" x14ac:dyDescent="0.3">
      <c r="M267" t="s">
        <v>308</v>
      </c>
      <c r="N267">
        <v>16.09</v>
      </c>
      <c r="O267">
        <v>21090500</v>
      </c>
    </row>
    <row r="268" spans="13:15" x14ac:dyDescent="0.3">
      <c r="M268" t="s">
        <v>8951</v>
      </c>
      <c r="N268">
        <v>15.65</v>
      </c>
      <c r="O268">
        <v>15110100</v>
      </c>
    </row>
    <row r="269" spans="13:15" x14ac:dyDescent="0.3">
      <c r="M269" t="s">
        <v>8952</v>
      </c>
      <c r="N269">
        <v>15.57</v>
      </c>
      <c r="O269">
        <v>13738800</v>
      </c>
    </row>
    <row r="270" spans="13:15" x14ac:dyDescent="0.3">
      <c r="M270" t="s">
        <v>8953</v>
      </c>
      <c r="N270">
        <v>15.79</v>
      </c>
      <c r="O270">
        <v>15899200</v>
      </c>
    </row>
    <row r="271" spans="13:15" x14ac:dyDescent="0.3">
      <c r="M271" t="s">
        <v>8954</v>
      </c>
      <c r="N271">
        <v>15.69</v>
      </c>
      <c r="O271">
        <v>13331200</v>
      </c>
    </row>
    <row r="272" spans="13:15" x14ac:dyDescent="0.3">
      <c r="M272" t="s">
        <v>309</v>
      </c>
      <c r="N272">
        <v>15.74</v>
      </c>
      <c r="O272">
        <v>19370300</v>
      </c>
    </row>
    <row r="273" spans="13:15" x14ac:dyDescent="0.3">
      <c r="M273" t="s">
        <v>8955</v>
      </c>
      <c r="N273">
        <v>15.93</v>
      </c>
      <c r="O273">
        <v>19463500</v>
      </c>
    </row>
    <row r="274" spans="13:15" x14ac:dyDescent="0.3">
      <c r="M274" t="s">
        <v>8956</v>
      </c>
      <c r="N274">
        <v>15.95</v>
      </c>
      <c r="O274">
        <v>17831200</v>
      </c>
    </row>
    <row r="275" spans="13:15" x14ac:dyDescent="0.3">
      <c r="M275" t="s">
        <v>8957</v>
      </c>
      <c r="N275">
        <v>16.420000000000002</v>
      </c>
      <c r="O275">
        <v>17049600</v>
      </c>
    </row>
    <row r="276" spans="13:15" x14ac:dyDescent="0.3">
      <c r="M276" t="s">
        <v>8958</v>
      </c>
      <c r="N276">
        <v>16.28</v>
      </c>
      <c r="O276">
        <v>11524400</v>
      </c>
    </row>
    <row r="277" spans="13:15" x14ac:dyDescent="0.3">
      <c r="M277" t="s">
        <v>310</v>
      </c>
      <c r="N277">
        <v>16.54</v>
      </c>
      <c r="O277">
        <v>14994200</v>
      </c>
    </row>
    <row r="278" spans="13:15" x14ac:dyDescent="0.3">
      <c r="M278" t="s">
        <v>8959</v>
      </c>
      <c r="N278">
        <v>16.36</v>
      </c>
      <c r="O278">
        <v>54720200</v>
      </c>
    </row>
    <row r="279" spans="13:15" x14ac:dyDescent="0.3">
      <c r="M279" t="s">
        <v>8960</v>
      </c>
      <c r="N279">
        <v>16.940000000000001</v>
      </c>
      <c r="O279">
        <v>13245800</v>
      </c>
    </row>
    <row r="280" spans="13:15" x14ac:dyDescent="0.3">
      <c r="M280" t="s">
        <v>8961</v>
      </c>
      <c r="N280">
        <v>17.05</v>
      </c>
      <c r="O280">
        <v>32050800</v>
      </c>
    </row>
    <row r="281" spans="13:15" x14ac:dyDescent="0.3">
      <c r="M281" t="s">
        <v>8962</v>
      </c>
      <c r="N281">
        <v>16.45</v>
      </c>
      <c r="O281">
        <v>17749400</v>
      </c>
    </row>
    <row r="282" spans="13:15" x14ac:dyDescent="0.3">
      <c r="M282" t="s">
        <v>311</v>
      </c>
      <c r="N282">
        <v>16.32</v>
      </c>
      <c r="O282">
        <v>18852800</v>
      </c>
    </row>
    <row r="283" spans="13:15" x14ac:dyDescent="0.3">
      <c r="M283" t="s">
        <v>8963</v>
      </c>
      <c r="N283">
        <v>16.36</v>
      </c>
      <c r="O283">
        <v>12966900</v>
      </c>
    </row>
    <row r="284" spans="13:15" x14ac:dyDescent="0.3">
      <c r="M284" t="s">
        <v>8964</v>
      </c>
      <c r="N284">
        <v>16.46</v>
      </c>
      <c r="O284">
        <v>30237600</v>
      </c>
    </row>
    <row r="285" spans="13:15" x14ac:dyDescent="0.3">
      <c r="M285" t="s">
        <v>8965</v>
      </c>
      <c r="N285">
        <v>16.37</v>
      </c>
      <c r="O285">
        <v>17812800</v>
      </c>
    </row>
    <row r="286" spans="13:15" x14ac:dyDescent="0.3">
      <c r="M286" t="s">
        <v>8966</v>
      </c>
      <c r="N286">
        <v>16.399999999999999</v>
      </c>
      <c r="O286">
        <v>14879900</v>
      </c>
    </row>
    <row r="287" spans="13:15" x14ac:dyDescent="0.3">
      <c r="M287" t="s">
        <v>312</v>
      </c>
      <c r="N287">
        <v>16.190000000000001</v>
      </c>
      <c r="O287">
        <v>25547900</v>
      </c>
    </row>
    <row r="288" spans="13:15" x14ac:dyDescent="0.3">
      <c r="M288" t="s">
        <v>8967</v>
      </c>
      <c r="N288">
        <v>15.8</v>
      </c>
      <c r="O288">
        <v>23404000</v>
      </c>
    </row>
    <row r="289" spans="13:15" x14ac:dyDescent="0.3">
      <c r="M289" t="s">
        <v>8968</v>
      </c>
      <c r="N289">
        <v>16</v>
      </c>
      <c r="O289">
        <v>15167700</v>
      </c>
    </row>
    <row r="290" spans="13:15" x14ac:dyDescent="0.3">
      <c r="M290" t="s">
        <v>8969</v>
      </c>
      <c r="N290">
        <v>16.05</v>
      </c>
      <c r="O290">
        <v>19263600</v>
      </c>
    </row>
    <row r="291" spans="13:15" x14ac:dyDescent="0.3">
      <c r="M291" t="s">
        <v>8970</v>
      </c>
      <c r="N291">
        <v>16.29</v>
      </c>
      <c r="O291">
        <v>13503100</v>
      </c>
    </row>
    <row r="292" spans="13:15" x14ac:dyDescent="0.3">
      <c r="M292" t="s">
        <v>8971</v>
      </c>
      <c r="N292">
        <v>16.22</v>
      </c>
      <c r="O292">
        <v>17333200</v>
      </c>
    </row>
    <row r="293" spans="13:15" x14ac:dyDescent="0.3">
      <c r="M293" t="s">
        <v>8972</v>
      </c>
      <c r="N293">
        <v>16.39</v>
      </c>
      <c r="O293">
        <v>28336300</v>
      </c>
    </row>
    <row r="294" spans="13:15" x14ac:dyDescent="0.3">
      <c r="M294" t="s">
        <v>8973</v>
      </c>
      <c r="N294">
        <v>16.739999999999998</v>
      </c>
      <c r="O294">
        <v>10264900</v>
      </c>
    </row>
    <row r="295" spans="13:15" x14ac:dyDescent="0.3">
      <c r="M295" t="s">
        <v>8974</v>
      </c>
      <c r="N295">
        <v>16.61</v>
      </c>
      <c r="O295">
        <v>14770200</v>
      </c>
    </row>
    <row r="296" spans="13:15" x14ac:dyDescent="0.3">
      <c r="M296" t="s">
        <v>314</v>
      </c>
      <c r="N296">
        <v>16.71</v>
      </c>
      <c r="O296">
        <v>17187400</v>
      </c>
    </row>
    <row r="297" spans="13:15" x14ac:dyDescent="0.3">
      <c r="M297" t="s">
        <v>8975</v>
      </c>
      <c r="N297">
        <v>16.72</v>
      </c>
      <c r="O297">
        <v>33953400</v>
      </c>
    </row>
    <row r="298" spans="13:15" x14ac:dyDescent="0.3">
      <c r="M298" t="s">
        <v>8976</v>
      </c>
      <c r="N298">
        <v>16.440000000000001</v>
      </c>
      <c r="O298">
        <v>19974100</v>
      </c>
    </row>
    <row r="299" spans="13:15" x14ac:dyDescent="0.3">
      <c r="M299" t="s">
        <v>8977</v>
      </c>
      <c r="N299">
        <v>16.399999999999999</v>
      </c>
      <c r="O299">
        <v>22949600</v>
      </c>
    </row>
    <row r="300" spans="13:15" x14ac:dyDescent="0.3">
      <c r="M300" t="s">
        <v>8978</v>
      </c>
      <c r="N300">
        <v>16.010000000000002</v>
      </c>
      <c r="O300">
        <v>18923300</v>
      </c>
    </row>
    <row r="301" spans="13:15" x14ac:dyDescent="0.3">
      <c r="M301" t="s">
        <v>315</v>
      </c>
      <c r="N301">
        <v>15.82</v>
      </c>
      <c r="O301">
        <v>11116100</v>
      </c>
    </row>
    <row r="302" spans="13:15" x14ac:dyDescent="0.3">
      <c r="M302" t="s">
        <v>8979</v>
      </c>
      <c r="N302">
        <v>15.97</v>
      </c>
      <c r="O302">
        <v>9000900</v>
      </c>
    </row>
    <row r="303" spans="13:15" x14ac:dyDescent="0.3">
      <c r="M303" t="s">
        <v>8980</v>
      </c>
      <c r="N303">
        <v>15.78</v>
      </c>
      <c r="O303">
        <v>18675100</v>
      </c>
    </row>
    <row r="304" spans="13:15" x14ac:dyDescent="0.3">
      <c r="M304" t="s">
        <v>8981</v>
      </c>
      <c r="N304">
        <v>15.8</v>
      </c>
      <c r="O304">
        <v>27608700</v>
      </c>
    </row>
    <row r="305" spans="13:15" x14ac:dyDescent="0.3">
      <c r="M305" t="s">
        <v>8982</v>
      </c>
      <c r="N305">
        <v>15.5</v>
      </c>
      <c r="O305">
        <v>18403100</v>
      </c>
    </row>
    <row r="306" spans="13:15" x14ac:dyDescent="0.3">
      <c r="M306" t="s">
        <v>316</v>
      </c>
      <c r="N306">
        <v>15.41</v>
      </c>
      <c r="O306">
        <v>20161800</v>
      </c>
    </row>
    <row r="307" spans="13:15" x14ac:dyDescent="0.3">
      <c r="M307" t="s">
        <v>8983</v>
      </c>
      <c r="N307">
        <v>15.42</v>
      </c>
      <c r="O307">
        <v>13909900</v>
      </c>
    </row>
    <row r="308" spans="13:15" x14ac:dyDescent="0.3">
      <c r="M308" t="s">
        <v>8984</v>
      </c>
      <c r="N308">
        <v>15.45</v>
      </c>
      <c r="O308">
        <v>19616500</v>
      </c>
    </row>
    <row r="309" spans="13:15" x14ac:dyDescent="0.3">
      <c r="M309" t="s">
        <v>8985</v>
      </c>
      <c r="N309">
        <v>15.5</v>
      </c>
      <c r="O309">
        <v>16992500</v>
      </c>
    </row>
    <row r="310" spans="13:15" x14ac:dyDescent="0.3">
      <c r="M310" t="s">
        <v>8986</v>
      </c>
      <c r="N310">
        <v>15.62</v>
      </c>
      <c r="O310">
        <v>22539900</v>
      </c>
    </row>
    <row r="311" spans="13:15" x14ac:dyDescent="0.3">
      <c r="M311" t="s">
        <v>317</v>
      </c>
      <c r="N311">
        <v>15.89</v>
      </c>
      <c r="O311">
        <v>18306000</v>
      </c>
    </row>
    <row r="312" spans="13:15" x14ac:dyDescent="0.3">
      <c r="M312" t="s">
        <v>8987</v>
      </c>
      <c r="N312">
        <v>15.82</v>
      </c>
      <c r="O312">
        <v>20078400</v>
      </c>
    </row>
    <row r="313" spans="13:15" x14ac:dyDescent="0.3">
      <c r="M313" t="s">
        <v>8988</v>
      </c>
      <c r="N313">
        <v>16.12</v>
      </c>
      <c r="O313">
        <v>15926400</v>
      </c>
    </row>
    <row r="314" spans="13:15" x14ac:dyDescent="0.3">
      <c r="M314" t="s">
        <v>8989</v>
      </c>
      <c r="N314">
        <v>16.350000000000001</v>
      </c>
      <c r="O314">
        <v>13278800</v>
      </c>
    </row>
    <row r="315" spans="13:15" x14ac:dyDescent="0.3">
      <c r="M315" t="s">
        <v>8990</v>
      </c>
      <c r="N315">
        <v>16.600000000000001</v>
      </c>
      <c r="O315">
        <v>11563700</v>
      </c>
    </row>
    <row r="316" spans="13:15" x14ac:dyDescent="0.3">
      <c r="M316" t="s">
        <v>318</v>
      </c>
      <c r="N316">
        <v>16.55</v>
      </c>
      <c r="O316">
        <v>21715200</v>
      </c>
    </row>
    <row r="317" spans="13:15" x14ac:dyDescent="0.3">
      <c r="M317" t="s">
        <v>8991</v>
      </c>
      <c r="N317">
        <v>16.75</v>
      </c>
      <c r="O317">
        <v>19087800</v>
      </c>
    </row>
    <row r="318" spans="13:15" x14ac:dyDescent="0.3">
      <c r="M318" t="s">
        <v>8992</v>
      </c>
      <c r="N318">
        <v>17.05</v>
      </c>
      <c r="O318">
        <v>14675700</v>
      </c>
    </row>
    <row r="319" spans="13:15" x14ac:dyDescent="0.3">
      <c r="M319" t="s">
        <v>8993</v>
      </c>
      <c r="N319">
        <v>17.79</v>
      </c>
      <c r="O319">
        <v>24739700</v>
      </c>
    </row>
    <row r="320" spans="13:15" x14ac:dyDescent="0.3">
      <c r="M320" t="s">
        <v>8994</v>
      </c>
      <c r="N320">
        <v>17.61</v>
      </c>
      <c r="O320">
        <v>18870500</v>
      </c>
    </row>
    <row r="321" spans="13:15" x14ac:dyDescent="0.3">
      <c r="M321" t="s">
        <v>319</v>
      </c>
      <c r="N321">
        <v>17.54</v>
      </c>
      <c r="O321">
        <v>11469300</v>
      </c>
    </row>
    <row r="322" spans="13:15" x14ac:dyDescent="0.3">
      <c r="M322" t="s">
        <v>8995</v>
      </c>
      <c r="N322">
        <v>17.559999999999999</v>
      </c>
      <c r="O322">
        <v>9706800</v>
      </c>
    </row>
    <row r="323" spans="13:15" x14ac:dyDescent="0.3">
      <c r="M323" t="s">
        <v>8996</v>
      </c>
      <c r="N323">
        <v>17.809999999999999</v>
      </c>
      <c r="O323">
        <v>13528000</v>
      </c>
    </row>
    <row r="324" spans="13:15" x14ac:dyDescent="0.3">
      <c r="M324" t="s">
        <v>8997</v>
      </c>
      <c r="N324">
        <v>17.84</v>
      </c>
      <c r="O324">
        <v>15715300</v>
      </c>
    </row>
    <row r="325" spans="13:15" x14ac:dyDescent="0.3">
      <c r="M325" t="s">
        <v>8998</v>
      </c>
      <c r="N325">
        <v>17.57</v>
      </c>
      <c r="O325">
        <v>14013600</v>
      </c>
    </row>
    <row r="326" spans="13:15" x14ac:dyDescent="0.3">
      <c r="M326" t="s">
        <v>320</v>
      </c>
      <c r="N326">
        <v>17.37</v>
      </c>
      <c r="O326">
        <v>14495200</v>
      </c>
    </row>
    <row r="327" spans="13:15" x14ac:dyDescent="0.3">
      <c r="M327" t="s">
        <v>8999</v>
      </c>
      <c r="N327">
        <v>17.54</v>
      </c>
      <c r="O327">
        <v>16461200</v>
      </c>
    </row>
    <row r="328" spans="13:15" x14ac:dyDescent="0.3">
      <c r="M328" t="s">
        <v>9000</v>
      </c>
      <c r="N328">
        <v>17.45</v>
      </c>
      <c r="O328">
        <v>27407300</v>
      </c>
    </row>
    <row r="329" spans="13:15" x14ac:dyDescent="0.3">
      <c r="M329" t="s">
        <v>9001</v>
      </c>
      <c r="N329">
        <v>18.149999999999999</v>
      </c>
      <c r="O329">
        <v>13092800</v>
      </c>
    </row>
    <row r="330" spans="13:15" x14ac:dyDescent="0.3">
      <c r="M330" t="s">
        <v>9002</v>
      </c>
      <c r="N330">
        <v>18.22</v>
      </c>
      <c r="O330">
        <v>10832400</v>
      </c>
    </row>
    <row r="331" spans="13:15" x14ac:dyDescent="0.3">
      <c r="M331" t="s">
        <v>321</v>
      </c>
      <c r="N331">
        <v>18.149999999999999</v>
      </c>
      <c r="O331">
        <v>8790400</v>
      </c>
    </row>
    <row r="332" spans="13:15" x14ac:dyDescent="0.3">
      <c r="M332" t="s">
        <v>9003</v>
      </c>
      <c r="N332">
        <v>18.28</v>
      </c>
      <c r="O332">
        <v>4267300</v>
      </c>
    </row>
    <row r="333" spans="13:15" x14ac:dyDescent="0.3">
      <c r="M333" t="s">
        <v>9004</v>
      </c>
      <c r="N333">
        <v>18.21</v>
      </c>
      <c r="O333">
        <v>9428300</v>
      </c>
    </row>
    <row r="334" spans="13:15" x14ac:dyDescent="0.3">
      <c r="M334" t="s">
        <v>9005</v>
      </c>
      <c r="N334">
        <v>18.23</v>
      </c>
      <c r="O334">
        <v>15010100</v>
      </c>
    </row>
    <row r="335" spans="13:15" x14ac:dyDescent="0.3">
      <c r="M335" t="s">
        <v>322</v>
      </c>
      <c r="N335">
        <v>17.87</v>
      </c>
      <c r="O335">
        <v>12743100</v>
      </c>
    </row>
    <row r="336" spans="13:15" x14ac:dyDescent="0.3">
      <c r="M336" t="s">
        <v>9006</v>
      </c>
      <c r="N336">
        <v>17.86</v>
      </c>
      <c r="O336">
        <v>13502100</v>
      </c>
    </row>
    <row r="337" spans="13:15" x14ac:dyDescent="0.3">
      <c r="M337" t="s">
        <v>9007</v>
      </c>
      <c r="N337">
        <v>17.940000000000001</v>
      </c>
      <c r="O337">
        <v>14327700</v>
      </c>
    </row>
    <row r="338" spans="13:15" x14ac:dyDescent="0.3">
      <c r="M338" t="s">
        <v>9008</v>
      </c>
      <c r="N338">
        <v>17.850000000000001</v>
      </c>
      <c r="O338">
        <v>10846500</v>
      </c>
    </row>
    <row r="339" spans="13:15" x14ac:dyDescent="0.3">
      <c r="M339" t="s">
        <v>9009</v>
      </c>
      <c r="N339">
        <v>17.649999999999999</v>
      </c>
      <c r="O339">
        <v>8763700</v>
      </c>
    </row>
    <row r="340" spans="13:15" x14ac:dyDescent="0.3">
      <c r="M340" t="s">
        <v>323</v>
      </c>
      <c r="N340">
        <v>17.45</v>
      </c>
      <c r="O340">
        <v>15272800</v>
      </c>
    </row>
    <row r="341" spans="13:15" x14ac:dyDescent="0.3">
      <c r="M341" t="s">
        <v>9010</v>
      </c>
      <c r="N341">
        <v>17.05</v>
      </c>
      <c r="O341">
        <v>37327100</v>
      </c>
    </row>
    <row r="342" spans="13:15" x14ac:dyDescent="0.3">
      <c r="M342" t="s">
        <v>9011</v>
      </c>
      <c r="N342">
        <v>17.77</v>
      </c>
      <c r="O342">
        <v>10915900</v>
      </c>
    </row>
    <row r="343" spans="13:15" x14ac:dyDescent="0.3">
      <c r="M343" t="s">
        <v>9012</v>
      </c>
      <c r="N343">
        <v>18</v>
      </c>
      <c r="O343">
        <v>10128900</v>
      </c>
    </row>
    <row r="344" spans="13:15" x14ac:dyDescent="0.3">
      <c r="M344" t="s">
        <v>324</v>
      </c>
      <c r="N344">
        <v>18.079999999999998</v>
      </c>
      <c r="O344">
        <v>9604100</v>
      </c>
    </row>
    <row r="345" spans="13:15" x14ac:dyDescent="0.3">
      <c r="M345" t="s">
        <v>9013</v>
      </c>
      <c r="N345">
        <v>17.760000000000002</v>
      </c>
      <c r="O345">
        <v>10471900</v>
      </c>
    </row>
    <row r="346" spans="13:15" x14ac:dyDescent="0.3">
      <c r="M346" t="s">
        <v>9014</v>
      </c>
      <c r="N346">
        <v>17.899999999999999</v>
      </c>
      <c r="O346">
        <v>11362600</v>
      </c>
    </row>
    <row r="347" spans="13:15" x14ac:dyDescent="0.3">
      <c r="M347" t="s">
        <v>9015</v>
      </c>
      <c r="N347">
        <v>17.95</v>
      </c>
      <c r="O347">
        <v>15531200</v>
      </c>
    </row>
    <row r="348" spans="13:15" x14ac:dyDescent="0.3">
      <c r="M348" t="s">
        <v>9016</v>
      </c>
      <c r="N348">
        <v>17.850000000000001</v>
      </c>
      <c r="O348">
        <v>9545800</v>
      </c>
    </row>
    <row r="349" spans="13:15" x14ac:dyDescent="0.3">
      <c r="M349" t="s">
        <v>325</v>
      </c>
      <c r="N349">
        <v>17.64</v>
      </c>
      <c r="O349">
        <v>5386700</v>
      </c>
    </row>
    <row r="350" spans="13:15" x14ac:dyDescent="0.3">
      <c r="M350" t="s">
        <v>9017</v>
      </c>
      <c r="N350">
        <v>17.55</v>
      </c>
      <c r="O350">
        <v>6425900</v>
      </c>
    </row>
    <row r="351" spans="13:15" x14ac:dyDescent="0.3">
      <c r="M351" t="s">
        <v>9018</v>
      </c>
      <c r="N351">
        <v>17.29</v>
      </c>
      <c r="O351">
        <v>9590900</v>
      </c>
    </row>
    <row r="352" spans="13:15" x14ac:dyDescent="0.3">
      <c r="M352" t="s">
        <v>9019</v>
      </c>
      <c r="N352">
        <v>17.21</v>
      </c>
      <c r="O352">
        <v>7541700</v>
      </c>
    </row>
    <row r="353" spans="13:15" x14ac:dyDescent="0.3">
      <c r="M353" t="s">
        <v>9020</v>
      </c>
      <c r="N353">
        <v>17.399999999999999</v>
      </c>
      <c r="O353">
        <v>11219600</v>
      </c>
    </row>
    <row r="354" spans="13:15" x14ac:dyDescent="0.3">
      <c r="M354" t="s">
        <v>326</v>
      </c>
      <c r="N354">
        <v>17.54</v>
      </c>
      <c r="O354">
        <v>8475400</v>
      </c>
    </row>
    <row r="355" spans="13:15" x14ac:dyDescent="0.3">
      <c r="M355" t="s">
        <v>9021</v>
      </c>
      <c r="N355">
        <v>17.54</v>
      </c>
      <c r="O355">
        <v>12638500</v>
      </c>
    </row>
    <row r="356" spans="13:15" x14ac:dyDescent="0.3">
      <c r="M356" t="s">
        <v>9022</v>
      </c>
      <c r="N356">
        <v>17.55</v>
      </c>
      <c r="O356">
        <v>8526600</v>
      </c>
    </row>
    <row r="357" spans="13:15" x14ac:dyDescent="0.3">
      <c r="M357" t="s">
        <v>9023</v>
      </c>
      <c r="N357">
        <v>17.46</v>
      </c>
      <c r="O357">
        <v>6625900</v>
      </c>
    </row>
    <row r="358" spans="13:15" x14ac:dyDescent="0.3">
      <c r="M358" t="s">
        <v>9024</v>
      </c>
      <c r="N358">
        <v>17.579999999999998</v>
      </c>
      <c r="O358">
        <v>9014400</v>
      </c>
    </row>
    <row r="359" spans="13:15" x14ac:dyDescent="0.3">
      <c r="M359" t="s">
        <v>9025</v>
      </c>
      <c r="N359">
        <v>17.22</v>
      </c>
      <c r="O359">
        <v>10086500</v>
      </c>
    </row>
    <row r="360" spans="13:15" x14ac:dyDescent="0.3">
      <c r="M360" t="s">
        <v>9026</v>
      </c>
      <c r="N360">
        <v>17.149999999999999</v>
      </c>
      <c r="O360">
        <v>8345000</v>
      </c>
    </row>
    <row r="361" spans="13:15" x14ac:dyDescent="0.3">
      <c r="M361" t="s">
        <v>9027</v>
      </c>
      <c r="N361">
        <v>17.27</v>
      </c>
      <c r="O361">
        <v>7863200</v>
      </c>
    </row>
    <row r="362" spans="13:15" x14ac:dyDescent="0.3">
      <c r="M362" t="s">
        <v>9028</v>
      </c>
      <c r="N362">
        <v>17.34</v>
      </c>
      <c r="O362">
        <v>7065500</v>
      </c>
    </row>
    <row r="363" spans="13:15" x14ac:dyDescent="0.3">
      <c r="M363" t="s">
        <v>328</v>
      </c>
      <c r="N363">
        <v>17.43</v>
      </c>
      <c r="O363">
        <v>9394400</v>
      </c>
    </row>
    <row r="364" spans="13:15" x14ac:dyDescent="0.3">
      <c r="M364" t="s">
        <v>9029</v>
      </c>
      <c r="N364">
        <v>17.41</v>
      </c>
      <c r="O364">
        <v>12914100</v>
      </c>
    </row>
    <row r="365" spans="13:15" x14ac:dyDescent="0.3">
      <c r="M365" t="s">
        <v>9030</v>
      </c>
      <c r="N365">
        <v>17.8</v>
      </c>
      <c r="O365">
        <v>8079100</v>
      </c>
    </row>
    <row r="366" spans="13:15" x14ac:dyDescent="0.3">
      <c r="M366" t="s">
        <v>9031</v>
      </c>
      <c r="N366">
        <v>17.55</v>
      </c>
      <c r="O366">
        <v>8648200</v>
      </c>
    </row>
    <row r="367" spans="13:15" x14ac:dyDescent="0.3">
      <c r="M367" t="s">
        <v>9032</v>
      </c>
      <c r="N367">
        <v>17.48</v>
      </c>
      <c r="O367">
        <v>8599700</v>
      </c>
    </row>
    <row r="368" spans="13:15" x14ac:dyDescent="0.3">
      <c r="M368" t="s">
        <v>329</v>
      </c>
      <c r="N368">
        <v>17.73</v>
      </c>
      <c r="O368">
        <v>16249500</v>
      </c>
    </row>
    <row r="369" spans="13:15" x14ac:dyDescent="0.3">
      <c r="M369" t="s">
        <v>9033</v>
      </c>
      <c r="N369">
        <v>16.63</v>
      </c>
      <c r="O369">
        <v>8642400</v>
      </c>
    </row>
    <row r="370" spans="13:15" x14ac:dyDescent="0.3">
      <c r="M370" t="s">
        <v>9034</v>
      </c>
      <c r="N370">
        <v>16.63</v>
      </c>
      <c r="O370">
        <v>11433300</v>
      </c>
    </row>
    <row r="371" spans="13:15" x14ac:dyDescent="0.3">
      <c r="M371" t="s">
        <v>9035</v>
      </c>
      <c r="N371">
        <v>16.84</v>
      </c>
      <c r="O371">
        <v>5479000</v>
      </c>
    </row>
    <row r="372" spans="13:15" x14ac:dyDescent="0.3">
      <c r="M372" t="s">
        <v>9036</v>
      </c>
      <c r="N372">
        <v>16.899999999999999</v>
      </c>
      <c r="O372">
        <v>8333400</v>
      </c>
    </row>
    <row r="373" spans="13:15" x14ac:dyDescent="0.3">
      <c r="M373" t="s">
        <v>330</v>
      </c>
      <c r="N373">
        <v>16.97</v>
      </c>
      <c r="O373">
        <v>5659500</v>
      </c>
    </row>
    <row r="374" spans="13:15" x14ac:dyDescent="0.3">
      <c r="M374" t="s">
        <v>9037</v>
      </c>
      <c r="N374">
        <v>17</v>
      </c>
      <c r="O374">
        <v>8940500</v>
      </c>
    </row>
    <row r="375" spans="13:15" x14ac:dyDescent="0.3">
      <c r="M375" t="s">
        <v>9038</v>
      </c>
      <c r="N375">
        <v>16.739999999999998</v>
      </c>
      <c r="O375">
        <v>7752700</v>
      </c>
    </row>
    <row r="376" spans="13:15" x14ac:dyDescent="0.3">
      <c r="M376" t="s">
        <v>9039</v>
      </c>
      <c r="N376">
        <v>16.739999999999998</v>
      </c>
      <c r="O376">
        <v>7085500</v>
      </c>
    </row>
    <row r="377" spans="13:15" x14ac:dyDescent="0.3">
      <c r="M377" t="s">
        <v>9040</v>
      </c>
      <c r="N377">
        <v>16.71</v>
      </c>
      <c r="O377">
        <v>7769600</v>
      </c>
    </row>
    <row r="378" spans="13:15" x14ac:dyDescent="0.3">
      <c r="M378" t="s">
        <v>331</v>
      </c>
      <c r="N378">
        <v>16.48</v>
      </c>
      <c r="O378">
        <v>7546900</v>
      </c>
    </row>
    <row r="379" spans="13:15" x14ac:dyDescent="0.3">
      <c r="M379" t="s">
        <v>9041</v>
      </c>
      <c r="N379">
        <v>16.55</v>
      </c>
      <c r="O379">
        <v>7574000</v>
      </c>
    </row>
    <row r="380" spans="13:15" x14ac:dyDescent="0.3">
      <c r="M380" t="s">
        <v>9042</v>
      </c>
      <c r="N380">
        <v>16.510000000000002</v>
      </c>
      <c r="O380">
        <v>10165700</v>
      </c>
    </row>
    <row r="381" spans="13:15" x14ac:dyDescent="0.3">
      <c r="M381" t="s">
        <v>9043</v>
      </c>
      <c r="N381">
        <v>16.38</v>
      </c>
      <c r="O381">
        <v>12569300</v>
      </c>
    </row>
    <row r="382" spans="13:15" x14ac:dyDescent="0.3">
      <c r="M382" t="s">
        <v>9044</v>
      </c>
      <c r="N382">
        <v>16.03</v>
      </c>
      <c r="O382">
        <v>10459300</v>
      </c>
    </row>
    <row r="383" spans="13:15" x14ac:dyDescent="0.3">
      <c r="M383" t="s">
        <v>332</v>
      </c>
      <c r="N383">
        <v>15.77</v>
      </c>
      <c r="O383">
        <v>20614300</v>
      </c>
    </row>
    <row r="384" spans="13:15" x14ac:dyDescent="0.3">
      <c r="M384" t="s">
        <v>9045</v>
      </c>
      <c r="N384">
        <v>15.35</v>
      </c>
      <c r="O384">
        <v>20714100</v>
      </c>
    </row>
    <row r="385" spans="13:15" x14ac:dyDescent="0.3">
      <c r="M385" t="s">
        <v>9046</v>
      </c>
      <c r="N385">
        <v>15.77</v>
      </c>
      <c r="O385">
        <v>21244700</v>
      </c>
    </row>
    <row r="386" spans="13:15" x14ac:dyDescent="0.3">
      <c r="M386" t="s">
        <v>9047</v>
      </c>
      <c r="N386">
        <v>16.190000000000001</v>
      </c>
      <c r="O386">
        <v>16826200</v>
      </c>
    </row>
    <row r="387" spans="13:15" x14ac:dyDescent="0.3">
      <c r="M387" t="s">
        <v>333</v>
      </c>
      <c r="N387">
        <v>16.170000000000002</v>
      </c>
      <c r="O387">
        <v>20142000</v>
      </c>
    </row>
    <row r="388" spans="13:15" x14ac:dyDescent="0.3">
      <c r="M388" t="s">
        <v>9048</v>
      </c>
      <c r="N388">
        <v>16.05</v>
      </c>
      <c r="O388">
        <v>15133500</v>
      </c>
    </row>
    <row r="389" spans="13:15" x14ac:dyDescent="0.3">
      <c r="M389" t="s">
        <v>9049</v>
      </c>
      <c r="N389">
        <v>16.149999999999999</v>
      </c>
      <c r="O389">
        <v>25884800</v>
      </c>
    </row>
    <row r="390" spans="13:15" x14ac:dyDescent="0.3">
      <c r="M390" t="s">
        <v>9050</v>
      </c>
      <c r="N390">
        <v>16.79</v>
      </c>
      <c r="O390">
        <v>20797800</v>
      </c>
    </row>
    <row r="391" spans="13:15" x14ac:dyDescent="0.3">
      <c r="M391" t="s">
        <v>9051</v>
      </c>
      <c r="N391">
        <v>15.61</v>
      </c>
      <c r="O391">
        <v>12944700</v>
      </c>
    </row>
    <row r="392" spans="13:15" x14ac:dyDescent="0.3">
      <c r="M392" t="s">
        <v>334</v>
      </c>
      <c r="N392">
        <v>15.96</v>
      </c>
      <c r="O392">
        <v>23309900</v>
      </c>
    </row>
    <row r="393" spans="13:15" x14ac:dyDescent="0.3">
      <c r="M393" t="s">
        <v>9052</v>
      </c>
      <c r="N393">
        <v>15.77</v>
      </c>
      <c r="O393">
        <v>19389000</v>
      </c>
    </row>
    <row r="394" spans="13:15" x14ac:dyDescent="0.3">
      <c r="M394" t="s">
        <v>9053</v>
      </c>
      <c r="N394">
        <v>16.5</v>
      </c>
      <c r="O394">
        <v>16271300</v>
      </c>
    </row>
    <row r="395" spans="13:15" x14ac:dyDescent="0.3">
      <c r="M395" t="s">
        <v>9054</v>
      </c>
      <c r="N395">
        <v>17.489999999999998</v>
      </c>
      <c r="O395">
        <v>9782300</v>
      </c>
    </row>
    <row r="396" spans="13:15" x14ac:dyDescent="0.3">
      <c r="M396" t="s">
        <v>9055</v>
      </c>
      <c r="N396">
        <v>17.309999999999999</v>
      </c>
      <c r="O396">
        <v>13574900</v>
      </c>
    </row>
    <row r="397" spans="13:15" x14ac:dyDescent="0.3">
      <c r="M397" t="s">
        <v>335</v>
      </c>
      <c r="N397">
        <v>17.350000000000001</v>
      </c>
      <c r="O397">
        <v>12408200</v>
      </c>
    </row>
    <row r="398" spans="13:15" x14ac:dyDescent="0.3">
      <c r="M398" t="s">
        <v>9056</v>
      </c>
      <c r="N398">
        <v>17.28</v>
      </c>
      <c r="O398">
        <v>7866100</v>
      </c>
    </row>
    <row r="399" spans="13:15" x14ac:dyDescent="0.3">
      <c r="M399" t="s">
        <v>9057</v>
      </c>
      <c r="N399">
        <v>17.75</v>
      </c>
      <c r="O399">
        <v>6249500</v>
      </c>
    </row>
    <row r="400" spans="13:15" x14ac:dyDescent="0.3">
      <c r="M400" t="s">
        <v>9058</v>
      </c>
      <c r="N400">
        <v>17.739999999999998</v>
      </c>
      <c r="O400">
        <v>7391100</v>
      </c>
    </row>
    <row r="401" spans="13:15" x14ac:dyDescent="0.3">
      <c r="M401" t="s">
        <v>9059</v>
      </c>
      <c r="N401">
        <v>17.91</v>
      </c>
      <c r="O401">
        <v>11605900</v>
      </c>
    </row>
    <row r="402" spans="13:15" x14ac:dyDescent="0.3">
      <c r="M402" t="s">
        <v>336</v>
      </c>
      <c r="N402">
        <v>17.68</v>
      </c>
      <c r="O402">
        <v>7515800</v>
      </c>
    </row>
    <row r="403" spans="13:15" x14ac:dyDescent="0.3">
      <c r="M403" t="s">
        <v>9060</v>
      </c>
      <c r="N403">
        <v>17.420000000000002</v>
      </c>
      <c r="O403">
        <v>18677600</v>
      </c>
    </row>
    <row r="404" spans="13:15" x14ac:dyDescent="0.3">
      <c r="M404" t="s">
        <v>9061</v>
      </c>
      <c r="N404">
        <v>17.170000000000002</v>
      </c>
      <c r="O404">
        <v>19376100</v>
      </c>
    </row>
    <row r="405" spans="13:15" x14ac:dyDescent="0.3">
      <c r="M405" t="s">
        <v>9062</v>
      </c>
      <c r="N405">
        <v>17.66</v>
      </c>
      <c r="O405">
        <v>9710800</v>
      </c>
    </row>
    <row r="406" spans="13:15" x14ac:dyDescent="0.3">
      <c r="M406" t="s">
        <v>9063</v>
      </c>
      <c r="N406">
        <v>17.54</v>
      </c>
      <c r="O406">
        <v>13070400</v>
      </c>
    </row>
    <row r="407" spans="13:15" x14ac:dyDescent="0.3">
      <c r="M407" t="s">
        <v>337</v>
      </c>
      <c r="N407">
        <v>17.66</v>
      </c>
      <c r="O407">
        <v>10044500</v>
      </c>
    </row>
    <row r="408" spans="13:15" x14ac:dyDescent="0.3">
      <c r="M408" t="s">
        <v>9064</v>
      </c>
      <c r="N408">
        <v>17.5</v>
      </c>
      <c r="O408">
        <v>7767300</v>
      </c>
    </row>
    <row r="409" spans="13:15" x14ac:dyDescent="0.3">
      <c r="M409" t="s">
        <v>9065</v>
      </c>
      <c r="N409">
        <v>17.39</v>
      </c>
      <c r="O409">
        <v>10913500</v>
      </c>
    </row>
    <row r="410" spans="13:15" x14ac:dyDescent="0.3">
      <c r="M410" t="s">
        <v>9066</v>
      </c>
      <c r="N410">
        <v>17.59</v>
      </c>
      <c r="O410">
        <v>15292400</v>
      </c>
    </row>
    <row r="411" spans="13:15" x14ac:dyDescent="0.3">
      <c r="M411" t="s">
        <v>9067</v>
      </c>
      <c r="N411">
        <v>18.04</v>
      </c>
      <c r="O411">
        <v>17695000</v>
      </c>
    </row>
    <row r="412" spans="13:15" x14ac:dyDescent="0.3">
      <c r="M412" t="s">
        <v>338</v>
      </c>
      <c r="N412">
        <v>18.489999999999998</v>
      </c>
      <c r="O412">
        <v>14185200</v>
      </c>
    </row>
    <row r="413" spans="13:15" x14ac:dyDescent="0.3">
      <c r="M413" t="s">
        <v>9068</v>
      </c>
      <c r="N413">
        <v>18.89</v>
      </c>
      <c r="O413">
        <v>15923200</v>
      </c>
    </row>
    <row r="414" spans="13:15" x14ac:dyDescent="0.3">
      <c r="M414" t="s">
        <v>9069</v>
      </c>
      <c r="N414">
        <v>18.78</v>
      </c>
      <c r="O414">
        <v>11306000</v>
      </c>
    </row>
    <row r="415" spans="13:15" x14ac:dyDescent="0.3">
      <c r="M415" t="s">
        <v>9070</v>
      </c>
      <c r="N415">
        <v>19.079999999999998</v>
      </c>
      <c r="O415">
        <v>12466000</v>
      </c>
    </row>
    <row r="416" spans="13:15" x14ac:dyDescent="0.3">
      <c r="M416" t="s">
        <v>9071</v>
      </c>
      <c r="N416">
        <v>18.739999999999998</v>
      </c>
      <c r="O416">
        <v>13778200</v>
      </c>
    </row>
    <row r="417" spans="13:15" x14ac:dyDescent="0.3">
      <c r="M417" t="s">
        <v>339</v>
      </c>
      <c r="N417">
        <v>18.86</v>
      </c>
      <c r="O417">
        <v>9916000</v>
      </c>
    </row>
    <row r="418" spans="13:15" x14ac:dyDescent="0.3">
      <c r="M418" t="s">
        <v>9072</v>
      </c>
      <c r="N418">
        <v>19.11</v>
      </c>
      <c r="O418">
        <v>17385600</v>
      </c>
    </row>
    <row r="419" spans="13:15" x14ac:dyDescent="0.3">
      <c r="M419" t="s">
        <v>9073</v>
      </c>
      <c r="N419">
        <v>19.489999999999998</v>
      </c>
      <c r="O419">
        <v>10206600</v>
      </c>
    </row>
    <row r="420" spans="13:15" x14ac:dyDescent="0.3">
      <c r="M420" t="s">
        <v>9074</v>
      </c>
      <c r="N420">
        <v>19.75</v>
      </c>
      <c r="O420">
        <v>9233300</v>
      </c>
    </row>
    <row r="421" spans="13:15" x14ac:dyDescent="0.3">
      <c r="M421" t="s">
        <v>9075</v>
      </c>
      <c r="N421">
        <v>19.75</v>
      </c>
      <c r="O421">
        <v>9215000</v>
      </c>
    </row>
    <row r="422" spans="13:15" x14ac:dyDescent="0.3">
      <c r="M422" t="s">
        <v>340</v>
      </c>
      <c r="N422">
        <v>19.809999999999999</v>
      </c>
      <c r="O422">
        <v>12509400</v>
      </c>
    </row>
    <row r="423" spans="13:15" x14ac:dyDescent="0.3">
      <c r="M423" t="s">
        <v>9076</v>
      </c>
      <c r="N423">
        <v>20.13</v>
      </c>
      <c r="O423">
        <v>13778200</v>
      </c>
    </row>
    <row r="424" spans="13:15" x14ac:dyDescent="0.3">
      <c r="M424" t="s">
        <v>9077</v>
      </c>
      <c r="N424">
        <v>20.3</v>
      </c>
      <c r="O424">
        <v>10776600</v>
      </c>
    </row>
    <row r="425" spans="13:15" x14ac:dyDescent="0.3">
      <c r="M425" t="s">
        <v>9078</v>
      </c>
      <c r="N425">
        <v>20.170000000000002</v>
      </c>
      <c r="O425">
        <v>11414600</v>
      </c>
    </row>
    <row r="426" spans="13:15" x14ac:dyDescent="0.3">
      <c r="M426" t="s">
        <v>9079</v>
      </c>
      <c r="N426">
        <v>20.36</v>
      </c>
      <c r="O426">
        <v>10779700</v>
      </c>
    </row>
    <row r="427" spans="13:15" x14ac:dyDescent="0.3">
      <c r="M427" t="s">
        <v>9080</v>
      </c>
      <c r="N427">
        <v>20.51</v>
      </c>
      <c r="O427">
        <v>7038100</v>
      </c>
    </row>
    <row r="428" spans="13:15" x14ac:dyDescent="0.3">
      <c r="M428" t="s">
        <v>9081</v>
      </c>
      <c r="N428">
        <v>20.67</v>
      </c>
      <c r="O428">
        <v>9916700</v>
      </c>
    </row>
    <row r="429" spans="13:15" x14ac:dyDescent="0.3">
      <c r="M429" t="s">
        <v>9082</v>
      </c>
      <c r="N429">
        <v>20.68</v>
      </c>
      <c r="O429">
        <v>5914200</v>
      </c>
    </row>
    <row r="430" spans="13:15" x14ac:dyDescent="0.3">
      <c r="M430" t="s">
        <v>9083</v>
      </c>
      <c r="N430">
        <v>20.89</v>
      </c>
      <c r="O430">
        <v>8557800</v>
      </c>
    </row>
    <row r="431" spans="13:15" x14ac:dyDescent="0.3">
      <c r="M431" t="s">
        <v>342</v>
      </c>
      <c r="N431">
        <v>20.8</v>
      </c>
      <c r="O431">
        <v>9249900</v>
      </c>
    </row>
    <row r="432" spans="13:15" x14ac:dyDescent="0.3">
      <c r="M432" t="s">
        <v>9084</v>
      </c>
      <c r="N432">
        <v>20.76</v>
      </c>
      <c r="O432">
        <v>9618000</v>
      </c>
    </row>
    <row r="433" spans="13:15" x14ac:dyDescent="0.3">
      <c r="M433" t="s">
        <v>9085</v>
      </c>
      <c r="N433">
        <v>21.15</v>
      </c>
      <c r="O433">
        <v>9375200</v>
      </c>
    </row>
    <row r="434" spans="13:15" x14ac:dyDescent="0.3">
      <c r="M434" t="s">
        <v>9086</v>
      </c>
      <c r="N434">
        <v>21.21</v>
      </c>
      <c r="O434">
        <v>9910900</v>
      </c>
    </row>
    <row r="435" spans="13:15" x14ac:dyDescent="0.3">
      <c r="M435" t="s">
        <v>9087</v>
      </c>
      <c r="N435">
        <v>21.28</v>
      </c>
      <c r="O435">
        <v>9778200</v>
      </c>
    </row>
    <row r="436" spans="13:15" x14ac:dyDescent="0.3">
      <c r="M436" t="s">
        <v>343</v>
      </c>
      <c r="N436">
        <v>20.91</v>
      </c>
      <c r="O436">
        <v>10983000</v>
      </c>
    </row>
    <row r="437" spans="13:15" x14ac:dyDescent="0.3">
      <c r="M437" t="s">
        <v>9088</v>
      </c>
      <c r="N437">
        <v>20.87</v>
      </c>
      <c r="O437">
        <v>9751700</v>
      </c>
    </row>
    <row r="438" spans="13:15" x14ac:dyDescent="0.3">
      <c r="M438" t="s">
        <v>9089</v>
      </c>
      <c r="N438">
        <v>20.75</v>
      </c>
      <c r="O438">
        <v>6800600</v>
      </c>
    </row>
    <row r="439" spans="13:15" x14ac:dyDescent="0.3">
      <c r="M439" t="s">
        <v>9090</v>
      </c>
      <c r="N439">
        <v>20.63</v>
      </c>
      <c r="O439">
        <v>8351400</v>
      </c>
    </row>
    <row r="440" spans="13:15" x14ac:dyDescent="0.3">
      <c r="M440" t="s">
        <v>9091</v>
      </c>
      <c r="N440">
        <v>20.47</v>
      </c>
      <c r="O440">
        <v>14719300</v>
      </c>
    </row>
    <row r="441" spans="13:15" x14ac:dyDescent="0.3">
      <c r="M441" t="s">
        <v>344</v>
      </c>
      <c r="N441">
        <v>20.48</v>
      </c>
      <c r="O441">
        <v>9588900</v>
      </c>
    </row>
    <row r="442" spans="13:15" x14ac:dyDescent="0.3">
      <c r="M442" t="s">
        <v>9092</v>
      </c>
      <c r="N442">
        <v>20.62</v>
      </c>
      <c r="O442">
        <v>7612600</v>
      </c>
    </row>
    <row r="443" spans="13:15" x14ac:dyDescent="0.3">
      <c r="M443" t="s">
        <v>9093</v>
      </c>
      <c r="N443">
        <v>20.71</v>
      </c>
      <c r="O443">
        <v>10751800</v>
      </c>
    </row>
    <row r="444" spans="13:15" x14ac:dyDescent="0.3">
      <c r="M444" t="s">
        <v>9094</v>
      </c>
      <c r="N444">
        <v>20.55</v>
      </c>
      <c r="O444">
        <v>9311600</v>
      </c>
    </row>
    <row r="445" spans="13:15" x14ac:dyDescent="0.3">
      <c r="M445" t="s">
        <v>9095</v>
      </c>
      <c r="N445">
        <v>20.11</v>
      </c>
      <c r="O445">
        <v>18004300</v>
      </c>
    </row>
    <row r="446" spans="13:15" x14ac:dyDescent="0.3">
      <c r="M446" t="s">
        <v>9096</v>
      </c>
      <c r="N446">
        <v>20.149999999999999</v>
      </c>
      <c r="O446">
        <v>13512700</v>
      </c>
    </row>
    <row r="447" spans="13:15" x14ac:dyDescent="0.3">
      <c r="M447" t="s">
        <v>9097</v>
      </c>
      <c r="N447">
        <v>20.51</v>
      </c>
      <c r="O447">
        <v>22922700</v>
      </c>
    </row>
    <row r="448" spans="13:15" x14ac:dyDescent="0.3">
      <c r="M448" t="s">
        <v>9098</v>
      </c>
      <c r="N448">
        <v>21.77</v>
      </c>
      <c r="O448">
        <v>9229900</v>
      </c>
    </row>
    <row r="449" spans="13:15" x14ac:dyDescent="0.3">
      <c r="M449" t="s">
        <v>9099</v>
      </c>
      <c r="N449">
        <v>21.41</v>
      </c>
      <c r="O449">
        <v>13923400</v>
      </c>
    </row>
    <row r="450" spans="13:15" x14ac:dyDescent="0.3">
      <c r="M450" t="s">
        <v>346</v>
      </c>
      <c r="N450">
        <v>21.58</v>
      </c>
      <c r="O450">
        <v>11561800</v>
      </c>
    </row>
    <row r="451" spans="13:15" x14ac:dyDescent="0.3">
      <c r="M451" t="s">
        <v>9100</v>
      </c>
      <c r="N451">
        <v>21.59</v>
      </c>
      <c r="O451">
        <v>7409000</v>
      </c>
    </row>
    <row r="452" spans="13:15" x14ac:dyDescent="0.3">
      <c r="M452" t="s">
        <v>9101</v>
      </c>
      <c r="N452">
        <v>21.66</v>
      </c>
      <c r="O452">
        <v>6199700</v>
      </c>
    </row>
    <row r="453" spans="13:15" x14ac:dyDescent="0.3">
      <c r="M453" t="s">
        <v>9102</v>
      </c>
      <c r="N453">
        <v>21.5</v>
      </c>
      <c r="O453">
        <v>5150400</v>
      </c>
    </row>
    <row r="454" spans="13:15" x14ac:dyDescent="0.3">
      <c r="M454" t="s">
        <v>347</v>
      </c>
      <c r="N454">
        <v>21.63</v>
      </c>
      <c r="O454">
        <v>4862600</v>
      </c>
    </row>
    <row r="455" spans="13:15" x14ac:dyDescent="0.3">
      <c r="M455" t="s">
        <v>9103</v>
      </c>
      <c r="N455">
        <v>21.52</v>
      </c>
      <c r="O455">
        <v>3810700</v>
      </c>
    </row>
    <row r="456" spans="13:15" x14ac:dyDescent="0.3">
      <c r="M456" t="s">
        <v>9104</v>
      </c>
      <c r="N456">
        <v>21.51</v>
      </c>
      <c r="O456">
        <v>6556200</v>
      </c>
    </row>
    <row r="457" spans="13:15" x14ac:dyDescent="0.3">
      <c r="M457" t="s">
        <v>9105</v>
      </c>
      <c r="N457">
        <v>20.84</v>
      </c>
      <c r="O457">
        <v>2304300</v>
      </c>
    </row>
    <row r="458" spans="13:15" x14ac:dyDescent="0.3">
      <c r="M458" t="s">
        <v>348</v>
      </c>
      <c r="N458">
        <v>21.02</v>
      </c>
      <c r="O458">
        <v>4830800</v>
      </c>
    </row>
    <row r="459" spans="13:15" x14ac:dyDescent="0.3">
      <c r="M459" t="s">
        <v>9106</v>
      </c>
      <c r="N459">
        <v>21.38</v>
      </c>
      <c r="O459">
        <v>4339900</v>
      </c>
    </row>
    <row r="460" spans="13:15" x14ac:dyDescent="0.3">
      <c r="M460" t="s">
        <v>9107</v>
      </c>
      <c r="N460">
        <v>21.53</v>
      </c>
      <c r="O460">
        <v>3440300</v>
      </c>
    </row>
    <row r="461" spans="13:15" x14ac:dyDescent="0.3">
      <c r="M461" t="s">
        <v>9108</v>
      </c>
      <c r="N461">
        <v>21.65</v>
      </c>
      <c r="O461">
        <v>2051600</v>
      </c>
    </row>
    <row r="462" spans="13:15" x14ac:dyDescent="0.3">
      <c r="M462" t="s">
        <v>349</v>
      </c>
      <c r="N462">
        <v>21.66</v>
      </c>
      <c r="O462">
        <v>3622600</v>
      </c>
    </row>
    <row r="463" spans="13:15" x14ac:dyDescent="0.3">
      <c r="M463" t="s">
        <v>9109</v>
      </c>
      <c r="N463">
        <v>21.61</v>
      </c>
      <c r="O463">
        <v>12356700</v>
      </c>
    </row>
    <row r="464" spans="13:15" x14ac:dyDescent="0.3">
      <c r="M464" t="s">
        <v>9110</v>
      </c>
      <c r="N464">
        <v>22.27</v>
      </c>
      <c r="O464">
        <v>9178400</v>
      </c>
    </row>
    <row r="465" spans="13:15" x14ac:dyDescent="0.3">
      <c r="M465" t="s">
        <v>9111</v>
      </c>
      <c r="N465">
        <v>21.54</v>
      </c>
      <c r="O465">
        <v>6071000</v>
      </c>
    </row>
    <row r="466" spans="13:15" x14ac:dyDescent="0.3">
      <c r="M466" t="s">
        <v>9112</v>
      </c>
      <c r="N466">
        <v>21.99</v>
      </c>
      <c r="O466">
        <v>3890600</v>
      </c>
    </row>
    <row r="467" spans="13:15" x14ac:dyDescent="0.3">
      <c r="M467" t="s">
        <v>350</v>
      </c>
      <c r="N467">
        <v>22.2</v>
      </c>
      <c r="O467">
        <v>9862100</v>
      </c>
    </row>
    <row r="468" spans="13:15" x14ac:dyDescent="0.3">
      <c r="M468" t="s">
        <v>9113</v>
      </c>
      <c r="N468">
        <v>22.25</v>
      </c>
      <c r="O468">
        <v>4443500</v>
      </c>
    </row>
    <row r="469" spans="13:15" x14ac:dyDescent="0.3">
      <c r="M469" t="s">
        <v>9114</v>
      </c>
      <c r="N469">
        <v>22.11</v>
      </c>
      <c r="O469">
        <v>5750900</v>
      </c>
    </row>
    <row r="470" spans="13:15" x14ac:dyDescent="0.3">
      <c r="M470" t="s">
        <v>9115</v>
      </c>
      <c r="N470">
        <v>22.21</v>
      </c>
      <c r="O470">
        <v>6193400</v>
      </c>
    </row>
    <row r="471" spans="13:15" x14ac:dyDescent="0.3">
      <c r="M471" t="s">
        <v>9116</v>
      </c>
      <c r="N471">
        <v>22.1</v>
      </c>
      <c r="O471">
        <v>6600900</v>
      </c>
    </row>
    <row r="472" spans="13:15" x14ac:dyDescent="0.3">
      <c r="M472" t="s">
        <v>351</v>
      </c>
      <c r="N472">
        <v>22.02</v>
      </c>
      <c r="O472">
        <v>6292000</v>
      </c>
    </row>
    <row r="473" spans="13:15" x14ac:dyDescent="0.3">
      <c r="M473" t="s">
        <v>9117</v>
      </c>
      <c r="N473">
        <v>21.74</v>
      </c>
      <c r="O473">
        <v>4709600</v>
      </c>
    </row>
    <row r="474" spans="13:15" x14ac:dyDescent="0.3">
      <c r="M474" t="s">
        <v>9118</v>
      </c>
      <c r="N474">
        <v>21.74</v>
      </c>
      <c r="O474">
        <v>5984600</v>
      </c>
    </row>
    <row r="475" spans="13:15" x14ac:dyDescent="0.3">
      <c r="M475" t="s">
        <v>9119</v>
      </c>
      <c r="N475">
        <v>21.41</v>
      </c>
      <c r="O475">
        <v>5866400</v>
      </c>
    </row>
    <row r="476" spans="13:15" x14ac:dyDescent="0.3">
      <c r="M476" t="s">
        <v>9120</v>
      </c>
      <c r="N476">
        <v>21.03</v>
      </c>
      <c r="O476">
        <v>8215700</v>
      </c>
    </row>
    <row r="477" spans="13:15" x14ac:dyDescent="0.3">
      <c r="M477" t="s">
        <v>352</v>
      </c>
      <c r="N477">
        <v>21.11</v>
      </c>
      <c r="O477">
        <v>5836200</v>
      </c>
    </row>
    <row r="478" spans="13:15" x14ac:dyDescent="0.3">
      <c r="M478" t="s">
        <v>9121</v>
      </c>
      <c r="N478">
        <v>20.99</v>
      </c>
      <c r="O478">
        <v>5620900</v>
      </c>
    </row>
    <row r="479" spans="13:15" x14ac:dyDescent="0.3">
      <c r="M479" t="s">
        <v>9122</v>
      </c>
      <c r="N479">
        <v>21.62</v>
      </c>
      <c r="O479">
        <v>9141100</v>
      </c>
    </row>
    <row r="480" spans="13:15" x14ac:dyDescent="0.3">
      <c r="M480" t="s">
        <v>9123</v>
      </c>
      <c r="N480">
        <v>22.04</v>
      </c>
      <c r="O480">
        <v>7339500</v>
      </c>
    </row>
    <row r="481" spans="13:15" x14ac:dyDescent="0.3">
      <c r="M481" t="s">
        <v>353</v>
      </c>
      <c r="N481">
        <v>21.72</v>
      </c>
      <c r="O481">
        <v>11805800</v>
      </c>
    </row>
    <row r="482" spans="13:15" x14ac:dyDescent="0.3">
      <c r="M482" t="s">
        <v>9124</v>
      </c>
      <c r="N482">
        <v>21.67</v>
      </c>
      <c r="O482">
        <v>8678600</v>
      </c>
    </row>
    <row r="483" spans="13:15" x14ac:dyDescent="0.3">
      <c r="M483" t="s">
        <v>9125</v>
      </c>
      <c r="N483">
        <v>20.88</v>
      </c>
      <c r="O483">
        <v>6121500</v>
      </c>
    </row>
    <row r="484" spans="13:15" x14ac:dyDescent="0.3">
      <c r="M484" t="s">
        <v>9126</v>
      </c>
      <c r="N484">
        <v>20.91</v>
      </c>
      <c r="O484">
        <v>7812600</v>
      </c>
    </row>
    <row r="485" spans="13:15" x14ac:dyDescent="0.3">
      <c r="M485" t="s">
        <v>9127</v>
      </c>
      <c r="N485">
        <v>20.66</v>
      </c>
      <c r="O485">
        <v>6033100</v>
      </c>
    </row>
    <row r="486" spans="13:15" x14ac:dyDescent="0.3">
      <c r="M486" t="s">
        <v>354</v>
      </c>
      <c r="N486">
        <v>20.54</v>
      </c>
      <c r="O486">
        <v>4816400</v>
      </c>
    </row>
    <row r="487" spans="13:15" x14ac:dyDescent="0.3">
      <c r="M487" t="s">
        <v>9128</v>
      </c>
      <c r="N487">
        <v>20.47</v>
      </c>
      <c r="O487">
        <v>7650200</v>
      </c>
    </row>
    <row r="488" spans="13:15" x14ac:dyDescent="0.3">
      <c r="M488" t="s">
        <v>9129</v>
      </c>
      <c r="N488">
        <v>20.75</v>
      </c>
      <c r="O488">
        <v>6169200</v>
      </c>
    </row>
    <row r="489" spans="13:15" x14ac:dyDescent="0.3">
      <c r="M489" t="s">
        <v>9130</v>
      </c>
      <c r="N489">
        <v>20.96</v>
      </c>
      <c r="O489">
        <v>5432100</v>
      </c>
    </row>
    <row r="490" spans="13:15" x14ac:dyDescent="0.3">
      <c r="M490" t="s">
        <v>9131</v>
      </c>
      <c r="N490">
        <v>20.94</v>
      </c>
      <c r="O490">
        <v>3848800</v>
      </c>
    </row>
    <row r="491" spans="13:15" x14ac:dyDescent="0.3">
      <c r="M491" t="s">
        <v>355</v>
      </c>
      <c r="N491">
        <v>20.96</v>
      </c>
      <c r="O491">
        <v>6092100</v>
      </c>
    </row>
    <row r="492" spans="13:15" x14ac:dyDescent="0.3">
      <c r="M492" t="s">
        <v>9132</v>
      </c>
      <c r="N492">
        <v>20.68</v>
      </c>
      <c r="O492">
        <v>7743000</v>
      </c>
    </row>
    <row r="493" spans="13:15" x14ac:dyDescent="0.3">
      <c r="M493" t="s">
        <v>9133</v>
      </c>
      <c r="N493">
        <v>20.59</v>
      </c>
      <c r="O493">
        <v>12341100</v>
      </c>
    </row>
    <row r="494" spans="13:15" x14ac:dyDescent="0.3">
      <c r="M494" t="s">
        <v>9134</v>
      </c>
      <c r="N494">
        <v>20.350000000000001</v>
      </c>
      <c r="O494">
        <v>17779900</v>
      </c>
    </row>
    <row r="495" spans="13:15" x14ac:dyDescent="0.3">
      <c r="M495" t="s">
        <v>9135</v>
      </c>
      <c r="N495">
        <v>19.690000000000001</v>
      </c>
      <c r="O495">
        <v>9558400</v>
      </c>
    </row>
    <row r="496" spans="13:15" x14ac:dyDescent="0.3">
      <c r="M496" t="s">
        <v>356</v>
      </c>
      <c r="N496">
        <v>19.7</v>
      </c>
      <c r="O496">
        <v>11936900</v>
      </c>
    </row>
    <row r="497" spans="13:15" x14ac:dyDescent="0.3">
      <c r="M497" t="s">
        <v>9136</v>
      </c>
      <c r="N497">
        <v>19.739999999999998</v>
      </c>
      <c r="O497">
        <v>9285500</v>
      </c>
    </row>
    <row r="498" spans="13:15" x14ac:dyDescent="0.3">
      <c r="M498" t="s">
        <v>9137</v>
      </c>
      <c r="N498">
        <v>19.88</v>
      </c>
      <c r="O498">
        <v>8615100</v>
      </c>
    </row>
    <row r="499" spans="13:15" x14ac:dyDescent="0.3">
      <c r="M499" t="s">
        <v>9138</v>
      </c>
      <c r="N499">
        <v>20.079999999999998</v>
      </c>
      <c r="O499">
        <v>8486700</v>
      </c>
    </row>
    <row r="500" spans="13:15" x14ac:dyDescent="0.3">
      <c r="M500" t="s">
        <v>9139</v>
      </c>
      <c r="N500">
        <v>20.7</v>
      </c>
      <c r="O500">
        <v>8789300</v>
      </c>
    </row>
    <row r="501" spans="13:15" x14ac:dyDescent="0.3">
      <c r="M501" t="s">
        <v>357</v>
      </c>
      <c r="N501">
        <v>20.75</v>
      </c>
      <c r="O501">
        <v>3887200</v>
      </c>
    </row>
    <row r="502" spans="13:15" x14ac:dyDescent="0.3">
      <c r="M502" t="s">
        <v>9140</v>
      </c>
      <c r="N502">
        <v>20.58</v>
      </c>
      <c r="O502">
        <v>6572800</v>
      </c>
    </row>
    <row r="503" spans="13:15" x14ac:dyDescent="0.3">
      <c r="M503" t="s">
        <v>9141</v>
      </c>
      <c r="N503">
        <v>20.73</v>
      </c>
      <c r="O503">
        <v>7199600</v>
      </c>
    </row>
    <row r="504" spans="13:15" x14ac:dyDescent="0.3">
      <c r="M504" t="s">
        <v>9142</v>
      </c>
      <c r="N504">
        <v>20.88</v>
      </c>
      <c r="O504">
        <v>4532000</v>
      </c>
    </row>
    <row r="505" spans="13:15" x14ac:dyDescent="0.3">
      <c r="M505" t="s">
        <v>9143</v>
      </c>
      <c r="N505">
        <v>20.83</v>
      </c>
      <c r="O505">
        <v>5733800</v>
      </c>
    </row>
    <row r="506" spans="13:15" x14ac:dyDescent="0.3">
      <c r="M506" t="s">
        <v>358</v>
      </c>
      <c r="N506">
        <v>20.87</v>
      </c>
      <c r="O506">
        <v>10411900</v>
      </c>
    </row>
    <row r="507" spans="13:15" x14ac:dyDescent="0.3">
      <c r="M507" t="s">
        <v>9144</v>
      </c>
      <c r="N507">
        <v>21.16</v>
      </c>
      <c r="O507">
        <v>11307600</v>
      </c>
    </row>
    <row r="508" spans="13:15" x14ac:dyDescent="0.3">
      <c r="M508" t="s">
        <v>9145</v>
      </c>
      <c r="N508">
        <v>21.3</v>
      </c>
      <c r="O508">
        <v>16539000</v>
      </c>
    </row>
    <row r="509" spans="13:15" x14ac:dyDescent="0.3">
      <c r="M509" t="s">
        <v>9146</v>
      </c>
      <c r="N509">
        <v>21.53</v>
      </c>
      <c r="O509">
        <v>13868500</v>
      </c>
    </row>
    <row r="510" spans="13:15" x14ac:dyDescent="0.3">
      <c r="M510" t="s">
        <v>9147</v>
      </c>
      <c r="N510">
        <v>21.64</v>
      </c>
      <c r="O510">
        <v>10562700</v>
      </c>
    </row>
    <row r="511" spans="13:15" x14ac:dyDescent="0.3">
      <c r="M511" t="s">
        <v>359</v>
      </c>
      <c r="N511">
        <v>21.96</v>
      </c>
      <c r="O511">
        <v>7100000</v>
      </c>
    </row>
    <row r="512" spans="13:15" x14ac:dyDescent="0.3">
      <c r="M512" t="s">
        <v>9148</v>
      </c>
      <c r="N512">
        <v>21.56</v>
      </c>
      <c r="O512">
        <v>5065600</v>
      </c>
    </row>
    <row r="513" spans="13:15" x14ac:dyDescent="0.3">
      <c r="M513" t="s">
        <v>9149</v>
      </c>
      <c r="N513">
        <v>21.29</v>
      </c>
      <c r="O513">
        <v>7665900</v>
      </c>
    </row>
    <row r="514" spans="13:15" x14ac:dyDescent="0.3">
      <c r="M514" t="s">
        <v>9150</v>
      </c>
      <c r="N514">
        <v>21.88</v>
      </c>
      <c r="O514">
        <v>4269500</v>
      </c>
    </row>
    <row r="515" spans="13:15" x14ac:dyDescent="0.3">
      <c r="M515" t="s">
        <v>9151</v>
      </c>
      <c r="N515">
        <v>21.92</v>
      </c>
      <c r="O515">
        <v>7722500</v>
      </c>
    </row>
    <row r="516" spans="13:15" x14ac:dyDescent="0.3">
      <c r="M516" t="s">
        <v>360</v>
      </c>
      <c r="N516">
        <v>21.54</v>
      </c>
      <c r="O516">
        <v>7549400</v>
      </c>
    </row>
    <row r="517" spans="13:15" x14ac:dyDescent="0.3">
      <c r="M517" t="s">
        <v>9152</v>
      </c>
      <c r="N517">
        <v>21.43</v>
      </c>
      <c r="O517">
        <v>9261000</v>
      </c>
    </row>
    <row r="518" spans="13:15" x14ac:dyDescent="0.3">
      <c r="M518" t="s">
        <v>9153</v>
      </c>
      <c r="N518">
        <v>21.07</v>
      </c>
      <c r="O518">
        <v>7816800</v>
      </c>
    </row>
    <row r="519" spans="13:15" x14ac:dyDescent="0.3">
      <c r="M519" t="s">
        <v>9154</v>
      </c>
      <c r="N519">
        <v>20.98</v>
      </c>
      <c r="O519">
        <v>5273100</v>
      </c>
    </row>
    <row r="520" spans="13:15" x14ac:dyDescent="0.3">
      <c r="M520" t="s">
        <v>9155</v>
      </c>
      <c r="N520">
        <v>21.05</v>
      </c>
      <c r="O520">
        <v>8366500</v>
      </c>
    </row>
    <row r="521" spans="13:15" x14ac:dyDescent="0.3">
      <c r="M521" t="s">
        <v>9156</v>
      </c>
      <c r="N521">
        <v>20.94</v>
      </c>
      <c r="O521">
        <v>11576900</v>
      </c>
    </row>
    <row r="522" spans="13:15" x14ac:dyDescent="0.3">
      <c r="M522" t="s">
        <v>9157</v>
      </c>
      <c r="N522">
        <v>21.05</v>
      </c>
      <c r="O522">
        <v>9702000</v>
      </c>
    </row>
    <row r="523" spans="13:15" x14ac:dyDescent="0.3">
      <c r="M523" t="s">
        <v>9158</v>
      </c>
      <c r="N523">
        <v>21.59</v>
      </c>
      <c r="O523">
        <v>10927900</v>
      </c>
    </row>
    <row r="524" spans="13:15" x14ac:dyDescent="0.3">
      <c r="M524" t="s">
        <v>9159</v>
      </c>
      <c r="N524">
        <v>21.21</v>
      </c>
      <c r="O524">
        <v>9151500</v>
      </c>
    </row>
    <row r="525" spans="13:15" x14ac:dyDescent="0.3">
      <c r="M525" t="s">
        <v>9160</v>
      </c>
      <c r="N525">
        <v>21.23</v>
      </c>
      <c r="O525">
        <v>7015300</v>
      </c>
    </row>
    <row r="526" spans="13:15" x14ac:dyDescent="0.3">
      <c r="M526" t="s">
        <v>9161</v>
      </c>
      <c r="N526">
        <v>21.33</v>
      </c>
      <c r="O526">
        <v>4900300</v>
      </c>
    </row>
    <row r="527" spans="13:15" x14ac:dyDescent="0.3">
      <c r="M527" t="s">
        <v>9162</v>
      </c>
      <c r="N527">
        <v>21.48</v>
      </c>
      <c r="O527">
        <v>21841100</v>
      </c>
    </row>
    <row r="528" spans="13:15" x14ac:dyDescent="0.3">
      <c r="M528" t="s">
        <v>9163</v>
      </c>
      <c r="N528">
        <v>21.33</v>
      </c>
      <c r="O528">
        <v>6281100</v>
      </c>
    </row>
    <row r="529" spans="13:15" x14ac:dyDescent="0.3">
      <c r="M529" t="s">
        <v>9164</v>
      </c>
      <c r="N529">
        <v>21.13</v>
      </c>
      <c r="O529">
        <v>7051700</v>
      </c>
    </row>
    <row r="530" spans="13:15" x14ac:dyDescent="0.3">
      <c r="M530" t="s">
        <v>9165</v>
      </c>
      <c r="N530">
        <v>21.6</v>
      </c>
      <c r="O530">
        <v>10352700</v>
      </c>
    </row>
    <row r="531" spans="13:15" x14ac:dyDescent="0.3">
      <c r="M531" t="s">
        <v>9166</v>
      </c>
      <c r="N531">
        <v>21.8</v>
      </c>
      <c r="O531">
        <v>6747300</v>
      </c>
    </row>
    <row r="532" spans="13:15" x14ac:dyDescent="0.3">
      <c r="M532" t="s">
        <v>9167</v>
      </c>
      <c r="N532">
        <v>21.81</v>
      </c>
      <c r="O532">
        <v>5273400</v>
      </c>
    </row>
    <row r="533" spans="13:15" x14ac:dyDescent="0.3">
      <c r="M533" t="s">
        <v>9168</v>
      </c>
      <c r="N533">
        <v>21.86</v>
      </c>
      <c r="O533">
        <v>5643300</v>
      </c>
    </row>
    <row r="534" spans="13:15" x14ac:dyDescent="0.3">
      <c r="M534" t="s">
        <v>9169</v>
      </c>
      <c r="N534">
        <v>21.55</v>
      </c>
      <c r="O534">
        <v>5590600</v>
      </c>
    </row>
    <row r="535" spans="13:15" x14ac:dyDescent="0.3">
      <c r="M535" t="s">
        <v>9170</v>
      </c>
      <c r="N535">
        <v>21.56</v>
      </c>
      <c r="O535">
        <v>6484400</v>
      </c>
    </row>
    <row r="536" spans="13:15" x14ac:dyDescent="0.3">
      <c r="M536" t="s">
        <v>9171</v>
      </c>
      <c r="N536">
        <v>21.27</v>
      </c>
      <c r="O536">
        <v>4585000</v>
      </c>
    </row>
    <row r="537" spans="13:15" x14ac:dyDescent="0.3">
      <c r="M537" t="s">
        <v>9172</v>
      </c>
      <c r="N537">
        <v>21.19</v>
      </c>
      <c r="O537">
        <v>7517300</v>
      </c>
    </row>
    <row r="538" spans="13:15" x14ac:dyDescent="0.3">
      <c r="M538" t="s">
        <v>9173</v>
      </c>
      <c r="N538">
        <v>21.53</v>
      </c>
      <c r="O538">
        <v>6270100</v>
      </c>
    </row>
    <row r="539" spans="13:15" x14ac:dyDescent="0.3">
      <c r="M539" t="s">
        <v>9174</v>
      </c>
      <c r="N539">
        <v>21.68</v>
      </c>
      <c r="O539">
        <v>5558000</v>
      </c>
    </row>
    <row r="540" spans="13:15" x14ac:dyDescent="0.3">
      <c r="M540" t="s">
        <v>9175</v>
      </c>
      <c r="N540">
        <v>21.6</v>
      </c>
      <c r="O540">
        <v>5793200</v>
      </c>
    </row>
    <row r="541" spans="13:15" x14ac:dyDescent="0.3">
      <c r="M541" t="s">
        <v>9176</v>
      </c>
      <c r="N541">
        <v>21.89</v>
      </c>
      <c r="O541">
        <v>6375000</v>
      </c>
    </row>
    <row r="542" spans="13:15" x14ac:dyDescent="0.3">
      <c r="M542" t="s">
        <v>9177</v>
      </c>
      <c r="N542">
        <v>21.81</v>
      </c>
      <c r="O542">
        <v>5756200</v>
      </c>
    </row>
    <row r="543" spans="13:15" x14ac:dyDescent="0.3">
      <c r="M543" t="s">
        <v>9178</v>
      </c>
      <c r="N543">
        <v>21.62</v>
      </c>
      <c r="O543">
        <v>7492200</v>
      </c>
    </row>
    <row r="544" spans="13:15" x14ac:dyDescent="0.3">
      <c r="M544" t="s">
        <v>9179</v>
      </c>
      <c r="N544">
        <v>21.44</v>
      </c>
      <c r="O544">
        <v>8258200</v>
      </c>
    </row>
    <row r="545" spans="13:15" x14ac:dyDescent="0.3">
      <c r="M545" t="s">
        <v>9180</v>
      </c>
      <c r="N545">
        <v>21.1</v>
      </c>
      <c r="O545">
        <v>4569000</v>
      </c>
    </row>
    <row r="546" spans="13:15" x14ac:dyDescent="0.3">
      <c r="M546" t="s">
        <v>9181</v>
      </c>
      <c r="N546">
        <v>21</v>
      </c>
      <c r="O546">
        <v>4428500</v>
      </c>
    </row>
    <row r="547" spans="13:15" x14ac:dyDescent="0.3">
      <c r="M547" t="s">
        <v>9182</v>
      </c>
      <c r="N547">
        <v>21</v>
      </c>
      <c r="O547">
        <v>4273000</v>
      </c>
    </row>
    <row r="548" spans="13:15" x14ac:dyDescent="0.3">
      <c r="M548" t="s">
        <v>9183</v>
      </c>
      <c r="N548">
        <v>21.22</v>
      </c>
      <c r="O548">
        <v>7843700</v>
      </c>
    </row>
    <row r="549" spans="13:15" x14ac:dyDescent="0.3">
      <c r="M549" t="s">
        <v>9184</v>
      </c>
      <c r="N549">
        <v>20.97</v>
      </c>
      <c r="O549">
        <v>5588900</v>
      </c>
    </row>
    <row r="550" spans="13:15" x14ac:dyDescent="0.3">
      <c r="M550" t="s">
        <v>9185</v>
      </c>
      <c r="N550">
        <v>20.93</v>
      </c>
      <c r="O550">
        <v>5276900</v>
      </c>
    </row>
    <row r="551" spans="13:15" x14ac:dyDescent="0.3">
      <c r="M551" t="s">
        <v>9186</v>
      </c>
      <c r="N551">
        <v>20.69</v>
      </c>
      <c r="O551">
        <v>5219100</v>
      </c>
    </row>
    <row r="552" spans="13:15" x14ac:dyDescent="0.3">
      <c r="M552" t="s">
        <v>9187</v>
      </c>
      <c r="N552">
        <v>20.52</v>
      </c>
      <c r="O552">
        <v>6838200</v>
      </c>
    </row>
    <row r="553" spans="13:15" x14ac:dyDescent="0.3">
      <c r="M553" t="s">
        <v>9188</v>
      </c>
      <c r="N553">
        <v>20.45</v>
      </c>
      <c r="O553">
        <v>5350300</v>
      </c>
    </row>
    <row r="554" spans="13:15" x14ac:dyDescent="0.3">
      <c r="M554" t="s">
        <v>9189</v>
      </c>
      <c r="N554">
        <v>20.3</v>
      </c>
      <c r="O554">
        <v>7691800</v>
      </c>
    </row>
    <row r="555" spans="13:15" x14ac:dyDescent="0.3">
      <c r="M555" t="s">
        <v>9190</v>
      </c>
      <c r="N555">
        <v>20.03</v>
      </c>
      <c r="O555">
        <v>11669500</v>
      </c>
    </row>
    <row r="556" spans="13:15" x14ac:dyDescent="0.3">
      <c r="M556" t="s">
        <v>9191</v>
      </c>
      <c r="N556">
        <v>20.02</v>
      </c>
      <c r="O556">
        <v>7794500</v>
      </c>
    </row>
    <row r="557" spans="13:15" x14ac:dyDescent="0.3">
      <c r="M557" t="s">
        <v>9192</v>
      </c>
      <c r="N557">
        <v>19.87</v>
      </c>
      <c r="O557">
        <v>8243300</v>
      </c>
    </row>
    <row r="558" spans="13:15" x14ac:dyDescent="0.3">
      <c r="M558" t="s">
        <v>9193</v>
      </c>
      <c r="N558">
        <v>19.71</v>
      </c>
      <c r="O558">
        <v>8944600</v>
      </c>
    </row>
    <row r="559" spans="13:15" x14ac:dyDescent="0.3">
      <c r="M559" t="s">
        <v>9194</v>
      </c>
      <c r="N559">
        <v>19.73</v>
      </c>
      <c r="O559">
        <v>9996700</v>
      </c>
    </row>
    <row r="560" spans="13:15" x14ac:dyDescent="0.3">
      <c r="M560" t="s">
        <v>9195</v>
      </c>
      <c r="N560">
        <v>19.55</v>
      </c>
      <c r="O560">
        <v>14844400</v>
      </c>
    </row>
    <row r="561" spans="13:15" x14ac:dyDescent="0.3">
      <c r="M561" t="s">
        <v>9196</v>
      </c>
      <c r="N561">
        <v>20.47</v>
      </c>
      <c r="O561">
        <v>10940900</v>
      </c>
    </row>
    <row r="562" spans="13:15" x14ac:dyDescent="0.3">
      <c r="M562" t="s">
        <v>9197</v>
      </c>
      <c r="N562">
        <v>20.97</v>
      </c>
      <c r="O562">
        <v>10759600</v>
      </c>
    </row>
    <row r="563" spans="13:15" x14ac:dyDescent="0.3">
      <c r="M563" t="s">
        <v>9198</v>
      </c>
      <c r="N563">
        <v>20.81</v>
      </c>
      <c r="O563">
        <v>18250700</v>
      </c>
    </row>
    <row r="564" spans="13:15" x14ac:dyDescent="0.3">
      <c r="M564" t="s">
        <v>9199</v>
      </c>
      <c r="N564">
        <v>21.26</v>
      </c>
      <c r="O564">
        <v>6682900</v>
      </c>
    </row>
    <row r="565" spans="13:15" x14ac:dyDescent="0.3">
      <c r="M565" t="s">
        <v>9200</v>
      </c>
      <c r="N565">
        <v>21.25</v>
      </c>
      <c r="O565">
        <v>8940800</v>
      </c>
    </row>
    <row r="566" spans="13:15" x14ac:dyDescent="0.3">
      <c r="M566" t="s">
        <v>9201</v>
      </c>
      <c r="N566">
        <v>21.43</v>
      </c>
      <c r="O566">
        <v>15980100</v>
      </c>
    </row>
    <row r="567" spans="13:15" x14ac:dyDescent="0.3">
      <c r="M567" t="s">
        <v>9202</v>
      </c>
      <c r="N567">
        <v>20.69</v>
      </c>
      <c r="O567">
        <v>11403500</v>
      </c>
    </row>
    <row r="568" spans="13:15" x14ac:dyDescent="0.3">
      <c r="M568" t="s">
        <v>9203</v>
      </c>
      <c r="N568">
        <v>20.55</v>
      </c>
      <c r="O568">
        <v>7859100</v>
      </c>
    </row>
    <row r="569" spans="13:15" x14ac:dyDescent="0.3">
      <c r="M569" t="s">
        <v>9204</v>
      </c>
      <c r="N569">
        <v>20.76</v>
      </c>
      <c r="O569">
        <v>9992300</v>
      </c>
    </row>
    <row r="570" spans="13:15" x14ac:dyDescent="0.3">
      <c r="M570" t="s">
        <v>9205</v>
      </c>
      <c r="N570">
        <v>20.49</v>
      </c>
      <c r="O570">
        <v>8459600</v>
      </c>
    </row>
    <row r="571" spans="13:15" x14ac:dyDescent="0.3">
      <c r="M571" t="s">
        <v>9206</v>
      </c>
      <c r="N571">
        <v>20.38</v>
      </c>
      <c r="O571">
        <v>16443500</v>
      </c>
    </row>
    <row r="572" spans="13:15" x14ac:dyDescent="0.3">
      <c r="M572" t="s">
        <v>9207</v>
      </c>
      <c r="N572">
        <v>20.92</v>
      </c>
      <c r="O572">
        <v>42176100</v>
      </c>
    </row>
    <row r="573" spans="13:15" x14ac:dyDescent="0.3">
      <c r="M573" t="s">
        <v>9208</v>
      </c>
      <c r="N573">
        <v>19.3</v>
      </c>
      <c r="O573">
        <v>14389200</v>
      </c>
    </row>
    <row r="574" spans="13:15" x14ac:dyDescent="0.3">
      <c r="M574" t="s">
        <v>9209</v>
      </c>
      <c r="N574">
        <v>19.420000000000002</v>
      </c>
      <c r="O574">
        <v>7137500</v>
      </c>
    </row>
    <row r="575" spans="13:15" x14ac:dyDescent="0.3">
      <c r="M575" t="s">
        <v>9210</v>
      </c>
      <c r="N575">
        <v>19.09</v>
      </c>
      <c r="O575">
        <v>11641700</v>
      </c>
    </row>
    <row r="576" spans="13:15" x14ac:dyDescent="0.3">
      <c r="M576" t="s">
        <v>9211</v>
      </c>
      <c r="N576">
        <v>19.18</v>
      </c>
      <c r="O576">
        <v>10583500</v>
      </c>
    </row>
    <row r="577" spans="13:15" x14ac:dyDescent="0.3">
      <c r="M577" t="s">
        <v>9212</v>
      </c>
      <c r="N577">
        <v>18.7</v>
      </c>
      <c r="O577">
        <v>14459300</v>
      </c>
    </row>
    <row r="578" spans="13:15" x14ac:dyDescent="0.3">
      <c r="M578" t="s">
        <v>9213</v>
      </c>
      <c r="N578">
        <v>18.21</v>
      </c>
      <c r="O578">
        <v>16768700</v>
      </c>
    </row>
    <row r="579" spans="13:15" x14ac:dyDescent="0.3">
      <c r="M579" t="s">
        <v>9214</v>
      </c>
      <c r="N579">
        <v>18.14</v>
      </c>
      <c r="O579">
        <v>12586700</v>
      </c>
    </row>
    <row r="580" spans="13:15" x14ac:dyDescent="0.3">
      <c r="M580" t="s">
        <v>9215</v>
      </c>
      <c r="N580">
        <v>18.329999999999998</v>
      </c>
      <c r="O580">
        <v>10910900</v>
      </c>
    </row>
    <row r="581" spans="13:15" x14ac:dyDescent="0.3">
      <c r="M581" t="s">
        <v>9216</v>
      </c>
      <c r="N581">
        <v>18.27</v>
      </c>
      <c r="O581">
        <v>7709600</v>
      </c>
    </row>
    <row r="582" spans="13:15" x14ac:dyDescent="0.3">
      <c r="M582" t="s">
        <v>9217</v>
      </c>
      <c r="N582">
        <v>18.21</v>
      </c>
      <c r="O582">
        <v>7252400</v>
      </c>
    </row>
    <row r="583" spans="13:15" x14ac:dyDescent="0.3">
      <c r="M583" t="s">
        <v>9218</v>
      </c>
      <c r="N583">
        <v>18.079999999999998</v>
      </c>
      <c r="O583">
        <v>10531700</v>
      </c>
    </row>
    <row r="584" spans="13:15" x14ac:dyDescent="0.3">
      <c r="M584" t="s">
        <v>9219</v>
      </c>
      <c r="N584">
        <v>17.64</v>
      </c>
      <c r="O584">
        <v>8064200</v>
      </c>
    </row>
    <row r="585" spans="13:15" x14ac:dyDescent="0.3">
      <c r="M585" t="s">
        <v>9220</v>
      </c>
      <c r="N585">
        <v>17.510000000000002</v>
      </c>
      <c r="O585">
        <v>9520300</v>
      </c>
    </row>
    <row r="586" spans="13:15" x14ac:dyDescent="0.3">
      <c r="M586" t="s">
        <v>9221</v>
      </c>
      <c r="N586">
        <v>17.510000000000002</v>
      </c>
      <c r="O586">
        <v>8949300</v>
      </c>
    </row>
    <row r="587" spans="13:15" x14ac:dyDescent="0.3">
      <c r="M587" t="s">
        <v>9222</v>
      </c>
      <c r="N587">
        <v>17.13</v>
      </c>
      <c r="O587">
        <v>8693400</v>
      </c>
    </row>
    <row r="588" spans="13:15" x14ac:dyDescent="0.3">
      <c r="M588" t="s">
        <v>9223</v>
      </c>
      <c r="N588">
        <v>17.239999999999998</v>
      </c>
      <c r="O588">
        <v>8733100</v>
      </c>
    </row>
    <row r="589" spans="13:15" x14ac:dyDescent="0.3">
      <c r="M589" t="s">
        <v>9224</v>
      </c>
      <c r="N589">
        <v>17.05</v>
      </c>
      <c r="O589">
        <v>5758800</v>
      </c>
    </row>
    <row r="590" spans="13:15" x14ac:dyDescent="0.3">
      <c r="M590" t="s">
        <v>9225</v>
      </c>
      <c r="N590">
        <v>16.98</v>
      </c>
      <c r="O590">
        <v>22822100</v>
      </c>
    </row>
    <row r="591" spans="13:15" x14ac:dyDescent="0.3">
      <c r="M591" t="s">
        <v>9226</v>
      </c>
      <c r="N591">
        <v>17.18</v>
      </c>
      <c r="O591">
        <v>17345600</v>
      </c>
    </row>
    <row r="592" spans="13:15" x14ac:dyDescent="0.3">
      <c r="M592" t="s">
        <v>9227</v>
      </c>
      <c r="N592">
        <v>16.84</v>
      </c>
      <c r="O592">
        <v>10828100</v>
      </c>
    </row>
    <row r="593" spans="13:15" x14ac:dyDescent="0.3">
      <c r="M593" t="s">
        <v>9228</v>
      </c>
      <c r="N593">
        <v>16.87</v>
      </c>
      <c r="O593">
        <v>6348700</v>
      </c>
    </row>
    <row r="594" spans="13:15" x14ac:dyDescent="0.3">
      <c r="M594" t="s">
        <v>9229</v>
      </c>
      <c r="N594">
        <v>16.73</v>
      </c>
      <c r="O594">
        <v>6694600</v>
      </c>
    </row>
    <row r="595" spans="13:15" x14ac:dyDescent="0.3">
      <c r="M595" t="s">
        <v>9230</v>
      </c>
      <c r="N595">
        <v>16.739999999999998</v>
      </c>
      <c r="O595">
        <v>6851000</v>
      </c>
    </row>
    <row r="596" spans="13:15" x14ac:dyDescent="0.3">
      <c r="M596" t="s">
        <v>9231</v>
      </c>
      <c r="N596">
        <v>16.79</v>
      </c>
      <c r="O596">
        <v>6033900</v>
      </c>
    </row>
    <row r="597" spans="13:15" x14ac:dyDescent="0.3">
      <c r="M597" t="s">
        <v>9232</v>
      </c>
      <c r="N597">
        <v>16.73</v>
      </c>
      <c r="O597">
        <v>5756500</v>
      </c>
    </row>
    <row r="598" spans="13:15" x14ac:dyDescent="0.3">
      <c r="M598" t="s">
        <v>9233</v>
      </c>
      <c r="N598">
        <v>16.77</v>
      </c>
      <c r="O598">
        <v>6404300</v>
      </c>
    </row>
    <row r="599" spans="13:15" x14ac:dyDescent="0.3">
      <c r="M599" t="s">
        <v>9234</v>
      </c>
      <c r="N599">
        <v>16.93</v>
      </c>
      <c r="O599">
        <v>11158200</v>
      </c>
    </row>
    <row r="600" spans="13:15" x14ac:dyDescent="0.3">
      <c r="M600" t="s">
        <v>9235</v>
      </c>
      <c r="N600">
        <v>16.489999999999998</v>
      </c>
      <c r="O600">
        <v>7386000</v>
      </c>
    </row>
    <row r="601" spans="13:15" x14ac:dyDescent="0.3">
      <c r="M601" t="s">
        <v>9236</v>
      </c>
      <c r="N601">
        <v>16.12</v>
      </c>
      <c r="O601">
        <v>7513200</v>
      </c>
    </row>
    <row r="602" spans="13:15" x14ac:dyDescent="0.3">
      <c r="M602" t="s">
        <v>9237</v>
      </c>
      <c r="N602">
        <v>15.79</v>
      </c>
      <c r="O602">
        <v>8822800</v>
      </c>
    </row>
    <row r="603" spans="13:15" x14ac:dyDescent="0.3">
      <c r="M603" t="s">
        <v>9238</v>
      </c>
      <c r="N603">
        <v>15.84</v>
      </c>
      <c r="O603">
        <v>8585300</v>
      </c>
    </row>
    <row r="604" spans="13:15" x14ac:dyDescent="0.3">
      <c r="M604" t="s">
        <v>9239</v>
      </c>
      <c r="N604">
        <v>15.75</v>
      </c>
      <c r="O604">
        <v>14253800</v>
      </c>
    </row>
    <row r="605" spans="13:15" x14ac:dyDescent="0.3">
      <c r="M605" t="s">
        <v>9240</v>
      </c>
      <c r="N605">
        <v>15.55</v>
      </c>
      <c r="O605">
        <v>11351200</v>
      </c>
    </row>
    <row r="606" spans="13:15" x14ac:dyDescent="0.3">
      <c r="M606" t="s">
        <v>9241</v>
      </c>
      <c r="N606">
        <v>15.69</v>
      </c>
      <c r="O606">
        <v>8563800</v>
      </c>
    </row>
    <row r="607" spans="13:15" x14ac:dyDescent="0.3">
      <c r="M607" t="s">
        <v>9242</v>
      </c>
      <c r="N607">
        <v>15.96</v>
      </c>
      <c r="O607">
        <v>11508000</v>
      </c>
    </row>
    <row r="608" spans="13:15" x14ac:dyDescent="0.3">
      <c r="M608" t="s">
        <v>9243</v>
      </c>
      <c r="N608">
        <v>16</v>
      </c>
      <c r="O608">
        <v>9241000</v>
      </c>
    </row>
    <row r="609" spans="13:15" x14ac:dyDescent="0.3">
      <c r="M609" t="s">
        <v>9244</v>
      </c>
      <c r="N609">
        <v>16.03</v>
      </c>
      <c r="O609">
        <v>9249300</v>
      </c>
    </row>
    <row r="610" spans="13:15" x14ac:dyDescent="0.3">
      <c r="M610" t="s">
        <v>9245</v>
      </c>
      <c r="N610">
        <v>15.91</v>
      </c>
      <c r="O610">
        <v>8385600</v>
      </c>
    </row>
    <row r="611" spans="13:15" x14ac:dyDescent="0.3">
      <c r="M611" t="s">
        <v>9246</v>
      </c>
      <c r="N611">
        <v>15.67</v>
      </c>
      <c r="O611">
        <v>7889700</v>
      </c>
    </row>
    <row r="612" spans="13:15" x14ac:dyDescent="0.3">
      <c r="M612" t="s">
        <v>9247</v>
      </c>
      <c r="N612">
        <v>15.78</v>
      </c>
      <c r="O612">
        <v>6096100</v>
      </c>
    </row>
    <row r="613" spans="13:15" x14ac:dyDescent="0.3">
      <c r="M613" t="s">
        <v>9248</v>
      </c>
      <c r="N613">
        <v>15.78</v>
      </c>
      <c r="O613">
        <v>7986000</v>
      </c>
    </row>
    <row r="614" spans="13:15" x14ac:dyDescent="0.3">
      <c r="M614" t="s">
        <v>9249</v>
      </c>
      <c r="N614">
        <v>15.89</v>
      </c>
      <c r="O614">
        <v>10753400</v>
      </c>
    </row>
    <row r="615" spans="13:15" x14ac:dyDescent="0.3">
      <c r="M615" t="s">
        <v>9250</v>
      </c>
      <c r="N615">
        <v>15.71</v>
      </c>
      <c r="O615">
        <v>4019700</v>
      </c>
    </row>
    <row r="616" spans="13:15" x14ac:dyDescent="0.3">
      <c r="M616" t="s">
        <v>9251</v>
      </c>
      <c r="N616">
        <v>15.62</v>
      </c>
      <c r="O616">
        <v>9395500</v>
      </c>
    </row>
    <row r="617" spans="13:15" x14ac:dyDescent="0.3">
      <c r="M617" t="s">
        <v>9252</v>
      </c>
      <c r="N617">
        <v>15.59</v>
      </c>
      <c r="O617">
        <v>5923300</v>
      </c>
    </row>
    <row r="618" spans="13:15" x14ac:dyDescent="0.3">
      <c r="M618" t="s">
        <v>9253</v>
      </c>
      <c r="N618">
        <v>15.55</v>
      </c>
      <c r="O618">
        <v>10340700</v>
      </c>
    </row>
    <row r="619" spans="13:15" x14ac:dyDescent="0.3">
      <c r="M619" t="s">
        <v>9254</v>
      </c>
      <c r="N619">
        <v>15.64</v>
      </c>
      <c r="O619">
        <v>12308400</v>
      </c>
    </row>
    <row r="620" spans="13:15" x14ac:dyDescent="0.3">
      <c r="M620" t="s">
        <v>9255</v>
      </c>
      <c r="N620">
        <v>15.75</v>
      </c>
      <c r="O620">
        <v>4739100</v>
      </c>
    </row>
    <row r="621" spans="13:15" x14ac:dyDescent="0.3">
      <c r="M621" t="s">
        <v>9256</v>
      </c>
      <c r="N621">
        <v>15.78</v>
      </c>
      <c r="O621">
        <v>8843200</v>
      </c>
    </row>
    <row r="622" spans="13:15" x14ac:dyDescent="0.3">
      <c r="M622" t="s">
        <v>9257</v>
      </c>
      <c r="N622">
        <v>15.64</v>
      </c>
      <c r="O622">
        <v>4209700</v>
      </c>
    </row>
    <row r="623" spans="13:15" x14ac:dyDescent="0.3">
      <c r="M623" t="s">
        <v>9258</v>
      </c>
      <c r="N623">
        <v>15.6</v>
      </c>
      <c r="O623">
        <v>4035300</v>
      </c>
    </row>
    <row r="624" spans="13:15" x14ac:dyDescent="0.3">
      <c r="M624" t="s">
        <v>9259</v>
      </c>
      <c r="N624">
        <v>15.55</v>
      </c>
      <c r="O624">
        <v>8716700</v>
      </c>
    </row>
    <row r="625" spans="13:15" x14ac:dyDescent="0.3">
      <c r="M625" t="s">
        <v>9260</v>
      </c>
      <c r="N625">
        <v>15.45</v>
      </c>
      <c r="O625">
        <v>6966200</v>
      </c>
    </row>
    <row r="626" spans="13:15" x14ac:dyDescent="0.3">
      <c r="M626" t="s">
        <v>9261</v>
      </c>
      <c r="N626">
        <v>15.4</v>
      </c>
      <c r="O626">
        <v>11349100</v>
      </c>
    </row>
    <row r="627" spans="13:15" x14ac:dyDescent="0.3">
      <c r="M627" t="s">
        <v>9262</v>
      </c>
      <c r="N627">
        <v>15.64</v>
      </c>
      <c r="O627">
        <v>7426500</v>
      </c>
    </row>
    <row r="628" spans="13:15" x14ac:dyDescent="0.3">
      <c r="M628" t="s">
        <v>9263</v>
      </c>
      <c r="N628">
        <v>15.61</v>
      </c>
      <c r="O628">
        <v>8845000</v>
      </c>
    </row>
    <row r="629" spans="13:15" x14ac:dyDescent="0.3">
      <c r="M629" t="s">
        <v>9264</v>
      </c>
      <c r="N629">
        <v>15.67</v>
      </c>
      <c r="O629">
        <v>10657300</v>
      </c>
    </row>
    <row r="630" spans="13:15" x14ac:dyDescent="0.3">
      <c r="M630" t="s">
        <v>9265</v>
      </c>
      <c r="N630">
        <v>15.7</v>
      </c>
      <c r="O630">
        <v>10685000</v>
      </c>
    </row>
    <row r="631" spans="13:15" x14ac:dyDescent="0.3">
      <c r="M631" t="s">
        <v>9266</v>
      </c>
      <c r="N631">
        <v>15.81</v>
      </c>
      <c r="O631">
        <v>8832400</v>
      </c>
    </row>
    <row r="632" spans="13:15" x14ac:dyDescent="0.3">
      <c r="M632" t="s">
        <v>9267</v>
      </c>
      <c r="N632">
        <v>15.94</v>
      </c>
      <c r="O632">
        <v>19944700</v>
      </c>
    </row>
    <row r="633" spans="13:15" x14ac:dyDescent="0.3">
      <c r="M633" t="s">
        <v>9268</v>
      </c>
      <c r="N633">
        <v>15.49</v>
      </c>
      <c r="O633">
        <v>16182300</v>
      </c>
    </row>
    <row r="634" spans="13:15" x14ac:dyDescent="0.3">
      <c r="M634" t="s">
        <v>9269</v>
      </c>
      <c r="N634">
        <v>15.21</v>
      </c>
      <c r="O634">
        <v>31702900</v>
      </c>
    </row>
    <row r="635" spans="13:15" x14ac:dyDescent="0.3">
      <c r="M635" t="s">
        <v>9270</v>
      </c>
      <c r="N635">
        <v>15.62</v>
      </c>
      <c r="O635">
        <v>17034100</v>
      </c>
    </row>
    <row r="636" spans="13:15" x14ac:dyDescent="0.3">
      <c r="M636" t="s">
        <v>9271</v>
      </c>
      <c r="N636">
        <v>15.71</v>
      </c>
      <c r="O636">
        <v>13033300</v>
      </c>
    </row>
    <row r="637" spans="13:15" x14ac:dyDescent="0.3">
      <c r="M637" t="s">
        <v>9272</v>
      </c>
      <c r="N637">
        <v>15.91</v>
      </c>
      <c r="O637">
        <v>11374300</v>
      </c>
    </row>
    <row r="638" spans="13:15" x14ac:dyDescent="0.3">
      <c r="M638" t="s">
        <v>9273</v>
      </c>
      <c r="N638">
        <v>16.329999999999998</v>
      </c>
      <c r="O638">
        <v>17657700</v>
      </c>
    </row>
    <row r="639" spans="13:15" x14ac:dyDescent="0.3">
      <c r="M639" t="s">
        <v>9274</v>
      </c>
      <c r="N639">
        <v>16.53</v>
      </c>
      <c r="O639">
        <v>13389200</v>
      </c>
    </row>
    <row r="640" spans="13:15" x14ac:dyDescent="0.3">
      <c r="M640" t="s">
        <v>9275</v>
      </c>
      <c r="N640">
        <v>16.59</v>
      </c>
      <c r="O640">
        <v>11553000</v>
      </c>
    </row>
    <row r="641" spans="13:15" x14ac:dyDescent="0.3">
      <c r="M641" t="s">
        <v>9276</v>
      </c>
      <c r="N641">
        <v>16.760000000000002</v>
      </c>
      <c r="O641">
        <v>13467900</v>
      </c>
    </row>
    <row r="642" spans="13:15" x14ac:dyDescent="0.3">
      <c r="M642" t="s">
        <v>9277</v>
      </c>
      <c r="N642">
        <v>16.46</v>
      </c>
      <c r="O642">
        <v>8716600</v>
      </c>
    </row>
    <row r="643" spans="13:15" x14ac:dyDescent="0.3">
      <c r="M643" t="s">
        <v>9278</v>
      </c>
      <c r="N643">
        <v>16.43</v>
      </c>
      <c r="O643">
        <v>5967200</v>
      </c>
    </row>
    <row r="644" spans="13:15" x14ac:dyDescent="0.3">
      <c r="M644" t="s">
        <v>9279</v>
      </c>
      <c r="N644">
        <v>16.36</v>
      </c>
      <c r="O644">
        <v>12716500</v>
      </c>
    </row>
    <row r="645" spans="13:15" x14ac:dyDescent="0.3">
      <c r="M645" t="s">
        <v>9280</v>
      </c>
      <c r="N645">
        <v>16.329999999999998</v>
      </c>
      <c r="O645">
        <v>8871400</v>
      </c>
    </row>
    <row r="646" spans="13:15" x14ac:dyDescent="0.3">
      <c r="M646" t="s">
        <v>9281</v>
      </c>
      <c r="N646">
        <v>16.2</v>
      </c>
      <c r="O646">
        <v>12687000</v>
      </c>
    </row>
    <row r="647" spans="13:15" x14ac:dyDescent="0.3">
      <c r="M647" t="s">
        <v>9282</v>
      </c>
      <c r="N647">
        <v>16.2</v>
      </c>
      <c r="O647">
        <v>14601600</v>
      </c>
    </row>
    <row r="648" spans="13:15" x14ac:dyDescent="0.3">
      <c r="M648" t="s">
        <v>9283</v>
      </c>
      <c r="N648">
        <v>16.52</v>
      </c>
      <c r="O648">
        <v>7019600</v>
      </c>
    </row>
    <row r="649" spans="13:15" x14ac:dyDescent="0.3">
      <c r="M649" t="s">
        <v>9284</v>
      </c>
      <c r="N649">
        <v>16.39</v>
      </c>
      <c r="O649">
        <v>6074600</v>
      </c>
    </row>
    <row r="650" spans="13:15" x14ac:dyDescent="0.3">
      <c r="M650" t="s">
        <v>9285</v>
      </c>
      <c r="N650">
        <v>16.36</v>
      </c>
      <c r="O650">
        <v>10500900</v>
      </c>
    </row>
    <row r="651" spans="13:15" x14ac:dyDescent="0.3">
      <c r="M651" t="s">
        <v>9286</v>
      </c>
      <c r="N651">
        <v>16.25</v>
      </c>
      <c r="O651">
        <v>12454500</v>
      </c>
    </row>
    <row r="652" spans="13:15" x14ac:dyDescent="0.3">
      <c r="M652" t="s">
        <v>9287</v>
      </c>
      <c r="N652">
        <v>16.329999999999998</v>
      </c>
      <c r="O652">
        <v>15028500</v>
      </c>
    </row>
    <row r="653" spans="13:15" x14ac:dyDescent="0.3">
      <c r="M653" t="s">
        <v>9288</v>
      </c>
      <c r="N653">
        <v>16.78</v>
      </c>
      <c r="O653">
        <v>22905000</v>
      </c>
    </row>
    <row r="654" spans="13:15" x14ac:dyDescent="0.3">
      <c r="M654" t="s">
        <v>9289</v>
      </c>
      <c r="N654">
        <v>17.440000000000001</v>
      </c>
      <c r="O654">
        <v>9677300</v>
      </c>
    </row>
    <row r="655" spans="13:15" x14ac:dyDescent="0.3">
      <c r="M655" t="s">
        <v>9290</v>
      </c>
      <c r="N655">
        <v>17.37</v>
      </c>
      <c r="O655">
        <v>9561000</v>
      </c>
    </row>
    <row r="656" spans="13:15" x14ac:dyDescent="0.3">
      <c r="M656" t="s">
        <v>9291</v>
      </c>
      <c r="N656">
        <v>17.66</v>
      </c>
      <c r="O656">
        <v>6324200</v>
      </c>
    </row>
    <row r="657" spans="13:15" x14ac:dyDescent="0.3">
      <c r="M657" t="s">
        <v>9292</v>
      </c>
      <c r="N657">
        <v>17.72</v>
      </c>
      <c r="O657">
        <v>13296100</v>
      </c>
    </row>
    <row r="658" spans="13:15" x14ac:dyDescent="0.3">
      <c r="M658" t="s">
        <v>9293</v>
      </c>
      <c r="N658">
        <v>18.12</v>
      </c>
      <c r="O658">
        <v>8476900</v>
      </c>
    </row>
    <row r="659" spans="13:15" x14ac:dyDescent="0.3">
      <c r="M659" t="s">
        <v>9294</v>
      </c>
      <c r="N659">
        <v>17.87</v>
      </c>
      <c r="O659">
        <v>7171000</v>
      </c>
    </row>
    <row r="660" spans="13:15" x14ac:dyDescent="0.3">
      <c r="M660" t="s">
        <v>9295</v>
      </c>
      <c r="N660">
        <v>17.89</v>
      </c>
      <c r="O660">
        <v>11415900</v>
      </c>
    </row>
    <row r="661" spans="13:15" x14ac:dyDescent="0.3">
      <c r="M661" t="s">
        <v>9296</v>
      </c>
      <c r="N661">
        <v>17.71</v>
      </c>
      <c r="O661">
        <v>8544100</v>
      </c>
    </row>
    <row r="662" spans="13:15" x14ac:dyDescent="0.3">
      <c r="M662" t="s">
        <v>9297</v>
      </c>
      <c r="N662">
        <v>17.75</v>
      </c>
      <c r="O662">
        <v>8183300</v>
      </c>
    </row>
    <row r="663" spans="13:15" x14ac:dyDescent="0.3">
      <c r="M663" t="s">
        <v>9298</v>
      </c>
      <c r="N663">
        <v>17.87</v>
      </c>
      <c r="O663">
        <v>11084100</v>
      </c>
    </row>
    <row r="664" spans="13:15" x14ac:dyDescent="0.3">
      <c r="M664" t="s">
        <v>9299</v>
      </c>
      <c r="N664">
        <v>17.809999999999999</v>
      </c>
      <c r="O664">
        <v>9226500</v>
      </c>
    </row>
    <row r="665" spans="13:15" x14ac:dyDescent="0.3">
      <c r="M665" t="s">
        <v>9300</v>
      </c>
      <c r="N665">
        <v>17.78</v>
      </c>
      <c r="O665">
        <v>7522600</v>
      </c>
    </row>
    <row r="666" spans="13:15" x14ac:dyDescent="0.3">
      <c r="M666" t="s">
        <v>9301</v>
      </c>
      <c r="N666">
        <v>18.25</v>
      </c>
      <c r="O666">
        <v>6821800</v>
      </c>
    </row>
    <row r="667" spans="13:15" x14ac:dyDescent="0.3">
      <c r="M667" t="s">
        <v>9302</v>
      </c>
      <c r="N667">
        <v>18.27</v>
      </c>
      <c r="O667">
        <v>6151800</v>
      </c>
    </row>
    <row r="668" spans="13:15" x14ac:dyDescent="0.3">
      <c r="M668" t="s">
        <v>9303</v>
      </c>
      <c r="N668">
        <v>18.39</v>
      </c>
      <c r="O668">
        <v>6256900</v>
      </c>
    </row>
    <row r="669" spans="13:15" x14ac:dyDescent="0.3">
      <c r="M669" t="s">
        <v>9304</v>
      </c>
      <c r="N669">
        <v>18.38</v>
      </c>
      <c r="O669">
        <v>4344500</v>
      </c>
    </row>
    <row r="670" spans="13:15" x14ac:dyDescent="0.3">
      <c r="M670" t="s">
        <v>9305</v>
      </c>
      <c r="N670">
        <v>18.43</v>
      </c>
      <c r="O670">
        <v>2751500</v>
      </c>
    </row>
    <row r="671" spans="13:15" x14ac:dyDescent="0.3">
      <c r="M671" t="s">
        <v>9306</v>
      </c>
      <c r="N671">
        <v>18.420000000000002</v>
      </c>
      <c r="O671">
        <v>5145700</v>
      </c>
    </row>
    <row r="672" spans="13:15" x14ac:dyDescent="0.3">
      <c r="M672" t="s">
        <v>9307</v>
      </c>
      <c r="N672">
        <v>18.53</v>
      </c>
      <c r="O672">
        <v>4228200</v>
      </c>
    </row>
    <row r="673" spans="13:15" x14ac:dyDescent="0.3">
      <c r="M673" t="s">
        <v>9308</v>
      </c>
      <c r="N673">
        <v>18.72</v>
      </c>
      <c r="O673">
        <v>6590200</v>
      </c>
    </row>
    <row r="674" spans="13:15" x14ac:dyDescent="0.3">
      <c r="M674" t="s">
        <v>9309</v>
      </c>
      <c r="N674">
        <v>18.23</v>
      </c>
      <c r="O674">
        <v>6191500</v>
      </c>
    </row>
    <row r="675" spans="13:15" x14ac:dyDescent="0.3">
      <c r="M675" t="s">
        <v>9310</v>
      </c>
      <c r="N675">
        <v>18.45</v>
      </c>
      <c r="O675">
        <v>7587200</v>
      </c>
    </row>
    <row r="676" spans="13:15" x14ac:dyDescent="0.3">
      <c r="M676" t="s">
        <v>9311</v>
      </c>
      <c r="N676">
        <v>18.86</v>
      </c>
      <c r="O676">
        <v>5516600</v>
      </c>
    </row>
    <row r="677" spans="13:15" x14ac:dyDescent="0.3">
      <c r="M677" t="s">
        <v>9312</v>
      </c>
      <c r="N677">
        <v>18.72</v>
      </c>
      <c r="O677">
        <v>5247500</v>
      </c>
    </row>
    <row r="678" spans="13:15" x14ac:dyDescent="0.3">
      <c r="M678" t="s">
        <v>9313</v>
      </c>
      <c r="N678">
        <v>18.600000000000001</v>
      </c>
      <c r="O678">
        <v>7591100</v>
      </c>
    </row>
    <row r="679" spans="13:15" x14ac:dyDescent="0.3">
      <c r="M679" t="s">
        <v>9314</v>
      </c>
      <c r="N679">
        <v>18.3</v>
      </c>
      <c r="O679">
        <v>6914100</v>
      </c>
    </row>
    <row r="680" spans="13:15" x14ac:dyDescent="0.3">
      <c r="M680" t="s">
        <v>9315</v>
      </c>
      <c r="N680">
        <v>18.559999999999999</v>
      </c>
      <c r="O680">
        <v>4253200</v>
      </c>
    </row>
    <row r="681" spans="13:15" x14ac:dyDescent="0.3">
      <c r="M681" t="s">
        <v>9316</v>
      </c>
      <c r="N681">
        <v>18.52</v>
      </c>
      <c r="O681">
        <v>5895300</v>
      </c>
    </row>
    <row r="682" spans="13:15" x14ac:dyDescent="0.3">
      <c r="M682" t="s">
        <v>9317</v>
      </c>
      <c r="N682">
        <v>18.600000000000001</v>
      </c>
      <c r="O682">
        <v>6885700</v>
      </c>
    </row>
    <row r="683" spans="13:15" x14ac:dyDescent="0.3">
      <c r="M683" t="s">
        <v>9318</v>
      </c>
      <c r="N683">
        <v>18.829999999999998</v>
      </c>
      <c r="O683">
        <v>5739100</v>
      </c>
    </row>
    <row r="684" spans="13:15" x14ac:dyDescent="0.3">
      <c r="M684" t="s">
        <v>9319</v>
      </c>
      <c r="N684">
        <v>18.989999999999998</v>
      </c>
      <c r="O684">
        <v>7549400</v>
      </c>
    </row>
    <row r="685" spans="13:15" x14ac:dyDescent="0.3">
      <c r="M685" t="s">
        <v>9320</v>
      </c>
      <c r="N685">
        <v>18.71</v>
      </c>
      <c r="O685">
        <v>3604800</v>
      </c>
    </row>
    <row r="686" spans="13:15" x14ac:dyDescent="0.3">
      <c r="M686" t="s">
        <v>9321</v>
      </c>
      <c r="N686">
        <v>18.75</v>
      </c>
      <c r="O686">
        <v>6117900</v>
      </c>
    </row>
    <row r="687" spans="13:15" x14ac:dyDescent="0.3">
      <c r="M687" t="s">
        <v>9322</v>
      </c>
      <c r="N687">
        <v>18.600000000000001</v>
      </c>
      <c r="O687">
        <v>8251300</v>
      </c>
    </row>
    <row r="688" spans="13:15" x14ac:dyDescent="0.3">
      <c r="M688" t="s">
        <v>9323</v>
      </c>
      <c r="N688">
        <v>18.3</v>
      </c>
      <c r="O688">
        <v>6594300</v>
      </c>
    </row>
    <row r="689" spans="13:15" x14ac:dyDescent="0.3">
      <c r="M689" t="s">
        <v>9324</v>
      </c>
      <c r="N689">
        <v>18.38</v>
      </c>
      <c r="O689">
        <v>6409700</v>
      </c>
    </row>
    <row r="690" spans="13:15" x14ac:dyDescent="0.3">
      <c r="M690" t="s">
        <v>9325</v>
      </c>
      <c r="N690">
        <v>18.59</v>
      </c>
      <c r="O690">
        <v>5283800</v>
      </c>
    </row>
    <row r="691" spans="13:15" x14ac:dyDescent="0.3">
      <c r="M691" t="s">
        <v>9326</v>
      </c>
      <c r="N691">
        <v>18.63</v>
      </c>
      <c r="O691">
        <v>5696300</v>
      </c>
    </row>
    <row r="692" spans="13:15" x14ac:dyDescent="0.3">
      <c r="M692" t="s">
        <v>9327</v>
      </c>
      <c r="N692">
        <v>18.510000000000002</v>
      </c>
      <c r="O692">
        <v>7290500</v>
      </c>
    </row>
    <row r="693" spans="13:15" x14ac:dyDescent="0.3">
      <c r="M693" t="s">
        <v>9328</v>
      </c>
      <c r="N693">
        <v>18.420000000000002</v>
      </c>
      <c r="O693">
        <v>10476100</v>
      </c>
    </row>
    <row r="694" spans="13:15" x14ac:dyDescent="0.3">
      <c r="M694" t="s">
        <v>9329</v>
      </c>
      <c r="N694">
        <v>18.239999999999998</v>
      </c>
      <c r="O694">
        <v>8984900</v>
      </c>
    </row>
    <row r="695" spans="13:15" x14ac:dyDescent="0.3">
      <c r="M695" t="s">
        <v>9330</v>
      </c>
      <c r="N695">
        <v>18.309999999999999</v>
      </c>
      <c r="O695">
        <v>5823300</v>
      </c>
    </row>
    <row r="696" spans="13:15" x14ac:dyDescent="0.3">
      <c r="M696" t="s">
        <v>9331</v>
      </c>
      <c r="N696">
        <v>18.420000000000002</v>
      </c>
      <c r="O696">
        <v>7921000</v>
      </c>
    </row>
    <row r="697" spans="13:15" x14ac:dyDescent="0.3">
      <c r="M697" t="s">
        <v>9332</v>
      </c>
      <c r="N697">
        <v>18.27</v>
      </c>
      <c r="O697">
        <v>9891800</v>
      </c>
    </row>
    <row r="698" spans="13:15" x14ac:dyDescent="0.3">
      <c r="M698" t="s">
        <v>9333</v>
      </c>
      <c r="N698">
        <v>18.010000000000002</v>
      </c>
      <c r="O698">
        <v>11273100</v>
      </c>
    </row>
    <row r="699" spans="13:15" x14ac:dyDescent="0.3">
      <c r="M699" t="s">
        <v>9334</v>
      </c>
      <c r="N699">
        <v>17.940000000000001</v>
      </c>
      <c r="O699">
        <v>13410000</v>
      </c>
    </row>
    <row r="700" spans="13:15" x14ac:dyDescent="0.3">
      <c r="M700" t="s">
        <v>9335</v>
      </c>
      <c r="N700">
        <v>18.059999999999999</v>
      </c>
      <c r="O700">
        <v>21182400</v>
      </c>
    </row>
    <row r="701" spans="13:15" x14ac:dyDescent="0.3">
      <c r="M701" t="s">
        <v>9336</v>
      </c>
      <c r="N701">
        <v>17.34</v>
      </c>
      <c r="O701">
        <v>17927300</v>
      </c>
    </row>
    <row r="702" spans="13:15" x14ac:dyDescent="0.3">
      <c r="M702" t="s">
        <v>9337</v>
      </c>
      <c r="N702">
        <v>16.68</v>
      </c>
      <c r="O702">
        <v>13572600</v>
      </c>
    </row>
    <row r="703" spans="13:15" x14ac:dyDescent="0.3">
      <c r="M703" t="s">
        <v>9338</v>
      </c>
      <c r="N703">
        <v>16.82</v>
      </c>
      <c r="O703">
        <v>6106100</v>
      </c>
    </row>
    <row r="704" spans="13:15" x14ac:dyDescent="0.3">
      <c r="M704" t="s">
        <v>9339</v>
      </c>
      <c r="N704">
        <v>16.96</v>
      </c>
      <c r="O704">
        <v>7538600</v>
      </c>
    </row>
    <row r="705" spans="13:15" x14ac:dyDescent="0.3">
      <c r="M705" t="s">
        <v>9340</v>
      </c>
      <c r="N705">
        <v>16.68</v>
      </c>
      <c r="O705">
        <v>10479200</v>
      </c>
    </row>
    <row r="706" spans="13:15" x14ac:dyDescent="0.3">
      <c r="M706" t="s">
        <v>9341</v>
      </c>
      <c r="N706">
        <v>16.649999999999999</v>
      </c>
      <c r="O706">
        <v>6707600</v>
      </c>
    </row>
    <row r="707" spans="13:15" x14ac:dyDescent="0.3">
      <c r="M707" t="s">
        <v>9342</v>
      </c>
      <c r="N707">
        <v>16.62</v>
      </c>
      <c r="O707">
        <v>12408800</v>
      </c>
    </row>
    <row r="708" spans="13:15" x14ac:dyDescent="0.3">
      <c r="M708" t="s">
        <v>9343</v>
      </c>
      <c r="N708">
        <v>16.66</v>
      </c>
      <c r="O708">
        <v>8963600</v>
      </c>
    </row>
    <row r="709" spans="13:15" x14ac:dyDescent="0.3">
      <c r="M709" t="s">
        <v>9344</v>
      </c>
      <c r="N709">
        <v>16.940000000000001</v>
      </c>
      <c r="O709">
        <v>2864800</v>
      </c>
    </row>
    <row r="710" spans="13:15" x14ac:dyDescent="0.3">
      <c r="M710" t="s">
        <v>9345</v>
      </c>
      <c r="N710">
        <v>17.100000000000001</v>
      </c>
      <c r="O710">
        <v>3308700</v>
      </c>
    </row>
    <row r="711" spans="13:15" x14ac:dyDescent="0.3">
      <c r="M711" t="s">
        <v>9346</v>
      </c>
      <c r="N711">
        <v>17.14</v>
      </c>
      <c r="O711">
        <v>4338000</v>
      </c>
    </row>
    <row r="712" spans="13:15" x14ac:dyDescent="0.3">
      <c r="M712" t="s">
        <v>9347</v>
      </c>
      <c r="N712">
        <v>17</v>
      </c>
      <c r="O712">
        <v>3866200</v>
      </c>
    </row>
    <row r="713" spans="13:15" x14ac:dyDescent="0.3">
      <c r="M713" t="s">
        <v>9348</v>
      </c>
      <c r="N713">
        <v>17.29</v>
      </c>
      <c r="O713">
        <v>7018100</v>
      </c>
    </row>
    <row r="714" spans="13:15" x14ac:dyDescent="0.3">
      <c r="M714" t="s">
        <v>9349</v>
      </c>
      <c r="N714">
        <v>16.96</v>
      </c>
      <c r="O714">
        <v>7763900</v>
      </c>
    </row>
    <row r="715" spans="13:15" x14ac:dyDescent="0.3">
      <c r="M715" t="s">
        <v>9350</v>
      </c>
      <c r="N715">
        <v>16.97</v>
      </c>
      <c r="O715">
        <v>6181000</v>
      </c>
    </row>
    <row r="716" spans="13:15" x14ac:dyDescent="0.3">
      <c r="M716" t="s">
        <v>9351</v>
      </c>
      <c r="N716">
        <v>17.309999999999999</v>
      </c>
      <c r="O716">
        <v>5257800</v>
      </c>
    </row>
    <row r="717" spans="13:15" x14ac:dyDescent="0.3">
      <c r="M717" t="s">
        <v>9352</v>
      </c>
      <c r="N717">
        <v>17.32</v>
      </c>
      <c r="O717">
        <v>4898200</v>
      </c>
    </row>
    <row r="718" spans="13:15" x14ac:dyDescent="0.3">
      <c r="M718" t="s">
        <v>9353</v>
      </c>
      <c r="N718">
        <v>17.2</v>
      </c>
      <c r="O718">
        <v>8262300</v>
      </c>
    </row>
    <row r="719" spans="13:15" x14ac:dyDescent="0.3">
      <c r="M719" t="s">
        <v>9354</v>
      </c>
      <c r="N719">
        <v>16.93</v>
      </c>
      <c r="O719">
        <v>14029200</v>
      </c>
    </row>
    <row r="720" spans="13:15" x14ac:dyDescent="0.3">
      <c r="M720" t="s">
        <v>9355</v>
      </c>
      <c r="N720">
        <v>16.100000000000001</v>
      </c>
      <c r="O720">
        <v>9025600</v>
      </c>
    </row>
    <row r="721" spans="13:15" x14ac:dyDescent="0.3">
      <c r="M721" t="s">
        <v>9356</v>
      </c>
      <c r="N721">
        <v>16.170000000000002</v>
      </c>
      <c r="O721">
        <v>5521000</v>
      </c>
    </row>
    <row r="722" spans="13:15" x14ac:dyDescent="0.3">
      <c r="M722" t="s">
        <v>9357</v>
      </c>
      <c r="N722">
        <v>16.04</v>
      </c>
      <c r="O722">
        <v>8516800</v>
      </c>
    </row>
    <row r="723" spans="13:15" x14ac:dyDescent="0.3">
      <c r="M723" t="s">
        <v>9358</v>
      </c>
      <c r="N723">
        <v>16.489999999999998</v>
      </c>
      <c r="O723">
        <v>4581100</v>
      </c>
    </row>
    <row r="724" spans="13:15" x14ac:dyDescent="0.3">
      <c r="M724" t="s">
        <v>9359</v>
      </c>
      <c r="N724">
        <v>16.25</v>
      </c>
      <c r="O724">
        <v>3340000</v>
      </c>
    </row>
    <row r="725" spans="13:15" x14ac:dyDescent="0.3">
      <c r="M725" t="s">
        <v>9360</v>
      </c>
      <c r="N725">
        <v>16.3</v>
      </c>
      <c r="O725">
        <v>6891300</v>
      </c>
    </row>
    <row r="726" spans="13:15" x14ac:dyDescent="0.3">
      <c r="M726" t="s">
        <v>9361</v>
      </c>
      <c r="N726">
        <v>16.09</v>
      </c>
      <c r="O726">
        <v>5016100</v>
      </c>
    </row>
    <row r="727" spans="13:15" x14ac:dyDescent="0.3">
      <c r="M727" t="s">
        <v>9362</v>
      </c>
      <c r="N727">
        <v>16.3</v>
      </c>
      <c r="O727">
        <v>5588600</v>
      </c>
    </row>
    <row r="728" spans="13:15" x14ac:dyDescent="0.3">
      <c r="M728" t="s">
        <v>9363</v>
      </c>
      <c r="N728">
        <v>16.34</v>
      </c>
      <c r="O728">
        <v>4766000</v>
      </c>
    </row>
    <row r="729" spans="13:15" x14ac:dyDescent="0.3">
      <c r="M729" t="s">
        <v>9364</v>
      </c>
      <c r="N729">
        <v>16.170000000000002</v>
      </c>
      <c r="O729">
        <v>5541400</v>
      </c>
    </row>
    <row r="730" spans="13:15" x14ac:dyDescent="0.3">
      <c r="M730" t="s">
        <v>9365</v>
      </c>
      <c r="N730">
        <v>16.239999999999998</v>
      </c>
      <c r="O730">
        <v>6039100</v>
      </c>
    </row>
    <row r="731" spans="13:15" x14ac:dyDescent="0.3">
      <c r="M731" t="s">
        <v>9366</v>
      </c>
      <c r="N731">
        <v>16.25</v>
      </c>
      <c r="O731">
        <v>6783900</v>
      </c>
    </row>
    <row r="732" spans="13:15" x14ac:dyDescent="0.3">
      <c r="M732" t="s">
        <v>9367</v>
      </c>
      <c r="N732">
        <v>16.010000000000002</v>
      </c>
      <c r="O732">
        <v>3757400</v>
      </c>
    </row>
    <row r="733" spans="13:15" x14ac:dyDescent="0.3">
      <c r="M733" t="s">
        <v>9368</v>
      </c>
      <c r="N733">
        <v>16.100000000000001</v>
      </c>
      <c r="O733">
        <v>2743400</v>
      </c>
    </row>
    <row r="734" spans="13:15" x14ac:dyDescent="0.3">
      <c r="M734" t="s">
        <v>9369</v>
      </c>
      <c r="N734">
        <v>16.2</v>
      </c>
      <c r="O734">
        <v>5435700</v>
      </c>
    </row>
    <row r="735" spans="13:15" x14ac:dyDescent="0.3">
      <c r="M735" t="s">
        <v>9370</v>
      </c>
      <c r="N735">
        <v>16.07</v>
      </c>
      <c r="O735">
        <v>4702200</v>
      </c>
    </row>
    <row r="736" spans="13:15" x14ac:dyDescent="0.3">
      <c r="M736" t="s">
        <v>9371</v>
      </c>
      <c r="N736">
        <v>16.16</v>
      </c>
      <c r="O736">
        <v>5052400</v>
      </c>
    </row>
    <row r="737" spans="13:15" x14ac:dyDescent="0.3">
      <c r="M737" t="s">
        <v>9372</v>
      </c>
      <c r="N737">
        <v>16.13</v>
      </c>
      <c r="O737">
        <v>4249400</v>
      </c>
    </row>
    <row r="738" spans="13:15" x14ac:dyDescent="0.3">
      <c r="M738" t="s">
        <v>9373</v>
      </c>
      <c r="N738">
        <v>15.91</v>
      </c>
      <c r="O738">
        <v>5859600</v>
      </c>
    </row>
    <row r="739" spans="13:15" x14ac:dyDescent="0.3">
      <c r="M739" t="s">
        <v>9374</v>
      </c>
      <c r="N739">
        <v>16</v>
      </c>
      <c r="O739">
        <v>10004100</v>
      </c>
    </row>
    <row r="740" spans="13:15" x14ac:dyDescent="0.3">
      <c r="M740" t="s">
        <v>9375</v>
      </c>
      <c r="N740">
        <v>15.59</v>
      </c>
      <c r="O740">
        <v>6902000</v>
      </c>
    </row>
    <row r="741" spans="13:15" x14ac:dyDescent="0.3">
      <c r="M741" t="s">
        <v>9376</v>
      </c>
      <c r="N741">
        <v>15.25</v>
      </c>
      <c r="O741">
        <v>4579800</v>
      </c>
    </row>
    <row r="742" spans="13:15" x14ac:dyDescent="0.3">
      <c r="M742" t="s">
        <v>9377</v>
      </c>
      <c r="N742">
        <v>15.32</v>
      </c>
      <c r="O742">
        <v>5099500</v>
      </c>
    </row>
    <row r="743" spans="13:15" x14ac:dyDescent="0.3">
      <c r="M743" t="s">
        <v>9378</v>
      </c>
      <c r="N743">
        <v>15.08</v>
      </c>
      <c r="O743">
        <v>7329500</v>
      </c>
    </row>
    <row r="744" spans="13:15" x14ac:dyDescent="0.3">
      <c r="M744" t="s">
        <v>9379</v>
      </c>
      <c r="N744">
        <v>15.36</v>
      </c>
      <c r="O744">
        <v>3314000</v>
      </c>
    </row>
    <row r="745" spans="13:15" x14ac:dyDescent="0.3">
      <c r="M745" t="s">
        <v>9380</v>
      </c>
      <c r="N745">
        <v>15.47</v>
      </c>
      <c r="O745">
        <v>2875500</v>
      </c>
    </row>
    <row r="746" spans="13:15" x14ac:dyDescent="0.3">
      <c r="M746" t="s">
        <v>9381</v>
      </c>
      <c r="N746">
        <v>15.54</v>
      </c>
      <c r="O746">
        <v>3979000</v>
      </c>
    </row>
    <row r="747" spans="13:15" x14ac:dyDescent="0.3">
      <c r="M747" t="s">
        <v>9382</v>
      </c>
      <c r="N747">
        <v>15.37</v>
      </c>
      <c r="O747">
        <v>8674200</v>
      </c>
    </row>
    <row r="748" spans="13:15" x14ac:dyDescent="0.3">
      <c r="M748" t="s">
        <v>9383</v>
      </c>
      <c r="N748">
        <v>15.38</v>
      </c>
      <c r="O748">
        <v>9262500</v>
      </c>
    </row>
    <row r="749" spans="13:15" x14ac:dyDescent="0.3">
      <c r="M749" t="s">
        <v>9384</v>
      </c>
      <c r="N749">
        <v>15.11</v>
      </c>
      <c r="O749">
        <v>5943300</v>
      </c>
    </row>
    <row r="750" spans="13:15" x14ac:dyDescent="0.3">
      <c r="M750" t="s">
        <v>9385</v>
      </c>
      <c r="N750">
        <v>15.13</v>
      </c>
      <c r="O750">
        <v>4663500</v>
      </c>
    </row>
    <row r="751" spans="13:15" x14ac:dyDescent="0.3">
      <c r="M751" t="s">
        <v>9386</v>
      </c>
      <c r="N751">
        <v>15.2</v>
      </c>
      <c r="O751">
        <v>5559700</v>
      </c>
    </row>
    <row r="752" spans="13:15" x14ac:dyDescent="0.3">
      <c r="M752" t="s">
        <v>9387</v>
      </c>
      <c r="N752">
        <v>15.15</v>
      </c>
      <c r="O752">
        <v>5591700</v>
      </c>
    </row>
    <row r="753" spans="13:15" x14ac:dyDescent="0.3">
      <c r="M753" t="s">
        <v>9388</v>
      </c>
      <c r="N753">
        <v>15.04</v>
      </c>
      <c r="O753">
        <v>6991300</v>
      </c>
    </row>
    <row r="754" spans="13:15" x14ac:dyDescent="0.3">
      <c r="M754" t="s">
        <v>9389</v>
      </c>
      <c r="N754">
        <v>15.09</v>
      </c>
      <c r="O754">
        <v>4727100</v>
      </c>
    </row>
    <row r="755" spans="13:15" x14ac:dyDescent="0.3">
      <c r="M755" t="s">
        <v>9390</v>
      </c>
      <c r="N755">
        <v>15.46</v>
      </c>
      <c r="O755">
        <v>5602500</v>
      </c>
    </row>
    <row r="756" spans="13:15" x14ac:dyDescent="0.3">
      <c r="M756" t="s">
        <v>9391</v>
      </c>
      <c r="N756">
        <v>15.26</v>
      </c>
      <c r="O756">
        <v>8505800</v>
      </c>
    </row>
    <row r="757" spans="13:15" x14ac:dyDescent="0.3">
      <c r="M757" t="s">
        <v>9392</v>
      </c>
      <c r="N757">
        <v>15.44</v>
      </c>
      <c r="O757">
        <v>5910200</v>
      </c>
    </row>
    <row r="758" spans="13:15" x14ac:dyDescent="0.3">
      <c r="M758" t="s">
        <v>9393</v>
      </c>
      <c r="N758">
        <v>15.55</v>
      </c>
      <c r="O758">
        <v>4830900</v>
      </c>
    </row>
    <row r="759" spans="13:15" x14ac:dyDescent="0.3">
      <c r="M759" t="s">
        <v>9394</v>
      </c>
      <c r="N759">
        <v>15.59</v>
      </c>
      <c r="O759">
        <v>6115500</v>
      </c>
    </row>
    <row r="760" spans="13:15" x14ac:dyDescent="0.3">
      <c r="M760" t="s">
        <v>9395</v>
      </c>
      <c r="N760">
        <v>15.78</v>
      </c>
      <c r="O760">
        <v>7210500</v>
      </c>
    </row>
    <row r="761" spans="13:15" x14ac:dyDescent="0.3">
      <c r="M761" t="s">
        <v>9396</v>
      </c>
      <c r="N761">
        <v>15.65</v>
      </c>
      <c r="O761">
        <v>7474100</v>
      </c>
    </row>
    <row r="762" spans="13:15" x14ac:dyDescent="0.3">
      <c r="M762" t="s">
        <v>9397</v>
      </c>
      <c r="N762">
        <v>15.37</v>
      </c>
      <c r="O762">
        <v>13208800</v>
      </c>
    </row>
    <row r="763" spans="13:15" x14ac:dyDescent="0.3">
      <c r="M763" t="s">
        <v>9398</v>
      </c>
      <c r="N763">
        <v>14.97</v>
      </c>
      <c r="O763">
        <v>26816400</v>
      </c>
    </row>
    <row r="764" spans="13:15" x14ac:dyDescent="0.3">
      <c r="M764" t="s">
        <v>9399</v>
      </c>
      <c r="N764">
        <v>16.02</v>
      </c>
      <c r="O764">
        <v>15897100</v>
      </c>
    </row>
    <row r="765" spans="13:15" x14ac:dyDescent="0.3">
      <c r="M765" t="s">
        <v>9400</v>
      </c>
      <c r="N765">
        <v>16.239999999999998</v>
      </c>
      <c r="O765">
        <v>11060900</v>
      </c>
    </row>
    <row r="766" spans="13:15" x14ac:dyDescent="0.3">
      <c r="M766" t="s">
        <v>9401</v>
      </c>
      <c r="N766">
        <v>16.149999999999999</v>
      </c>
      <c r="O766">
        <v>8642700</v>
      </c>
    </row>
    <row r="767" spans="13:15" x14ac:dyDescent="0.3">
      <c r="M767" t="s">
        <v>9402</v>
      </c>
      <c r="N767">
        <v>16.18</v>
      </c>
      <c r="O767">
        <v>5476600</v>
      </c>
    </row>
    <row r="768" spans="13:15" x14ac:dyDescent="0.3">
      <c r="M768" t="s">
        <v>9403</v>
      </c>
      <c r="N768">
        <v>16.02</v>
      </c>
      <c r="O768">
        <v>5069500</v>
      </c>
    </row>
    <row r="769" spans="13:15" x14ac:dyDescent="0.3">
      <c r="M769" t="s">
        <v>9404</v>
      </c>
      <c r="N769">
        <v>15.86</v>
      </c>
      <c r="O769">
        <v>7318800</v>
      </c>
    </row>
    <row r="770" spans="13:15" x14ac:dyDescent="0.3">
      <c r="M770" t="s">
        <v>9405</v>
      </c>
      <c r="N770">
        <v>15.46</v>
      </c>
      <c r="O770">
        <v>6775000</v>
      </c>
    </row>
    <row r="771" spans="13:15" x14ac:dyDescent="0.3">
      <c r="M771" t="s">
        <v>9406</v>
      </c>
      <c r="N771">
        <v>15.63</v>
      </c>
      <c r="O771">
        <v>4529900</v>
      </c>
    </row>
    <row r="772" spans="13:15" x14ac:dyDescent="0.3">
      <c r="M772" t="s">
        <v>9407</v>
      </c>
      <c r="N772">
        <v>15.56</v>
      </c>
      <c r="O772">
        <v>9559900</v>
      </c>
    </row>
    <row r="773" spans="13:15" x14ac:dyDescent="0.3">
      <c r="M773" t="s">
        <v>9408</v>
      </c>
      <c r="N773">
        <v>15.43</v>
      </c>
      <c r="O773">
        <v>18047500</v>
      </c>
    </row>
    <row r="774" spans="13:15" x14ac:dyDescent="0.3">
      <c r="M774" t="s">
        <v>9409</v>
      </c>
      <c r="N774">
        <v>15.86</v>
      </c>
      <c r="O774">
        <v>10292100</v>
      </c>
    </row>
    <row r="775" spans="13:15" x14ac:dyDescent="0.3">
      <c r="M775" t="s">
        <v>9410</v>
      </c>
      <c r="N775">
        <v>15.71</v>
      </c>
      <c r="O775">
        <v>5946500</v>
      </c>
    </row>
    <row r="776" spans="13:15" x14ac:dyDescent="0.3">
      <c r="M776" t="s">
        <v>9411</v>
      </c>
      <c r="N776">
        <v>16.02</v>
      </c>
      <c r="O776">
        <v>4992900</v>
      </c>
    </row>
    <row r="777" spans="13:15" x14ac:dyDescent="0.3">
      <c r="M777" t="s">
        <v>9412</v>
      </c>
      <c r="N777">
        <v>16.170000000000002</v>
      </c>
      <c r="O777">
        <v>5319300</v>
      </c>
    </row>
    <row r="778" spans="13:15" x14ac:dyDescent="0.3">
      <c r="M778" t="s">
        <v>9413</v>
      </c>
      <c r="N778">
        <v>16.14</v>
      </c>
      <c r="O778">
        <v>5630200</v>
      </c>
    </row>
    <row r="779" spans="13:15" x14ac:dyDescent="0.3">
      <c r="M779" t="s">
        <v>9414</v>
      </c>
      <c r="N779">
        <v>16.27</v>
      </c>
      <c r="O779">
        <v>4888100</v>
      </c>
    </row>
    <row r="780" spans="13:15" x14ac:dyDescent="0.3">
      <c r="M780" t="s">
        <v>9415</v>
      </c>
      <c r="N780">
        <v>16.18</v>
      </c>
      <c r="O780">
        <v>3171400</v>
      </c>
    </row>
    <row r="781" spans="13:15" x14ac:dyDescent="0.3">
      <c r="M781" t="s">
        <v>9416</v>
      </c>
      <c r="N781">
        <v>16.149999999999999</v>
      </c>
      <c r="O781">
        <v>3944300</v>
      </c>
    </row>
    <row r="782" spans="13:15" x14ac:dyDescent="0.3">
      <c r="M782" t="s">
        <v>9417</v>
      </c>
      <c r="N782">
        <v>16.149999999999999</v>
      </c>
      <c r="O782">
        <v>16969900</v>
      </c>
    </row>
    <row r="783" spans="13:15" x14ac:dyDescent="0.3">
      <c r="M783" t="s">
        <v>9418</v>
      </c>
      <c r="N783">
        <v>16.47</v>
      </c>
      <c r="O783">
        <v>2914100</v>
      </c>
    </row>
    <row r="784" spans="13:15" x14ac:dyDescent="0.3">
      <c r="M784" t="s">
        <v>9419</v>
      </c>
      <c r="N784">
        <v>16.37</v>
      </c>
      <c r="O784">
        <v>4102400</v>
      </c>
    </row>
    <row r="785" spans="13:15" x14ac:dyDescent="0.3">
      <c r="M785" t="s">
        <v>9420</v>
      </c>
      <c r="N785">
        <v>16.43</v>
      </c>
      <c r="O785">
        <v>6680000</v>
      </c>
    </row>
    <row r="786" spans="13:15" x14ac:dyDescent="0.3">
      <c r="M786" t="s">
        <v>9421</v>
      </c>
      <c r="N786">
        <v>16.329999999999998</v>
      </c>
      <c r="O786">
        <v>5196600</v>
      </c>
    </row>
    <row r="787" spans="13:15" x14ac:dyDescent="0.3">
      <c r="M787" t="s">
        <v>9422</v>
      </c>
      <c r="N787">
        <v>16.149999999999999</v>
      </c>
      <c r="O787">
        <v>5796800</v>
      </c>
    </row>
    <row r="788" spans="13:15" x14ac:dyDescent="0.3">
      <c r="M788" t="s">
        <v>9423</v>
      </c>
      <c r="N788">
        <v>15.94</v>
      </c>
      <c r="O788">
        <v>5920700</v>
      </c>
    </row>
    <row r="789" spans="13:15" x14ac:dyDescent="0.3">
      <c r="M789" t="s">
        <v>9424</v>
      </c>
      <c r="N789">
        <v>15.99</v>
      </c>
      <c r="O789">
        <v>5049300</v>
      </c>
    </row>
    <row r="790" spans="13:15" x14ac:dyDescent="0.3">
      <c r="M790" t="s">
        <v>9425</v>
      </c>
      <c r="N790">
        <v>16.16</v>
      </c>
      <c r="O790">
        <v>5746400</v>
      </c>
    </row>
    <row r="791" spans="13:15" x14ac:dyDescent="0.3">
      <c r="M791" t="s">
        <v>9426</v>
      </c>
      <c r="N791">
        <v>15.94</v>
      </c>
      <c r="O791">
        <v>5315100</v>
      </c>
    </row>
    <row r="792" spans="13:15" x14ac:dyDescent="0.3">
      <c r="M792" t="s">
        <v>9427</v>
      </c>
      <c r="N792">
        <v>15.8</v>
      </c>
      <c r="O792">
        <v>6511500</v>
      </c>
    </row>
    <row r="793" spans="13:15" x14ac:dyDescent="0.3">
      <c r="M793" t="s">
        <v>9428</v>
      </c>
      <c r="N793">
        <v>15.96</v>
      </c>
      <c r="O793">
        <v>4613400</v>
      </c>
    </row>
    <row r="794" spans="13:15" x14ac:dyDescent="0.3">
      <c r="M794" t="s">
        <v>9429</v>
      </c>
      <c r="N794">
        <v>15.85</v>
      </c>
      <c r="O794">
        <v>7928100</v>
      </c>
    </row>
    <row r="795" spans="13:15" x14ac:dyDescent="0.3">
      <c r="M795" t="s">
        <v>9430</v>
      </c>
      <c r="N795">
        <v>15.76</v>
      </c>
      <c r="O795">
        <v>5356600</v>
      </c>
    </row>
    <row r="796" spans="13:15" x14ac:dyDescent="0.3">
      <c r="M796" t="s">
        <v>9431</v>
      </c>
      <c r="N796">
        <v>15.69</v>
      </c>
      <c r="O796">
        <v>4662000</v>
      </c>
    </row>
    <row r="797" spans="13:15" x14ac:dyDescent="0.3">
      <c r="M797" t="s">
        <v>9432</v>
      </c>
      <c r="N797">
        <v>15.58</v>
      </c>
      <c r="O797">
        <v>4708800</v>
      </c>
    </row>
    <row r="798" spans="13:15" x14ac:dyDescent="0.3">
      <c r="M798" t="s">
        <v>9433</v>
      </c>
      <c r="N798">
        <v>15.71</v>
      </c>
      <c r="O798">
        <v>6097000</v>
      </c>
    </row>
    <row r="799" spans="13:15" x14ac:dyDescent="0.3">
      <c r="M799" t="s">
        <v>9434</v>
      </c>
      <c r="N799">
        <v>15.45</v>
      </c>
      <c r="O799">
        <v>4037600</v>
      </c>
    </row>
    <row r="800" spans="13:15" x14ac:dyDescent="0.3">
      <c r="M800" t="s">
        <v>9435</v>
      </c>
      <c r="N800">
        <v>15.35</v>
      </c>
      <c r="O800">
        <v>6993300</v>
      </c>
    </row>
    <row r="801" spans="13:15" x14ac:dyDescent="0.3">
      <c r="M801" t="s">
        <v>9436</v>
      </c>
      <c r="N801">
        <v>15.21</v>
      </c>
      <c r="O801">
        <v>5445600</v>
      </c>
    </row>
    <row r="802" spans="13:15" x14ac:dyDescent="0.3">
      <c r="M802" t="s">
        <v>9437</v>
      </c>
      <c r="N802">
        <v>15.44</v>
      </c>
      <c r="O802">
        <v>6166600</v>
      </c>
    </row>
    <row r="803" spans="13:15" x14ac:dyDescent="0.3">
      <c r="M803" t="s">
        <v>9438</v>
      </c>
      <c r="N803">
        <v>15.58</v>
      </c>
      <c r="O803">
        <v>8748900</v>
      </c>
    </row>
    <row r="804" spans="13:15" x14ac:dyDescent="0.3">
      <c r="M804" t="s">
        <v>9439</v>
      </c>
      <c r="N804">
        <v>15.58</v>
      </c>
      <c r="O804">
        <v>13343900</v>
      </c>
    </row>
    <row r="805" spans="13:15" x14ac:dyDescent="0.3">
      <c r="M805" t="s">
        <v>9440</v>
      </c>
      <c r="N805">
        <v>15.34</v>
      </c>
      <c r="O805">
        <v>5407200</v>
      </c>
    </row>
    <row r="806" spans="13:15" x14ac:dyDescent="0.3">
      <c r="M806" t="s">
        <v>9441</v>
      </c>
      <c r="N806">
        <v>15.17</v>
      </c>
      <c r="O806">
        <v>6831100</v>
      </c>
    </row>
    <row r="807" spans="13:15" x14ac:dyDescent="0.3">
      <c r="M807" t="s">
        <v>9442</v>
      </c>
      <c r="N807">
        <v>15.35</v>
      </c>
      <c r="O807">
        <v>9033300</v>
      </c>
    </row>
    <row r="808" spans="13:15" x14ac:dyDescent="0.3">
      <c r="M808" t="s">
        <v>9443</v>
      </c>
      <c r="N808">
        <v>15.2</v>
      </c>
      <c r="O808">
        <v>7998100</v>
      </c>
    </row>
    <row r="809" spans="13:15" x14ac:dyDescent="0.3">
      <c r="M809" t="s">
        <v>9444</v>
      </c>
      <c r="N809">
        <v>15.25</v>
      </c>
      <c r="O809">
        <v>6330600</v>
      </c>
    </row>
    <row r="810" spans="13:15" x14ac:dyDescent="0.3">
      <c r="M810" t="s">
        <v>9445</v>
      </c>
      <c r="N810">
        <v>15.26</v>
      </c>
      <c r="O810">
        <v>5533700</v>
      </c>
    </row>
    <row r="811" spans="13:15" x14ac:dyDescent="0.3">
      <c r="M811" t="s">
        <v>9446</v>
      </c>
      <c r="N811">
        <v>15.2</v>
      </c>
      <c r="O811">
        <v>7013000</v>
      </c>
    </row>
    <row r="812" spans="13:15" x14ac:dyDescent="0.3">
      <c r="M812" t="s">
        <v>9447</v>
      </c>
      <c r="N812">
        <v>15.02</v>
      </c>
      <c r="O812">
        <v>10134400</v>
      </c>
    </row>
    <row r="813" spans="13:15" x14ac:dyDescent="0.3">
      <c r="M813" t="s">
        <v>9448</v>
      </c>
      <c r="N813">
        <v>15.03</v>
      </c>
      <c r="O813">
        <v>11896400</v>
      </c>
    </row>
    <row r="814" spans="13:15" x14ac:dyDescent="0.3">
      <c r="M814" t="s">
        <v>9449</v>
      </c>
      <c r="N814">
        <v>15.28</v>
      </c>
      <c r="O814">
        <v>7462200</v>
      </c>
    </row>
    <row r="815" spans="13:15" x14ac:dyDescent="0.3">
      <c r="M815" t="s">
        <v>9450</v>
      </c>
      <c r="N815">
        <v>15.15</v>
      </c>
      <c r="O815">
        <v>6604000</v>
      </c>
    </row>
    <row r="816" spans="13:15" x14ac:dyDescent="0.3">
      <c r="M816" t="s">
        <v>9451</v>
      </c>
      <c r="N816">
        <v>14.97</v>
      </c>
      <c r="O816">
        <v>9072200</v>
      </c>
    </row>
    <row r="817" spans="13:15" x14ac:dyDescent="0.3">
      <c r="M817" t="s">
        <v>9452</v>
      </c>
      <c r="N817">
        <v>15.13</v>
      </c>
      <c r="O817">
        <v>11839800</v>
      </c>
    </row>
    <row r="818" spans="13:15" x14ac:dyDescent="0.3">
      <c r="M818" t="s">
        <v>9453</v>
      </c>
      <c r="N818">
        <v>15.12</v>
      </c>
      <c r="O818">
        <v>10006100</v>
      </c>
    </row>
    <row r="819" spans="13:15" x14ac:dyDescent="0.3">
      <c r="M819" t="s">
        <v>9454</v>
      </c>
      <c r="N819">
        <v>14.9</v>
      </c>
      <c r="O819">
        <v>7717900</v>
      </c>
    </row>
    <row r="820" spans="13:15" x14ac:dyDescent="0.3">
      <c r="M820" t="s">
        <v>9455</v>
      </c>
      <c r="N820">
        <v>14.75</v>
      </c>
      <c r="O820">
        <v>10331400</v>
      </c>
    </row>
    <row r="821" spans="13:15" x14ac:dyDescent="0.3">
      <c r="M821" t="s">
        <v>9456</v>
      </c>
      <c r="N821">
        <v>14.83</v>
      </c>
      <c r="O821">
        <v>15268200</v>
      </c>
    </row>
    <row r="822" spans="13:15" x14ac:dyDescent="0.3">
      <c r="M822" t="s">
        <v>9457</v>
      </c>
      <c r="N822">
        <v>14.75</v>
      </c>
      <c r="O822">
        <v>39518000</v>
      </c>
    </row>
    <row r="823" spans="13:15" x14ac:dyDescent="0.3">
      <c r="M823" t="s">
        <v>9458</v>
      </c>
      <c r="N823">
        <v>16.11</v>
      </c>
      <c r="O823">
        <v>21117700</v>
      </c>
    </row>
    <row r="824" spans="13:15" x14ac:dyDescent="0.3">
      <c r="M824" t="s">
        <v>9459</v>
      </c>
      <c r="N824">
        <v>16.260000000000002</v>
      </c>
      <c r="O824">
        <v>25345300</v>
      </c>
    </row>
    <row r="825" spans="13:15" x14ac:dyDescent="0.3">
      <c r="M825" t="s">
        <v>9460</v>
      </c>
      <c r="N825">
        <v>15.73</v>
      </c>
      <c r="O825">
        <v>12658400</v>
      </c>
    </row>
    <row r="826" spans="13:15" x14ac:dyDescent="0.3">
      <c r="M826" t="s">
        <v>9461</v>
      </c>
      <c r="N826">
        <v>15.5</v>
      </c>
      <c r="O826">
        <v>11539700</v>
      </c>
    </row>
    <row r="827" spans="13:15" x14ac:dyDescent="0.3">
      <c r="M827" t="s">
        <v>9462</v>
      </c>
      <c r="N827">
        <v>15.27</v>
      </c>
      <c r="O827">
        <v>13295300</v>
      </c>
    </row>
    <row r="828" spans="13:15" x14ac:dyDescent="0.3">
      <c r="M828" t="s">
        <v>9463</v>
      </c>
      <c r="N828">
        <v>14.62</v>
      </c>
      <c r="O828">
        <v>7102600</v>
      </c>
    </row>
    <row r="829" spans="13:15" x14ac:dyDescent="0.3">
      <c r="M829" t="s">
        <v>9464</v>
      </c>
      <c r="N829">
        <v>14.77</v>
      </c>
      <c r="O829">
        <v>7631500</v>
      </c>
    </row>
    <row r="830" spans="13:15" x14ac:dyDescent="0.3">
      <c r="M830" t="s">
        <v>9465</v>
      </c>
      <c r="N830">
        <v>14.56</v>
      </c>
      <c r="O830">
        <v>6775000</v>
      </c>
    </row>
    <row r="831" spans="13:15" x14ac:dyDescent="0.3">
      <c r="M831" t="s">
        <v>9466</v>
      </c>
      <c r="N831">
        <v>14.6</v>
      </c>
      <c r="O831">
        <v>5208600</v>
      </c>
    </row>
    <row r="832" spans="13:15" x14ac:dyDescent="0.3">
      <c r="M832" t="s">
        <v>9467</v>
      </c>
      <c r="N832">
        <v>14.62</v>
      </c>
      <c r="O832">
        <v>6464100</v>
      </c>
    </row>
    <row r="833" spans="13:15" x14ac:dyDescent="0.3">
      <c r="M833" t="s">
        <v>9468</v>
      </c>
      <c r="N833">
        <v>14.79</v>
      </c>
      <c r="O833">
        <v>13415500</v>
      </c>
    </row>
    <row r="834" spans="13:15" x14ac:dyDescent="0.3">
      <c r="M834" t="s">
        <v>9469</v>
      </c>
      <c r="N834">
        <v>14.68</v>
      </c>
      <c r="O834">
        <v>7111800</v>
      </c>
    </row>
    <row r="835" spans="13:15" x14ac:dyDescent="0.3">
      <c r="M835" t="s">
        <v>9470</v>
      </c>
      <c r="N835">
        <v>14.62</v>
      </c>
      <c r="O835">
        <v>12763900</v>
      </c>
    </row>
    <row r="836" spans="13:15" x14ac:dyDescent="0.3">
      <c r="M836" t="s">
        <v>9471</v>
      </c>
      <c r="N836">
        <v>14.46</v>
      </c>
      <c r="O836">
        <v>7992900</v>
      </c>
    </row>
    <row r="837" spans="13:15" x14ac:dyDescent="0.3">
      <c r="M837" t="s">
        <v>9472</v>
      </c>
      <c r="N837">
        <v>14.33</v>
      </c>
      <c r="O837">
        <v>7520300</v>
      </c>
    </row>
    <row r="838" spans="13:15" x14ac:dyDescent="0.3">
      <c r="M838" t="s">
        <v>9473</v>
      </c>
      <c r="N838">
        <v>14.21</v>
      </c>
      <c r="O838">
        <v>7913600</v>
      </c>
    </row>
    <row r="839" spans="13:15" x14ac:dyDescent="0.3">
      <c r="M839" t="s">
        <v>9474</v>
      </c>
      <c r="N839">
        <v>14.1</v>
      </c>
      <c r="O839">
        <v>8509100</v>
      </c>
    </row>
    <row r="840" spans="13:15" x14ac:dyDescent="0.3">
      <c r="M840" t="s">
        <v>9475</v>
      </c>
      <c r="N840">
        <v>13.83</v>
      </c>
      <c r="O840">
        <v>8482700</v>
      </c>
    </row>
    <row r="841" spans="13:15" x14ac:dyDescent="0.3">
      <c r="M841" t="s">
        <v>9476</v>
      </c>
      <c r="N841">
        <v>14.07</v>
      </c>
      <c r="O841">
        <v>11712900</v>
      </c>
    </row>
    <row r="842" spans="13:15" x14ac:dyDescent="0.3">
      <c r="M842" t="s">
        <v>9477</v>
      </c>
      <c r="N842">
        <v>14</v>
      </c>
      <c r="O842">
        <v>15032000</v>
      </c>
    </row>
    <row r="843" spans="13:15" x14ac:dyDescent="0.3">
      <c r="M843" t="s">
        <v>9478</v>
      </c>
      <c r="N843">
        <v>14.23</v>
      </c>
      <c r="O843">
        <v>7622000</v>
      </c>
    </row>
    <row r="844" spans="13:15" x14ac:dyDescent="0.3">
      <c r="M844" t="s">
        <v>9479</v>
      </c>
      <c r="N844">
        <v>14.4</v>
      </c>
      <c r="O844">
        <v>18245800</v>
      </c>
    </row>
    <row r="845" spans="13:15" x14ac:dyDescent="0.3">
      <c r="M845" t="s">
        <v>9480</v>
      </c>
      <c r="N845">
        <v>14.21</v>
      </c>
      <c r="O845">
        <v>9532800</v>
      </c>
    </row>
    <row r="846" spans="13:15" x14ac:dyDescent="0.3">
      <c r="M846" t="s">
        <v>9481</v>
      </c>
      <c r="N846">
        <v>14.15</v>
      </c>
      <c r="O846">
        <v>15595900</v>
      </c>
    </row>
    <row r="847" spans="13:15" x14ac:dyDescent="0.3">
      <c r="M847" t="s">
        <v>9482</v>
      </c>
      <c r="N847">
        <v>14.42</v>
      </c>
      <c r="O847">
        <v>5843500</v>
      </c>
    </row>
    <row r="848" spans="13:15" x14ac:dyDescent="0.3">
      <c r="M848" t="s">
        <v>9483</v>
      </c>
      <c r="N848">
        <v>14.38</v>
      </c>
      <c r="O848">
        <v>9468800</v>
      </c>
    </row>
    <row r="849" spans="13:15" x14ac:dyDescent="0.3">
      <c r="M849" t="s">
        <v>9484</v>
      </c>
      <c r="N849">
        <v>14.05</v>
      </c>
      <c r="O849">
        <v>8376100</v>
      </c>
    </row>
    <row r="850" spans="13:15" x14ac:dyDescent="0.3">
      <c r="M850" t="s">
        <v>9485</v>
      </c>
      <c r="N850">
        <v>14.04</v>
      </c>
      <c r="O850">
        <v>10270800</v>
      </c>
    </row>
    <row r="851" spans="13:15" x14ac:dyDescent="0.3">
      <c r="M851" t="s">
        <v>9486</v>
      </c>
      <c r="N851">
        <v>14.23</v>
      </c>
      <c r="O851">
        <v>7357300</v>
      </c>
    </row>
    <row r="852" spans="13:15" x14ac:dyDescent="0.3">
      <c r="M852" t="s">
        <v>9487</v>
      </c>
      <c r="N852">
        <v>14.23</v>
      </c>
      <c r="O852">
        <v>12480900</v>
      </c>
    </row>
    <row r="853" spans="13:15" x14ac:dyDescent="0.3">
      <c r="M853" t="s">
        <v>9488</v>
      </c>
      <c r="N853">
        <v>14.01</v>
      </c>
      <c r="O853">
        <v>14055500</v>
      </c>
    </row>
    <row r="854" spans="13:15" x14ac:dyDescent="0.3">
      <c r="M854" t="s">
        <v>9489</v>
      </c>
      <c r="N854">
        <v>14.37</v>
      </c>
      <c r="O854">
        <v>7581500</v>
      </c>
    </row>
    <row r="855" spans="13:15" x14ac:dyDescent="0.3">
      <c r="M855" t="s">
        <v>9490</v>
      </c>
      <c r="N855">
        <v>14.4</v>
      </c>
      <c r="O855">
        <v>7995900</v>
      </c>
    </row>
    <row r="856" spans="13:15" x14ac:dyDescent="0.3">
      <c r="M856" t="s">
        <v>9491</v>
      </c>
      <c r="N856">
        <v>14.32</v>
      </c>
      <c r="O856">
        <v>9041000</v>
      </c>
    </row>
    <row r="857" spans="13:15" x14ac:dyDescent="0.3">
      <c r="M857" t="s">
        <v>9492</v>
      </c>
      <c r="N857">
        <v>14.27</v>
      </c>
      <c r="O857">
        <v>6573500</v>
      </c>
    </row>
    <row r="858" spans="13:15" x14ac:dyDescent="0.3">
      <c r="M858" t="s">
        <v>9493</v>
      </c>
      <c r="N858">
        <v>14.24</v>
      </c>
      <c r="O858">
        <v>6331800</v>
      </c>
    </row>
    <row r="859" spans="13:15" x14ac:dyDescent="0.3">
      <c r="M859" t="s">
        <v>9494</v>
      </c>
      <c r="N859">
        <v>14.05</v>
      </c>
      <c r="O859">
        <v>9303400</v>
      </c>
    </row>
    <row r="860" spans="13:15" x14ac:dyDescent="0.3">
      <c r="M860" t="s">
        <v>9495</v>
      </c>
      <c r="N860">
        <v>13.96</v>
      </c>
      <c r="O860">
        <v>6913200</v>
      </c>
    </row>
    <row r="861" spans="13:15" x14ac:dyDescent="0.3">
      <c r="M861" t="s">
        <v>9496</v>
      </c>
      <c r="N861">
        <v>13.94</v>
      </c>
      <c r="O861">
        <v>7113800</v>
      </c>
    </row>
    <row r="862" spans="13:15" x14ac:dyDescent="0.3">
      <c r="M862" t="s">
        <v>9497</v>
      </c>
      <c r="N862">
        <v>14.05</v>
      </c>
      <c r="O862">
        <v>10336400</v>
      </c>
    </row>
    <row r="863" spans="13:15" x14ac:dyDescent="0.3">
      <c r="M863" t="s">
        <v>9498</v>
      </c>
      <c r="N863">
        <v>13.69</v>
      </c>
      <c r="O863">
        <v>7375200</v>
      </c>
    </row>
    <row r="864" spans="13:15" x14ac:dyDescent="0.3">
      <c r="M864" t="s">
        <v>9499</v>
      </c>
      <c r="N864">
        <v>13.6</v>
      </c>
      <c r="O864">
        <v>9384700</v>
      </c>
    </row>
    <row r="865" spans="13:15" x14ac:dyDescent="0.3">
      <c r="M865" t="s">
        <v>9500</v>
      </c>
      <c r="N865">
        <v>13.63</v>
      </c>
      <c r="O865">
        <v>7723900</v>
      </c>
    </row>
    <row r="866" spans="13:15" x14ac:dyDescent="0.3">
      <c r="M866" t="s">
        <v>9501</v>
      </c>
      <c r="N866">
        <v>13.56</v>
      </c>
      <c r="O866">
        <v>13214600</v>
      </c>
    </row>
    <row r="867" spans="13:15" x14ac:dyDescent="0.3">
      <c r="M867" t="s">
        <v>9502</v>
      </c>
      <c r="N867">
        <v>13.77</v>
      </c>
      <c r="O867">
        <v>8921200</v>
      </c>
    </row>
    <row r="868" spans="13:15" x14ac:dyDescent="0.3">
      <c r="M868" t="s">
        <v>9503</v>
      </c>
      <c r="N868">
        <v>13.53</v>
      </c>
      <c r="O868">
        <v>10854900</v>
      </c>
    </row>
    <row r="869" spans="13:15" x14ac:dyDescent="0.3">
      <c r="M869" t="s">
        <v>9504</v>
      </c>
      <c r="N869">
        <v>13.49</v>
      </c>
      <c r="O869">
        <v>15960000</v>
      </c>
    </row>
    <row r="870" spans="13:15" x14ac:dyDescent="0.3">
      <c r="M870" t="s">
        <v>9505</v>
      </c>
      <c r="N870">
        <v>13.73</v>
      </c>
      <c r="O870">
        <v>15541600</v>
      </c>
    </row>
    <row r="871" spans="13:15" x14ac:dyDescent="0.3">
      <c r="M871" t="s">
        <v>9506</v>
      </c>
      <c r="N871">
        <v>13.7</v>
      </c>
      <c r="O871">
        <v>12613800</v>
      </c>
    </row>
    <row r="872" spans="13:15" x14ac:dyDescent="0.3">
      <c r="M872" t="s">
        <v>9507</v>
      </c>
      <c r="N872">
        <v>13.7</v>
      </c>
      <c r="O872">
        <v>12112600</v>
      </c>
    </row>
    <row r="873" spans="13:15" x14ac:dyDescent="0.3">
      <c r="M873" t="s">
        <v>9508</v>
      </c>
      <c r="N873">
        <v>13.69</v>
      </c>
      <c r="O873">
        <v>11268800</v>
      </c>
    </row>
    <row r="874" spans="13:15" x14ac:dyDescent="0.3">
      <c r="M874" t="s">
        <v>9509</v>
      </c>
      <c r="N874">
        <v>13.73</v>
      </c>
      <c r="O874">
        <v>12316300</v>
      </c>
    </row>
    <row r="875" spans="13:15" x14ac:dyDescent="0.3">
      <c r="M875" t="s">
        <v>9510</v>
      </c>
      <c r="N875">
        <v>13.8</v>
      </c>
      <c r="O875">
        <v>9372300</v>
      </c>
    </row>
    <row r="876" spans="13:15" x14ac:dyDescent="0.3">
      <c r="M876" t="s">
        <v>9511</v>
      </c>
      <c r="N876">
        <v>13.95</v>
      </c>
      <c r="O876">
        <v>10433300</v>
      </c>
    </row>
    <row r="877" spans="13:15" x14ac:dyDescent="0.3">
      <c r="M877" t="s">
        <v>9512</v>
      </c>
      <c r="N877">
        <v>13.9</v>
      </c>
      <c r="O877">
        <v>7691400</v>
      </c>
    </row>
    <row r="878" spans="13:15" x14ac:dyDescent="0.3">
      <c r="M878" t="s">
        <v>9513</v>
      </c>
      <c r="N878">
        <v>13.95</v>
      </c>
      <c r="O878">
        <v>11666900</v>
      </c>
    </row>
    <row r="879" spans="13:15" x14ac:dyDescent="0.3">
      <c r="M879" t="s">
        <v>9514</v>
      </c>
      <c r="N879">
        <v>13.74</v>
      </c>
      <c r="O879">
        <v>11606400</v>
      </c>
    </row>
    <row r="880" spans="13:15" x14ac:dyDescent="0.3">
      <c r="M880" t="s">
        <v>9515</v>
      </c>
      <c r="N880">
        <v>13.33</v>
      </c>
      <c r="O880">
        <v>11181600</v>
      </c>
    </row>
    <row r="881" spans="13:15" x14ac:dyDescent="0.3">
      <c r="M881" t="s">
        <v>9516</v>
      </c>
      <c r="N881">
        <v>13.27</v>
      </c>
      <c r="O881">
        <v>14700200</v>
      </c>
    </row>
    <row r="882" spans="13:15" x14ac:dyDescent="0.3">
      <c r="M882" t="s">
        <v>9517</v>
      </c>
      <c r="N882">
        <v>13.3</v>
      </c>
      <c r="O882">
        <v>11751900</v>
      </c>
    </row>
    <row r="883" spans="13:15" x14ac:dyDescent="0.3">
      <c r="M883" t="s">
        <v>9518</v>
      </c>
      <c r="N883">
        <v>13.35</v>
      </c>
      <c r="O883">
        <v>6908400</v>
      </c>
    </row>
    <row r="884" spans="13:15" x14ac:dyDescent="0.3">
      <c r="M884" t="s">
        <v>9519</v>
      </c>
      <c r="N884">
        <v>13.33</v>
      </c>
      <c r="O884">
        <v>16901400</v>
      </c>
    </row>
    <row r="885" spans="13:15" x14ac:dyDescent="0.3">
      <c r="M885" t="s">
        <v>9520</v>
      </c>
      <c r="N885">
        <v>13.3</v>
      </c>
      <c r="O885">
        <v>19107300</v>
      </c>
    </row>
    <row r="886" spans="13:15" x14ac:dyDescent="0.3">
      <c r="M886" t="s">
        <v>9521</v>
      </c>
      <c r="N886">
        <v>13.43</v>
      </c>
      <c r="O886">
        <v>20768400</v>
      </c>
    </row>
    <row r="887" spans="13:15" x14ac:dyDescent="0.3">
      <c r="M887" t="s">
        <v>9522</v>
      </c>
      <c r="N887">
        <v>13.63</v>
      </c>
      <c r="O887">
        <v>17173000</v>
      </c>
    </row>
    <row r="888" spans="13:15" x14ac:dyDescent="0.3">
      <c r="M888" t="s">
        <v>9523</v>
      </c>
      <c r="N888">
        <v>13.62</v>
      </c>
      <c r="O888">
        <v>26028600</v>
      </c>
    </row>
    <row r="889" spans="13:15" x14ac:dyDescent="0.3">
      <c r="M889" t="s">
        <v>9524</v>
      </c>
      <c r="N889">
        <v>13.82</v>
      </c>
      <c r="O889">
        <v>40415000</v>
      </c>
    </row>
    <row r="890" spans="13:15" x14ac:dyDescent="0.3">
      <c r="M890" t="s">
        <v>9525</v>
      </c>
      <c r="N890">
        <v>15.32</v>
      </c>
      <c r="O890">
        <v>16959200</v>
      </c>
    </row>
    <row r="891" spans="13:15" x14ac:dyDescent="0.3">
      <c r="M891" t="s">
        <v>9526</v>
      </c>
      <c r="N891">
        <v>15.66</v>
      </c>
      <c r="O891">
        <v>11708400</v>
      </c>
    </row>
    <row r="892" spans="13:15" x14ac:dyDescent="0.3">
      <c r="M892" t="s">
        <v>9527</v>
      </c>
      <c r="N892">
        <v>15.61</v>
      </c>
      <c r="O892">
        <v>9204200</v>
      </c>
    </row>
    <row r="893" spans="13:15" x14ac:dyDescent="0.3">
      <c r="M893" t="s">
        <v>9528</v>
      </c>
      <c r="N893">
        <v>15.48</v>
      </c>
      <c r="O893">
        <v>6830800</v>
      </c>
    </row>
    <row r="894" spans="13:15" x14ac:dyDescent="0.3">
      <c r="M894" t="s">
        <v>9529</v>
      </c>
      <c r="N894">
        <v>15.55</v>
      </c>
      <c r="O894">
        <v>5559700</v>
      </c>
    </row>
    <row r="895" spans="13:15" x14ac:dyDescent="0.3">
      <c r="M895" t="s">
        <v>9530</v>
      </c>
      <c r="N895">
        <v>15.59</v>
      </c>
      <c r="O895">
        <v>7522300</v>
      </c>
    </row>
    <row r="896" spans="13:15" x14ac:dyDescent="0.3">
      <c r="M896" t="s">
        <v>9531</v>
      </c>
      <c r="N896">
        <v>15.63</v>
      </c>
      <c r="O896">
        <v>8446400</v>
      </c>
    </row>
    <row r="897" spans="13:15" x14ac:dyDescent="0.3">
      <c r="M897" t="s">
        <v>9532</v>
      </c>
      <c r="N897">
        <v>15.65</v>
      </c>
      <c r="O897">
        <v>8384400</v>
      </c>
    </row>
    <row r="898" spans="13:15" x14ac:dyDescent="0.3">
      <c r="M898" t="s">
        <v>9533</v>
      </c>
      <c r="N898">
        <v>15.38</v>
      </c>
      <c r="O898">
        <v>6290700</v>
      </c>
    </row>
    <row r="899" spans="13:15" x14ac:dyDescent="0.3">
      <c r="M899" t="s">
        <v>9534</v>
      </c>
      <c r="N899">
        <v>15.22</v>
      </c>
      <c r="O899">
        <v>7848700</v>
      </c>
    </row>
    <row r="900" spans="13:15" x14ac:dyDescent="0.3">
      <c r="M900" t="s">
        <v>9535</v>
      </c>
      <c r="N900">
        <v>15.05</v>
      </c>
      <c r="O900">
        <v>9638200</v>
      </c>
    </row>
    <row r="901" spans="13:15" x14ac:dyDescent="0.3">
      <c r="M901" t="s">
        <v>9536</v>
      </c>
      <c r="N901">
        <v>15.27</v>
      </c>
      <c r="O901">
        <v>11983600</v>
      </c>
    </row>
    <row r="902" spans="13:15" x14ac:dyDescent="0.3">
      <c r="M902" t="s">
        <v>9537</v>
      </c>
      <c r="N902">
        <v>15.08</v>
      </c>
      <c r="O902">
        <v>6230000</v>
      </c>
    </row>
    <row r="903" spans="13:15" x14ac:dyDescent="0.3">
      <c r="M903" t="s">
        <v>9538</v>
      </c>
      <c r="N903">
        <v>15.2</v>
      </c>
      <c r="O903">
        <v>14192500</v>
      </c>
    </row>
    <row r="904" spans="13:15" x14ac:dyDescent="0.3">
      <c r="M904" t="s">
        <v>9539</v>
      </c>
      <c r="N904">
        <v>14.9</v>
      </c>
      <c r="O904">
        <v>8451200</v>
      </c>
    </row>
    <row r="905" spans="13:15" x14ac:dyDescent="0.3">
      <c r="M905" t="s">
        <v>9540</v>
      </c>
      <c r="N905">
        <v>15.16</v>
      </c>
      <c r="O905">
        <v>13141400</v>
      </c>
    </row>
    <row r="906" spans="13:15" x14ac:dyDescent="0.3">
      <c r="M906" t="s">
        <v>9541</v>
      </c>
      <c r="N906">
        <v>15.19</v>
      </c>
      <c r="O906">
        <v>9583200</v>
      </c>
    </row>
    <row r="907" spans="13:15" x14ac:dyDescent="0.3">
      <c r="M907" t="s">
        <v>9542</v>
      </c>
      <c r="N907">
        <v>15.16</v>
      </c>
      <c r="O907">
        <v>15611100</v>
      </c>
    </row>
    <row r="908" spans="13:15" x14ac:dyDescent="0.3">
      <c r="M908" t="s">
        <v>9543</v>
      </c>
      <c r="N908">
        <v>15.43</v>
      </c>
      <c r="O908">
        <v>7402800</v>
      </c>
    </row>
    <row r="909" spans="13:15" x14ac:dyDescent="0.3">
      <c r="M909" t="s">
        <v>9544</v>
      </c>
      <c r="N909">
        <v>15.19</v>
      </c>
      <c r="O909">
        <v>14925800</v>
      </c>
    </row>
    <row r="910" spans="13:15" x14ac:dyDescent="0.3">
      <c r="M910" t="s">
        <v>9545</v>
      </c>
      <c r="N910">
        <v>15.55</v>
      </c>
      <c r="O910">
        <v>7397600</v>
      </c>
    </row>
    <row r="911" spans="13:15" x14ac:dyDescent="0.3">
      <c r="M911" t="s">
        <v>9546</v>
      </c>
      <c r="N911">
        <v>15.5</v>
      </c>
      <c r="O911">
        <v>13321500</v>
      </c>
    </row>
    <row r="912" spans="13:15" x14ac:dyDescent="0.3">
      <c r="M912" t="s">
        <v>9547</v>
      </c>
      <c r="N912">
        <v>15.87</v>
      </c>
      <c r="O912">
        <v>6763900</v>
      </c>
    </row>
    <row r="913" spans="13:15" x14ac:dyDescent="0.3">
      <c r="M913" t="s">
        <v>9548</v>
      </c>
      <c r="N913">
        <v>15.9</v>
      </c>
      <c r="O913">
        <v>6733900</v>
      </c>
    </row>
    <row r="914" spans="13:15" x14ac:dyDescent="0.3">
      <c r="M914" t="s">
        <v>9549</v>
      </c>
      <c r="N914">
        <v>16.3</v>
      </c>
      <c r="O914">
        <v>4737800</v>
      </c>
    </row>
    <row r="915" spans="13:15" x14ac:dyDescent="0.3">
      <c r="M915" t="s">
        <v>9550</v>
      </c>
      <c r="N915">
        <v>16.350000000000001</v>
      </c>
      <c r="O915">
        <v>5435600</v>
      </c>
    </row>
    <row r="916" spans="13:15" x14ac:dyDescent="0.3">
      <c r="M916" t="s">
        <v>9551</v>
      </c>
      <c r="N916">
        <v>16.39</v>
      </c>
      <c r="O916">
        <v>7383700</v>
      </c>
    </row>
    <row r="917" spans="13:15" x14ac:dyDescent="0.3">
      <c r="M917" t="s">
        <v>9552</v>
      </c>
      <c r="N917">
        <v>16.32</v>
      </c>
      <c r="O917">
        <v>6765200</v>
      </c>
    </row>
    <row r="918" spans="13:15" x14ac:dyDescent="0.3">
      <c r="M918" t="s">
        <v>9553</v>
      </c>
      <c r="N918">
        <v>16.239999999999998</v>
      </c>
      <c r="O918">
        <v>6263000</v>
      </c>
    </row>
    <row r="919" spans="13:15" x14ac:dyDescent="0.3">
      <c r="M919" t="s">
        <v>9554</v>
      </c>
      <c r="N919">
        <v>16.170000000000002</v>
      </c>
      <c r="O919">
        <v>4293700</v>
      </c>
    </row>
    <row r="920" spans="13:15" x14ac:dyDescent="0.3">
      <c r="M920" t="s">
        <v>9555</v>
      </c>
      <c r="N920">
        <v>16.100000000000001</v>
      </c>
      <c r="O920">
        <v>7969800</v>
      </c>
    </row>
    <row r="921" spans="13:15" x14ac:dyDescent="0.3">
      <c r="M921" t="s">
        <v>9556</v>
      </c>
      <c r="N921">
        <v>16.3</v>
      </c>
      <c r="O921">
        <v>6270100</v>
      </c>
    </row>
    <row r="922" spans="13:15" x14ac:dyDescent="0.3">
      <c r="M922" t="s">
        <v>9557</v>
      </c>
      <c r="N922">
        <v>16.45</v>
      </c>
      <c r="O922">
        <v>11821700</v>
      </c>
    </row>
    <row r="923" spans="13:15" x14ac:dyDescent="0.3">
      <c r="M923" t="s">
        <v>9558</v>
      </c>
      <c r="N923">
        <v>16.78</v>
      </c>
      <c r="O923">
        <v>7433600</v>
      </c>
    </row>
    <row r="924" spans="13:15" x14ac:dyDescent="0.3">
      <c r="M924" t="s">
        <v>9559</v>
      </c>
      <c r="N924">
        <v>16.71</v>
      </c>
      <c r="O924">
        <v>7887000</v>
      </c>
    </row>
    <row r="925" spans="13:15" x14ac:dyDescent="0.3">
      <c r="M925" t="s">
        <v>9560</v>
      </c>
      <c r="N925">
        <v>16.86</v>
      </c>
      <c r="O925">
        <v>11326500</v>
      </c>
    </row>
    <row r="926" spans="13:15" x14ac:dyDescent="0.3">
      <c r="M926" t="s">
        <v>9561</v>
      </c>
      <c r="N926">
        <v>17.12</v>
      </c>
      <c r="O926">
        <v>5695200</v>
      </c>
    </row>
    <row r="927" spans="13:15" x14ac:dyDescent="0.3">
      <c r="M927" t="s">
        <v>9562</v>
      </c>
      <c r="N927">
        <v>17.16</v>
      </c>
      <c r="O927">
        <v>6542000</v>
      </c>
    </row>
    <row r="928" spans="13:15" x14ac:dyDescent="0.3">
      <c r="M928" t="s">
        <v>9563</v>
      </c>
      <c r="N928">
        <v>17.260000000000002</v>
      </c>
      <c r="O928">
        <v>8592700</v>
      </c>
    </row>
    <row r="929" spans="13:15" x14ac:dyDescent="0.3">
      <c r="M929" t="s">
        <v>9564</v>
      </c>
      <c r="N929">
        <v>17.16</v>
      </c>
      <c r="O929">
        <v>6225500</v>
      </c>
    </row>
    <row r="930" spans="13:15" x14ac:dyDescent="0.3">
      <c r="M930" t="s">
        <v>9565</v>
      </c>
      <c r="N930">
        <v>17.07</v>
      </c>
      <c r="O930">
        <v>5610000</v>
      </c>
    </row>
    <row r="931" spans="13:15" x14ac:dyDescent="0.3">
      <c r="M931" t="s">
        <v>9566</v>
      </c>
      <c r="N931">
        <v>17.2</v>
      </c>
      <c r="O931">
        <v>11739400</v>
      </c>
    </row>
    <row r="932" spans="13:15" x14ac:dyDescent="0.3">
      <c r="M932" t="s">
        <v>9567</v>
      </c>
      <c r="N932">
        <v>17.36</v>
      </c>
      <c r="O932">
        <v>4725100</v>
      </c>
    </row>
    <row r="933" spans="13:15" x14ac:dyDescent="0.3">
      <c r="M933" t="s">
        <v>9568</v>
      </c>
      <c r="N933">
        <v>17.2</v>
      </c>
      <c r="O933">
        <v>5737300</v>
      </c>
    </row>
    <row r="934" spans="13:15" x14ac:dyDescent="0.3">
      <c r="M934" t="s">
        <v>9569</v>
      </c>
      <c r="N934">
        <v>17.079999999999998</v>
      </c>
      <c r="O934">
        <v>6590600</v>
      </c>
    </row>
    <row r="935" spans="13:15" x14ac:dyDescent="0.3">
      <c r="M935" t="s">
        <v>9570</v>
      </c>
      <c r="N935">
        <v>16.89</v>
      </c>
      <c r="O935">
        <v>7774000</v>
      </c>
    </row>
    <row r="936" spans="13:15" x14ac:dyDescent="0.3">
      <c r="M936" t="s">
        <v>9571</v>
      </c>
      <c r="N936">
        <v>17.3</v>
      </c>
      <c r="O936">
        <v>5482200</v>
      </c>
    </row>
    <row r="937" spans="13:15" x14ac:dyDescent="0.3">
      <c r="M937" t="s">
        <v>9572</v>
      </c>
      <c r="N937">
        <v>17.510000000000002</v>
      </c>
      <c r="O937">
        <v>10416900</v>
      </c>
    </row>
    <row r="938" spans="13:15" x14ac:dyDescent="0.3">
      <c r="M938" t="s">
        <v>9573</v>
      </c>
      <c r="N938">
        <v>17.07</v>
      </c>
      <c r="O938">
        <v>7845700</v>
      </c>
    </row>
    <row r="939" spans="13:15" x14ac:dyDescent="0.3">
      <c r="M939" t="s">
        <v>9574</v>
      </c>
      <c r="N939">
        <v>16.87</v>
      </c>
      <c r="O939">
        <v>7983100</v>
      </c>
    </row>
    <row r="940" spans="13:15" x14ac:dyDescent="0.3">
      <c r="M940" t="s">
        <v>9575</v>
      </c>
      <c r="N940">
        <v>16.77</v>
      </c>
      <c r="O940">
        <v>8848300</v>
      </c>
    </row>
    <row r="941" spans="13:15" x14ac:dyDescent="0.3">
      <c r="M941" t="s">
        <v>9576</v>
      </c>
      <c r="N941">
        <v>16.75</v>
      </c>
      <c r="O941">
        <v>5411100</v>
      </c>
    </row>
    <row r="942" spans="13:15" x14ac:dyDescent="0.3">
      <c r="M942" t="s">
        <v>9577</v>
      </c>
      <c r="N942">
        <v>17</v>
      </c>
      <c r="O942">
        <v>6245500</v>
      </c>
    </row>
    <row r="943" spans="13:15" x14ac:dyDescent="0.3">
      <c r="M943" t="s">
        <v>9578</v>
      </c>
      <c r="N943">
        <v>16.71</v>
      </c>
      <c r="O943">
        <v>8245400</v>
      </c>
    </row>
    <row r="944" spans="13:15" x14ac:dyDescent="0.3">
      <c r="M944" t="s">
        <v>9579</v>
      </c>
      <c r="N944">
        <v>16.96</v>
      </c>
      <c r="O944">
        <v>7045800</v>
      </c>
    </row>
    <row r="945" spans="13:15" x14ac:dyDescent="0.3">
      <c r="M945" t="s">
        <v>9580</v>
      </c>
      <c r="N945">
        <v>17.100000000000001</v>
      </c>
      <c r="O945">
        <v>4319100</v>
      </c>
    </row>
    <row r="946" spans="13:15" x14ac:dyDescent="0.3">
      <c r="M946" t="s">
        <v>9581</v>
      </c>
      <c r="N946">
        <v>16.850000000000001</v>
      </c>
      <c r="O946">
        <v>6126200</v>
      </c>
    </row>
    <row r="947" spans="13:15" x14ac:dyDescent="0.3">
      <c r="M947" t="s">
        <v>9582</v>
      </c>
      <c r="N947">
        <v>16.88</v>
      </c>
      <c r="O947">
        <v>4594600</v>
      </c>
    </row>
    <row r="948" spans="13:15" x14ac:dyDescent="0.3">
      <c r="M948" t="s">
        <v>9583</v>
      </c>
      <c r="N948">
        <v>16.829999999999998</v>
      </c>
      <c r="O948">
        <v>6338300</v>
      </c>
    </row>
    <row r="949" spans="13:15" x14ac:dyDescent="0.3">
      <c r="M949" t="s">
        <v>9584</v>
      </c>
      <c r="N949">
        <v>16.760000000000002</v>
      </c>
      <c r="O949">
        <v>7344100</v>
      </c>
    </row>
    <row r="950" spans="13:15" x14ac:dyDescent="0.3">
      <c r="M950" t="s">
        <v>9585</v>
      </c>
      <c r="N950">
        <v>16.62</v>
      </c>
      <c r="O950">
        <v>10388700</v>
      </c>
    </row>
    <row r="951" spans="13:15" x14ac:dyDescent="0.3">
      <c r="M951" t="s">
        <v>9586</v>
      </c>
      <c r="N951">
        <v>16.510000000000002</v>
      </c>
      <c r="O951">
        <v>10853600</v>
      </c>
    </row>
    <row r="952" spans="13:15" x14ac:dyDescent="0.3">
      <c r="M952" t="s">
        <v>9587</v>
      </c>
      <c r="N952">
        <v>16.260000000000002</v>
      </c>
      <c r="O952">
        <v>9032200</v>
      </c>
    </row>
    <row r="953" spans="13:15" x14ac:dyDescent="0.3">
      <c r="M953" t="s">
        <v>9588</v>
      </c>
      <c r="N953">
        <v>16</v>
      </c>
      <c r="O953">
        <v>9517600</v>
      </c>
    </row>
    <row r="954" spans="13:15" x14ac:dyDescent="0.3">
      <c r="M954" t="s">
        <v>9589</v>
      </c>
      <c r="N954">
        <v>16.149999999999999</v>
      </c>
      <c r="O954">
        <v>10778100</v>
      </c>
    </row>
    <row r="955" spans="13:15" x14ac:dyDescent="0.3">
      <c r="M955" t="s">
        <v>9590</v>
      </c>
      <c r="N955">
        <v>15.98</v>
      </c>
      <c r="O955">
        <v>8915600</v>
      </c>
    </row>
    <row r="956" spans="13:15" x14ac:dyDescent="0.3">
      <c r="M956" t="s">
        <v>9591</v>
      </c>
      <c r="N956">
        <v>15.87</v>
      </c>
      <c r="O956">
        <v>6420300</v>
      </c>
    </row>
    <row r="957" spans="13:15" x14ac:dyDescent="0.3">
      <c r="M957" t="s">
        <v>9592</v>
      </c>
      <c r="N957">
        <v>16.239999999999998</v>
      </c>
      <c r="O957">
        <v>10440400</v>
      </c>
    </row>
    <row r="958" spans="13:15" x14ac:dyDescent="0.3">
      <c r="M958" t="s">
        <v>9593</v>
      </c>
      <c r="N958">
        <v>16.36</v>
      </c>
      <c r="O958">
        <v>11041400</v>
      </c>
    </row>
    <row r="959" spans="13:15" x14ac:dyDescent="0.3">
      <c r="M959" t="s">
        <v>9594</v>
      </c>
      <c r="N959">
        <v>16.16</v>
      </c>
      <c r="O959">
        <v>4468300</v>
      </c>
    </row>
    <row r="960" spans="13:15" x14ac:dyDescent="0.3">
      <c r="M960" t="s">
        <v>9595</v>
      </c>
      <c r="N960">
        <v>16.37</v>
      </c>
      <c r="O960">
        <v>4971600</v>
      </c>
    </row>
    <row r="961" spans="13:15" x14ac:dyDescent="0.3">
      <c r="M961" t="s">
        <v>9596</v>
      </c>
      <c r="N961">
        <v>16.12</v>
      </c>
      <c r="O961">
        <v>5872100</v>
      </c>
    </row>
    <row r="962" spans="13:15" x14ac:dyDescent="0.3">
      <c r="M962" t="s">
        <v>9597</v>
      </c>
      <c r="N962">
        <v>16.18</v>
      </c>
      <c r="O962">
        <v>4943200</v>
      </c>
    </row>
    <row r="963" spans="13:15" x14ac:dyDescent="0.3">
      <c r="M963" t="s">
        <v>9598</v>
      </c>
      <c r="N963">
        <v>16.079999999999998</v>
      </c>
      <c r="O963">
        <v>3685100</v>
      </c>
    </row>
    <row r="964" spans="13:15" x14ac:dyDescent="0.3">
      <c r="M964" t="s">
        <v>9599</v>
      </c>
      <c r="N964">
        <v>16.09</v>
      </c>
      <c r="O964">
        <v>7911000</v>
      </c>
    </row>
    <row r="965" spans="13:15" x14ac:dyDescent="0.3">
      <c r="M965" t="s">
        <v>9600</v>
      </c>
      <c r="N965">
        <v>16.350000000000001</v>
      </c>
      <c r="O965">
        <v>4228200</v>
      </c>
    </row>
    <row r="966" spans="13:15" x14ac:dyDescent="0.3">
      <c r="M966" t="s">
        <v>9601</v>
      </c>
      <c r="N966">
        <v>16.21</v>
      </c>
      <c r="O966">
        <v>6483900</v>
      </c>
    </row>
    <row r="967" spans="13:15" x14ac:dyDescent="0.3">
      <c r="M967" t="s">
        <v>9602</v>
      </c>
      <c r="N967">
        <v>16.05</v>
      </c>
      <c r="O967">
        <v>10765900</v>
      </c>
    </row>
    <row r="968" spans="13:15" x14ac:dyDescent="0.3">
      <c r="M968" t="s">
        <v>9603</v>
      </c>
      <c r="N968">
        <v>15.91</v>
      </c>
      <c r="O968">
        <v>15368300</v>
      </c>
    </row>
    <row r="969" spans="13:15" x14ac:dyDescent="0.3">
      <c r="M969" t="s">
        <v>9604</v>
      </c>
      <c r="N969">
        <v>16.309999999999999</v>
      </c>
      <c r="O969">
        <v>6568600</v>
      </c>
    </row>
    <row r="970" spans="13:15" x14ac:dyDescent="0.3">
      <c r="M970" t="s">
        <v>9605</v>
      </c>
      <c r="N970">
        <v>16.8</v>
      </c>
      <c r="O970">
        <v>7721700</v>
      </c>
    </row>
    <row r="971" spans="13:15" x14ac:dyDescent="0.3">
      <c r="M971" t="s">
        <v>9606</v>
      </c>
      <c r="N971">
        <v>16.809999999999999</v>
      </c>
      <c r="O971">
        <v>13184600</v>
      </c>
    </row>
    <row r="972" spans="13:15" x14ac:dyDescent="0.3">
      <c r="M972" t="s">
        <v>9607</v>
      </c>
      <c r="N972">
        <v>16.52</v>
      </c>
      <c r="O972">
        <v>6741000</v>
      </c>
    </row>
    <row r="973" spans="13:15" x14ac:dyDescent="0.3">
      <c r="M973" t="s">
        <v>9608</v>
      </c>
      <c r="N973">
        <v>16.59</v>
      </c>
      <c r="O973">
        <v>12510700</v>
      </c>
    </row>
    <row r="974" spans="13:15" x14ac:dyDescent="0.3">
      <c r="M974" t="s">
        <v>9609</v>
      </c>
      <c r="N974">
        <v>17.57</v>
      </c>
      <c r="O974">
        <v>6872000</v>
      </c>
    </row>
    <row r="975" spans="13:15" x14ac:dyDescent="0.3">
      <c r="M975" t="s">
        <v>9610</v>
      </c>
      <c r="N975">
        <v>17.399999999999999</v>
      </c>
      <c r="O975">
        <v>8087400</v>
      </c>
    </row>
    <row r="976" spans="13:15" x14ac:dyDescent="0.3">
      <c r="M976" t="s">
        <v>9611</v>
      </c>
      <c r="N976">
        <v>17.420000000000002</v>
      </c>
      <c r="O976">
        <v>11673400</v>
      </c>
    </row>
    <row r="977" spans="13:15" x14ac:dyDescent="0.3">
      <c r="M977" t="s">
        <v>9612</v>
      </c>
      <c r="N977">
        <v>17.73</v>
      </c>
      <c r="O977">
        <v>7650000</v>
      </c>
    </row>
    <row r="978" spans="13:15" x14ac:dyDescent="0.3">
      <c r="M978" t="s">
        <v>9613</v>
      </c>
      <c r="N978">
        <v>18.12</v>
      </c>
      <c r="O978">
        <v>5674600</v>
      </c>
    </row>
    <row r="979" spans="13:15" x14ac:dyDescent="0.3">
      <c r="M979" t="s">
        <v>9614</v>
      </c>
      <c r="N979">
        <v>18.41</v>
      </c>
      <c r="O979">
        <v>5586800</v>
      </c>
    </row>
    <row r="980" spans="13:15" x14ac:dyDescent="0.3">
      <c r="M980" t="s">
        <v>9615</v>
      </c>
      <c r="N980">
        <v>18.260000000000002</v>
      </c>
      <c r="O980">
        <v>6994600</v>
      </c>
    </row>
    <row r="981" spans="13:15" x14ac:dyDescent="0.3">
      <c r="M981" t="s">
        <v>9616</v>
      </c>
      <c r="N981">
        <v>17.690000000000001</v>
      </c>
      <c r="O981">
        <v>5516500</v>
      </c>
    </row>
    <row r="982" spans="13:15" x14ac:dyDescent="0.3">
      <c r="M982" t="s">
        <v>9617</v>
      </c>
      <c r="N982">
        <v>17.62</v>
      </c>
      <c r="O982">
        <v>4043200</v>
      </c>
    </row>
    <row r="983" spans="13:15" x14ac:dyDescent="0.3">
      <c r="M983" t="s">
        <v>9618</v>
      </c>
      <c r="N983">
        <v>17.88</v>
      </c>
      <c r="O983">
        <v>3161100</v>
      </c>
    </row>
    <row r="984" spans="13:15" x14ac:dyDescent="0.3">
      <c r="M984" t="s">
        <v>9619</v>
      </c>
      <c r="N984">
        <v>17.53</v>
      </c>
      <c r="O984">
        <v>3328100</v>
      </c>
    </row>
    <row r="985" spans="13:15" x14ac:dyDescent="0.3">
      <c r="M985" t="s">
        <v>9620</v>
      </c>
      <c r="N985">
        <v>17.38</v>
      </c>
      <c r="O985">
        <v>4605400</v>
      </c>
    </row>
    <row r="986" spans="13:15" x14ac:dyDescent="0.3">
      <c r="M986" t="s">
        <v>9621</v>
      </c>
      <c r="N986">
        <v>17.32</v>
      </c>
      <c r="O986">
        <v>7430300</v>
      </c>
    </row>
    <row r="987" spans="13:15" x14ac:dyDescent="0.3">
      <c r="M987" t="s">
        <v>9622</v>
      </c>
      <c r="N987">
        <v>17.47</v>
      </c>
      <c r="O987">
        <v>2744300</v>
      </c>
    </row>
    <row r="988" spans="13:15" x14ac:dyDescent="0.3">
      <c r="M988" t="s">
        <v>9623</v>
      </c>
      <c r="N988">
        <v>17.48</v>
      </c>
      <c r="O988">
        <v>4115500</v>
      </c>
    </row>
    <row r="989" spans="13:15" x14ac:dyDescent="0.3">
      <c r="M989" t="s">
        <v>9624</v>
      </c>
      <c r="N989">
        <v>17.670000000000002</v>
      </c>
      <c r="O989">
        <v>4740800</v>
      </c>
    </row>
    <row r="990" spans="13:15" x14ac:dyDescent="0.3">
      <c r="M990" t="s">
        <v>9625</v>
      </c>
      <c r="N990">
        <v>17.73</v>
      </c>
      <c r="O990">
        <v>5136400</v>
      </c>
    </row>
    <row r="991" spans="13:15" x14ac:dyDescent="0.3">
      <c r="M991" t="s">
        <v>9626</v>
      </c>
      <c r="N991">
        <v>17.55</v>
      </c>
      <c r="O991">
        <v>5670300</v>
      </c>
    </row>
    <row r="992" spans="13:15" x14ac:dyDescent="0.3">
      <c r="M992" t="s">
        <v>9627</v>
      </c>
      <c r="N992">
        <v>17.73</v>
      </c>
      <c r="O992">
        <v>6249900</v>
      </c>
    </row>
    <row r="993" spans="13:15" x14ac:dyDescent="0.3">
      <c r="M993" t="s">
        <v>9628</v>
      </c>
      <c r="N993">
        <v>17.23</v>
      </c>
      <c r="O993">
        <v>9282800</v>
      </c>
    </row>
    <row r="994" spans="13:15" x14ac:dyDescent="0.3">
      <c r="M994" t="s">
        <v>9629</v>
      </c>
      <c r="N994">
        <v>16.59</v>
      </c>
      <c r="O994">
        <v>10196200</v>
      </c>
    </row>
    <row r="995" spans="13:15" x14ac:dyDescent="0.3">
      <c r="M995" t="s">
        <v>9630</v>
      </c>
      <c r="N995">
        <v>16.82</v>
      </c>
      <c r="O995">
        <v>6187600</v>
      </c>
    </row>
    <row r="996" spans="13:15" x14ac:dyDescent="0.3">
      <c r="M996" t="s">
        <v>9631</v>
      </c>
      <c r="N996">
        <v>16.670000000000002</v>
      </c>
      <c r="O996">
        <v>6280400</v>
      </c>
    </row>
    <row r="997" spans="13:15" x14ac:dyDescent="0.3">
      <c r="M997" t="s">
        <v>9632</v>
      </c>
      <c r="N997">
        <v>16.45</v>
      </c>
      <c r="O997">
        <v>10899800</v>
      </c>
    </row>
    <row r="998" spans="13:15" x14ac:dyDescent="0.3">
      <c r="M998" t="s">
        <v>9633</v>
      </c>
      <c r="N998">
        <v>16.32</v>
      </c>
      <c r="O998">
        <v>11328700</v>
      </c>
    </row>
    <row r="999" spans="13:15" x14ac:dyDescent="0.3">
      <c r="M999" t="s">
        <v>9634</v>
      </c>
      <c r="N999">
        <v>16.52</v>
      </c>
      <c r="O999">
        <v>6370600</v>
      </c>
    </row>
    <row r="1000" spans="13:15" x14ac:dyDescent="0.3">
      <c r="M1000" t="s">
        <v>9635</v>
      </c>
      <c r="N1000">
        <v>16.97</v>
      </c>
      <c r="O1000">
        <v>5474700</v>
      </c>
    </row>
    <row r="1001" spans="13:15" x14ac:dyDescent="0.3">
      <c r="M1001" t="s">
        <v>9636</v>
      </c>
      <c r="N1001">
        <v>16.809999999999999</v>
      </c>
      <c r="O1001">
        <v>8585500</v>
      </c>
    </row>
    <row r="1002" spans="13:15" x14ac:dyDescent="0.3">
      <c r="M1002" t="s">
        <v>9637</v>
      </c>
      <c r="N1002">
        <v>16.86</v>
      </c>
      <c r="O1002">
        <v>8698000</v>
      </c>
    </row>
    <row r="1003" spans="13:15" x14ac:dyDescent="0.3">
      <c r="M1003" t="s">
        <v>9638</v>
      </c>
      <c r="N1003">
        <v>16.61</v>
      </c>
      <c r="O1003">
        <v>7597000</v>
      </c>
    </row>
    <row r="1004" spans="13:15" x14ac:dyDescent="0.3">
      <c r="M1004" t="s">
        <v>9639</v>
      </c>
      <c r="N1004">
        <v>16.579999999999998</v>
      </c>
      <c r="O1004">
        <v>7555000</v>
      </c>
    </row>
    <row r="1005" spans="13:15" x14ac:dyDescent="0.3">
      <c r="M1005" t="s">
        <v>9640</v>
      </c>
      <c r="N1005">
        <v>16.53</v>
      </c>
      <c r="O1005">
        <v>5701200</v>
      </c>
    </row>
    <row r="1006" spans="13:15" x14ac:dyDescent="0.3">
      <c r="M1006" t="s">
        <v>9641</v>
      </c>
      <c r="N1006">
        <v>16.37</v>
      </c>
      <c r="O1006">
        <v>9595200</v>
      </c>
    </row>
    <row r="1007" spans="13:15" x14ac:dyDescent="0.3">
      <c r="M1007" t="s">
        <v>9642</v>
      </c>
      <c r="N1007">
        <v>16.25</v>
      </c>
      <c r="O1007">
        <v>7393300</v>
      </c>
    </row>
    <row r="1008" spans="13:15" x14ac:dyDescent="0.3">
      <c r="M1008" t="s">
        <v>9643</v>
      </c>
      <c r="N1008">
        <v>15.88</v>
      </c>
      <c r="O1008">
        <v>8674600</v>
      </c>
    </row>
    <row r="1009" spans="13:15" x14ac:dyDescent="0.3">
      <c r="M1009" t="s">
        <v>9644</v>
      </c>
      <c r="N1009">
        <v>15.83</v>
      </c>
      <c r="O1009">
        <v>6284000</v>
      </c>
    </row>
    <row r="1010" spans="13:15" x14ac:dyDescent="0.3">
      <c r="M1010" t="s">
        <v>9645</v>
      </c>
      <c r="N1010">
        <v>16.04</v>
      </c>
      <c r="O1010">
        <v>7630100</v>
      </c>
    </row>
    <row r="1011" spans="13:15" x14ac:dyDescent="0.3">
      <c r="M1011" t="s">
        <v>9646</v>
      </c>
      <c r="N1011">
        <v>16.12</v>
      </c>
      <c r="O1011">
        <v>9800800</v>
      </c>
    </row>
    <row r="1012" spans="13:15" x14ac:dyDescent="0.3">
      <c r="M1012" t="s">
        <v>9647</v>
      </c>
      <c r="N1012">
        <v>15.81</v>
      </c>
      <c r="O1012">
        <v>13607400</v>
      </c>
    </row>
    <row r="1013" spans="13:15" x14ac:dyDescent="0.3">
      <c r="M1013" t="s">
        <v>9648</v>
      </c>
      <c r="N1013">
        <v>16.03</v>
      </c>
      <c r="O1013">
        <v>16478500</v>
      </c>
    </row>
    <row r="1014" spans="13:15" x14ac:dyDescent="0.3">
      <c r="M1014" t="s">
        <v>9649</v>
      </c>
      <c r="N1014">
        <v>15.18</v>
      </c>
      <c r="O1014">
        <v>11642700</v>
      </c>
    </row>
    <row r="1015" spans="13:15" x14ac:dyDescent="0.3">
      <c r="M1015" t="s">
        <v>9650</v>
      </c>
      <c r="N1015">
        <v>15.21</v>
      </c>
      <c r="O1015">
        <v>12839500</v>
      </c>
    </row>
    <row r="1016" spans="13:15" x14ac:dyDescent="0.3">
      <c r="M1016" t="s">
        <v>9651</v>
      </c>
      <c r="N1016">
        <v>15.59</v>
      </c>
      <c r="O1016">
        <v>23349600</v>
      </c>
    </row>
    <row r="1017" spans="13:15" x14ac:dyDescent="0.3">
      <c r="M1017" t="s">
        <v>9652</v>
      </c>
      <c r="N1017">
        <v>15.15</v>
      </c>
      <c r="O1017">
        <v>14041700</v>
      </c>
    </row>
    <row r="1018" spans="13:15" x14ac:dyDescent="0.3">
      <c r="M1018" t="s">
        <v>9653</v>
      </c>
      <c r="N1018">
        <v>15.52</v>
      </c>
      <c r="O1018">
        <v>10827300</v>
      </c>
    </row>
    <row r="1019" spans="13:15" x14ac:dyDescent="0.3">
      <c r="M1019" t="s">
        <v>9654</v>
      </c>
      <c r="N1019">
        <v>15.66</v>
      </c>
      <c r="O1019">
        <v>6090900</v>
      </c>
    </row>
    <row r="1020" spans="13:15" x14ac:dyDescent="0.3">
      <c r="M1020" t="s">
        <v>9655</v>
      </c>
      <c r="N1020">
        <v>15.71</v>
      </c>
      <c r="O1020">
        <v>8648900</v>
      </c>
    </row>
    <row r="1021" spans="13:15" x14ac:dyDescent="0.3">
      <c r="M1021" t="s">
        <v>9656</v>
      </c>
      <c r="N1021">
        <v>15.14</v>
      </c>
      <c r="O1021">
        <v>9703100</v>
      </c>
    </row>
    <row r="1022" spans="13:15" x14ac:dyDescent="0.3">
      <c r="M1022" t="s">
        <v>9657</v>
      </c>
      <c r="N1022">
        <v>15.07</v>
      </c>
      <c r="O1022">
        <v>6245800</v>
      </c>
    </row>
    <row r="1023" spans="13:15" x14ac:dyDescent="0.3">
      <c r="M1023" t="s">
        <v>9658</v>
      </c>
      <c r="N1023">
        <v>15</v>
      </c>
      <c r="O1023">
        <v>6037800</v>
      </c>
    </row>
    <row r="1024" spans="13:15" x14ac:dyDescent="0.3">
      <c r="M1024" t="s">
        <v>9659</v>
      </c>
      <c r="N1024">
        <v>15.19</v>
      </c>
      <c r="O1024">
        <v>8791800</v>
      </c>
    </row>
    <row r="1025" spans="13:15" x14ac:dyDescent="0.3">
      <c r="M1025" t="s">
        <v>9660</v>
      </c>
      <c r="N1025">
        <v>14.91</v>
      </c>
      <c r="O1025">
        <v>12443100</v>
      </c>
    </row>
    <row r="1026" spans="13:15" x14ac:dyDescent="0.3">
      <c r="M1026" t="s">
        <v>9661</v>
      </c>
      <c r="N1026">
        <v>14.82</v>
      </c>
      <c r="O1026">
        <v>10331500</v>
      </c>
    </row>
    <row r="1027" spans="13:15" x14ac:dyDescent="0.3">
      <c r="M1027" t="s">
        <v>9662</v>
      </c>
      <c r="N1027">
        <v>14.75</v>
      </c>
      <c r="O1027">
        <v>18057100</v>
      </c>
    </row>
    <row r="1028" spans="13:15" x14ac:dyDescent="0.3">
      <c r="M1028" t="s">
        <v>9663</v>
      </c>
      <c r="N1028">
        <v>14.81</v>
      </c>
      <c r="O1028">
        <v>17899000</v>
      </c>
    </row>
    <row r="1029" spans="13:15" x14ac:dyDescent="0.3">
      <c r="M1029" t="s">
        <v>9664</v>
      </c>
      <c r="N1029">
        <v>15.11</v>
      </c>
      <c r="O1029">
        <v>10736000</v>
      </c>
    </row>
    <row r="1030" spans="13:15" x14ac:dyDescent="0.3">
      <c r="M1030" t="s">
        <v>9665</v>
      </c>
      <c r="N1030">
        <v>15.11</v>
      </c>
      <c r="O1030">
        <v>18634300</v>
      </c>
    </row>
    <row r="1031" spans="13:15" x14ac:dyDescent="0.3">
      <c r="M1031" t="s">
        <v>9666</v>
      </c>
      <c r="N1031">
        <v>15.46</v>
      </c>
      <c r="O1031">
        <v>15219300</v>
      </c>
    </row>
    <row r="1032" spans="13:15" x14ac:dyDescent="0.3">
      <c r="M1032" t="s">
        <v>9667</v>
      </c>
      <c r="N1032">
        <v>15.43</v>
      </c>
      <c r="O1032">
        <v>42686600</v>
      </c>
    </row>
    <row r="1033" spans="13:15" x14ac:dyDescent="0.3">
      <c r="M1033" t="s">
        <v>9668</v>
      </c>
      <c r="N1033">
        <v>15.79</v>
      </c>
      <c r="O1033">
        <v>21950100</v>
      </c>
    </row>
    <row r="1034" spans="13:15" x14ac:dyDescent="0.3">
      <c r="M1034" t="s">
        <v>9669</v>
      </c>
      <c r="N1034">
        <v>16.05</v>
      </c>
      <c r="O1034">
        <v>16757300</v>
      </c>
    </row>
    <row r="1035" spans="13:15" x14ac:dyDescent="0.3">
      <c r="M1035" t="s">
        <v>9670</v>
      </c>
      <c r="N1035">
        <v>16.48</v>
      </c>
      <c r="O1035">
        <v>15227800</v>
      </c>
    </row>
    <row r="1036" spans="13:15" x14ac:dyDescent="0.3">
      <c r="M1036" t="s">
        <v>9671</v>
      </c>
      <c r="N1036">
        <v>17.079999999999998</v>
      </c>
      <c r="O1036">
        <v>3607400</v>
      </c>
    </row>
    <row r="1037" spans="13:15" x14ac:dyDescent="0.3">
      <c r="M1037" t="s">
        <v>9672</v>
      </c>
      <c r="N1037">
        <v>16.920000000000002</v>
      </c>
      <c r="O1037">
        <v>5513600</v>
      </c>
    </row>
    <row r="1038" spans="13:15" x14ac:dyDescent="0.3">
      <c r="M1038" t="s">
        <v>9673</v>
      </c>
      <c r="N1038">
        <v>16.45</v>
      </c>
      <c r="O1038">
        <v>3936900</v>
      </c>
    </row>
    <row r="1039" spans="13:15" x14ac:dyDescent="0.3">
      <c r="M1039" t="s">
        <v>9674</v>
      </c>
      <c r="N1039">
        <v>16.36</v>
      </c>
      <c r="O1039">
        <v>4769300</v>
      </c>
    </row>
    <row r="1040" spans="13:15" x14ac:dyDescent="0.3">
      <c r="M1040" t="s">
        <v>9675</v>
      </c>
      <c r="N1040">
        <v>15.96</v>
      </c>
      <c r="O1040">
        <v>7158700</v>
      </c>
    </row>
    <row r="1041" spans="13:15" x14ac:dyDescent="0.3">
      <c r="M1041" t="s">
        <v>9676</v>
      </c>
      <c r="N1041">
        <v>16.059999999999999</v>
      </c>
      <c r="O1041">
        <v>5248800</v>
      </c>
    </row>
    <row r="1042" spans="13:15" x14ac:dyDescent="0.3">
      <c r="M1042" t="s">
        <v>9677</v>
      </c>
      <c r="N1042">
        <v>16.350000000000001</v>
      </c>
      <c r="O1042">
        <v>4480300</v>
      </c>
    </row>
    <row r="1043" spans="13:15" x14ac:dyDescent="0.3">
      <c r="M1043" t="s">
        <v>9678</v>
      </c>
      <c r="N1043">
        <v>16.25</v>
      </c>
      <c r="O1043">
        <v>7419500</v>
      </c>
    </row>
    <row r="1044" spans="13:15" x14ac:dyDescent="0.3">
      <c r="M1044" t="s">
        <v>9679</v>
      </c>
      <c r="N1044">
        <v>16.36</v>
      </c>
      <c r="O1044">
        <v>6267500</v>
      </c>
    </row>
    <row r="1045" spans="13:15" x14ac:dyDescent="0.3">
      <c r="M1045" t="s">
        <v>9680</v>
      </c>
      <c r="N1045">
        <v>16.329999999999998</v>
      </c>
      <c r="O1045">
        <v>5544000</v>
      </c>
    </row>
    <row r="1046" spans="13:15" x14ac:dyDescent="0.3">
      <c r="M1046" t="s">
        <v>9681</v>
      </c>
      <c r="N1046">
        <v>16.55</v>
      </c>
      <c r="O1046">
        <v>5710800</v>
      </c>
    </row>
    <row r="1047" spans="13:15" x14ac:dyDescent="0.3">
      <c r="M1047" t="s">
        <v>9682</v>
      </c>
      <c r="N1047">
        <v>17.03</v>
      </c>
      <c r="O1047">
        <v>3818500</v>
      </c>
    </row>
    <row r="1048" spans="13:15" x14ac:dyDescent="0.3">
      <c r="M1048" t="s">
        <v>9683</v>
      </c>
      <c r="N1048">
        <v>17.09</v>
      </c>
      <c r="O1048">
        <v>5528700</v>
      </c>
    </row>
    <row r="1049" spans="13:15" x14ac:dyDescent="0.3">
      <c r="M1049" t="s">
        <v>9684</v>
      </c>
      <c r="N1049">
        <v>17.09</v>
      </c>
      <c r="O1049">
        <v>6669000</v>
      </c>
    </row>
    <row r="1050" spans="13:15" x14ac:dyDescent="0.3">
      <c r="M1050" t="s">
        <v>9685</v>
      </c>
      <c r="N1050">
        <v>17.329999999999998</v>
      </c>
      <c r="O1050">
        <v>9260400</v>
      </c>
    </row>
    <row r="1051" spans="13:15" x14ac:dyDescent="0.3">
      <c r="M1051" t="s">
        <v>9686</v>
      </c>
      <c r="N1051">
        <v>17.559999999999999</v>
      </c>
      <c r="O1051">
        <v>2868500</v>
      </c>
    </row>
    <row r="1052" spans="13:15" x14ac:dyDescent="0.3">
      <c r="M1052" t="s">
        <v>9687</v>
      </c>
      <c r="N1052">
        <v>17.73</v>
      </c>
      <c r="O1052">
        <v>5370900</v>
      </c>
    </row>
    <row r="1053" spans="13:15" x14ac:dyDescent="0.3">
      <c r="M1053" t="s">
        <v>9688</v>
      </c>
      <c r="N1053">
        <v>17.84</v>
      </c>
      <c r="O1053">
        <v>10568900</v>
      </c>
    </row>
    <row r="1054" spans="13:15" x14ac:dyDescent="0.3">
      <c r="M1054" t="s">
        <v>9689</v>
      </c>
      <c r="N1054">
        <v>17.89</v>
      </c>
      <c r="O1054">
        <v>7513200</v>
      </c>
    </row>
    <row r="1055" spans="13:15" x14ac:dyDescent="0.3">
      <c r="M1055" t="s">
        <v>9690</v>
      </c>
      <c r="N1055">
        <v>17.850000000000001</v>
      </c>
      <c r="O1055">
        <v>2987500</v>
      </c>
    </row>
    <row r="1056" spans="13:15" x14ac:dyDescent="0.3">
      <c r="M1056" t="s">
        <v>9691</v>
      </c>
      <c r="N1056">
        <v>17.850000000000001</v>
      </c>
      <c r="O1056">
        <v>4842800</v>
      </c>
    </row>
    <row r="1057" spans="13:15" x14ac:dyDescent="0.3">
      <c r="M1057" t="s">
        <v>9692</v>
      </c>
      <c r="N1057">
        <v>17.89</v>
      </c>
      <c r="O1057">
        <v>7446900</v>
      </c>
    </row>
    <row r="1058" spans="13:15" x14ac:dyDescent="0.3">
      <c r="M1058" t="s">
        <v>9693</v>
      </c>
      <c r="N1058">
        <v>18.09</v>
      </c>
      <c r="O1058">
        <v>5828100</v>
      </c>
    </row>
    <row r="1059" spans="13:15" x14ac:dyDescent="0.3">
      <c r="M1059" t="s">
        <v>9694</v>
      </c>
      <c r="N1059">
        <v>17.920000000000002</v>
      </c>
      <c r="O1059">
        <v>5140100</v>
      </c>
    </row>
    <row r="1060" spans="13:15" x14ac:dyDescent="0.3">
      <c r="M1060" t="s">
        <v>9695</v>
      </c>
      <c r="N1060">
        <v>18</v>
      </c>
      <c r="O1060">
        <v>9722500</v>
      </c>
    </row>
    <row r="1061" spans="13:15" x14ac:dyDescent="0.3">
      <c r="M1061" t="s">
        <v>9696</v>
      </c>
      <c r="N1061">
        <v>18.03</v>
      </c>
      <c r="O1061">
        <v>5790000</v>
      </c>
    </row>
    <row r="1062" spans="13:15" x14ac:dyDescent="0.3">
      <c r="M1062" t="s">
        <v>9697</v>
      </c>
      <c r="N1062">
        <v>17.89</v>
      </c>
      <c r="O1062">
        <v>8486500</v>
      </c>
    </row>
    <row r="1063" spans="13:15" x14ac:dyDescent="0.3">
      <c r="M1063" t="s">
        <v>9698</v>
      </c>
      <c r="N1063">
        <v>17.850000000000001</v>
      </c>
      <c r="O1063">
        <v>7339100</v>
      </c>
    </row>
    <row r="1064" spans="13:15" x14ac:dyDescent="0.3">
      <c r="M1064" t="s">
        <v>9699</v>
      </c>
      <c r="N1064">
        <v>17.3</v>
      </c>
      <c r="O1064">
        <v>6613000</v>
      </c>
    </row>
    <row r="1065" spans="13:15" x14ac:dyDescent="0.3">
      <c r="M1065" t="s">
        <v>9700</v>
      </c>
      <c r="N1065">
        <v>17.420000000000002</v>
      </c>
      <c r="O1065">
        <v>8471600</v>
      </c>
    </row>
    <row r="1066" spans="13:15" x14ac:dyDescent="0.3">
      <c r="M1066" t="s">
        <v>9701</v>
      </c>
      <c r="N1066">
        <v>17.3</v>
      </c>
      <c r="O1066">
        <v>7222000</v>
      </c>
    </row>
    <row r="1067" spans="13:15" x14ac:dyDescent="0.3">
      <c r="M1067" t="s">
        <v>9702</v>
      </c>
      <c r="N1067">
        <v>17</v>
      </c>
      <c r="O1067">
        <v>9660300</v>
      </c>
    </row>
    <row r="1068" spans="13:15" x14ac:dyDescent="0.3">
      <c r="M1068" t="s">
        <v>9703</v>
      </c>
      <c r="N1068">
        <v>16.61</v>
      </c>
      <c r="O1068">
        <v>9772700</v>
      </c>
    </row>
    <row r="1069" spans="13:15" x14ac:dyDescent="0.3">
      <c r="M1069" t="s">
        <v>9704</v>
      </c>
      <c r="N1069">
        <v>15.9</v>
      </c>
      <c r="O1069">
        <v>13040200</v>
      </c>
    </row>
    <row r="1070" spans="13:15" x14ac:dyDescent="0.3">
      <c r="M1070" t="s">
        <v>9705</v>
      </c>
      <c r="N1070">
        <v>16.48</v>
      </c>
      <c r="O1070">
        <v>15146700</v>
      </c>
    </row>
    <row r="1071" spans="13:15" x14ac:dyDescent="0.3">
      <c r="M1071" t="s">
        <v>9706</v>
      </c>
      <c r="N1071">
        <v>16.760000000000002</v>
      </c>
      <c r="O1071">
        <v>9935200</v>
      </c>
    </row>
    <row r="1072" spans="13:15" x14ac:dyDescent="0.3">
      <c r="M1072" t="s">
        <v>9707</v>
      </c>
      <c r="N1072">
        <v>17.05</v>
      </c>
      <c r="O1072">
        <v>15563600</v>
      </c>
    </row>
    <row r="1073" spans="13:15" x14ac:dyDescent="0.3">
      <c r="M1073" t="s">
        <v>9708</v>
      </c>
      <c r="N1073">
        <v>16.62</v>
      </c>
      <c r="O1073">
        <v>13431500</v>
      </c>
    </row>
    <row r="1074" spans="13:15" x14ac:dyDescent="0.3">
      <c r="M1074" t="s">
        <v>9709</v>
      </c>
      <c r="N1074">
        <v>16.61</v>
      </c>
      <c r="O1074">
        <v>5046400</v>
      </c>
    </row>
    <row r="1075" spans="13:15" x14ac:dyDescent="0.3">
      <c r="M1075" t="s">
        <v>9710</v>
      </c>
      <c r="N1075">
        <v>16.37</v>
      </c>
      <c r="O1075">
        <v>7496500</v>
      </c>
    </row>
    <row r="1076" spans="13:15" x14ac:dyDescent="0.3">
      <c r="M1076" t="s">
        <v>9711</v>
      </c>
      <c r="N1076">
        <v>16.13</v>
      </c>
      <c r="O1076">
        <v>4846900</v>
      </c>
    </row>
    <row r="1077" spans="13:15" x14ac:dyDescent="0.3">
      <c r="M1077" t="s">
        <v>9712</v>
      </c>
      <c r="N1077">
        <v>15.89</v>
      </c>
      <c r="O1077">
        <v>6778800</v>
      </c>
    </row>
    <row r="1078" spans="13:15" x14ac:dyDescent="0.3">
      <c r="M1078" t="s">
        <v>9713</v>
      </c>
      <c r="N1078">
        <v>16.079999999999998</v>
      </c>
      <c r="O1078">
        <v>8601800</v>
      </c>
    </row>
    <row r="1079" spans="13:15" x14ac:dyDescent="0.3">
      <c r="M1079" t="s">
        <v>9714</v>
      </c>
      <c r="N1079">
        <v>16.170000000000002</v>
      </c>
      <c r="O1079">
        <v>12463200</v>
      </c>
    </row>
    <row r="1080" spans="13:15" x14ac:dyDescent="0.3">
      <c r="M1080" t="s">
        <v>9715</v>
      </c>
      <c r="N1080">
        <v>16.39</v>
      </c>
      <c r="O1080">
        <v>7908800</v>
      </c>
    </row>
    <row r="1081" spans="13:15" x14ac:dyDescent="0.3">
      <c r="M1081" t="s">
        <v>9716</v>
      </c>
      <c r="N1081">
        <v>16.920000000000002</v>
      </c>
      <c r="O1081">
        <v>15835100</v>
      </c>
    </row>
    <row r="1082" spans="13:15" x14ac:dyDescent="0.3">
      <c r="M1082" t="s">
        <v>9717</v>
      </c>
      <c r="N1082">
        <v>17.010000000000002</v>
      </c>
      <c r="O1082">
        <v>9675500</v>
      </c>
    </row>
    <row r="1083" spans="13:15" x14ac:dyDescent="0.3">
      <c r="M1083" t="s">
        <v>9718</v>
      </c>
      <c r="N1083">
        <v>16.809999999999999</v>
      </c>
      <c r="O1083">
        <v>8860200</v>
      </c>
    </row>
    <row r="1084" spans="13:15" x14ac:dyDescent="0.3">
      <c r="M1084" t="s">
        <v>9719</v>
      </c>
      <c r="N1084">
        <v>16.579999999999998</v>
      </c>
      <c r="O1084">
        <v>10265200</v>
      </c>
    </row>
    <row r="1085" spans="13:15" x14ac:dyDescent="0.3">
      <c r="M1085" t="s">
        <v>9720</v>
      </c>
      <c r="N1085">
        <v>16.739999999999998</v>
      </c>
      <c r="O1085">
        <v>9066900</v>
      </c>
    </row>
    <row r="1086" spans="13:15" x14ac:dyDescent="0.3">
      <c r="M1086" t="s">
        <v>9721</v>
      </c>
      <c r="N1086">
        <v>16.43</v>
      </c>
      <c r="O1086">
        <v>10376700</v>
      </c>
    </row>
    <row r="1087" spans="13:15" x14ac:dyDescent="0.3">
      <c r="M1087" t="s">
        <v>9722</v>
      </c>
      <c r="N1087">
        <v>16.52</v>
      </c>
      <c r="O1087">
        <v>5126600</v>
      </c>
    </row>
    <row r="1088" spans="13:15" x14ac:dyDescent="0.3">
      <c r="M1088" t="s">
        <v>9723</v>
      </c>
      <c r="N1088">
        <v>16.39</v>
      </c>
      <c r="O1088">
        <v>5168800</v>
      </c>
    </row>
    <row r="1089" spans="13:15" x14ac:dyDescent="0.3">
      <c r="M1089" t="s">
        <v>9724</v>
      </c>
      <c r="N1089">
        <v>16.66</v>
      </c>
      <c r="O1089">
        <v>8163800</v>
      </c>
    </row>
    <row r="1090" spans="13:15" x14ac:dyDescent="0.3">
      <c r="M1090" t="s">
        <v>9725</v>
      </c>
      <c r="N1090">
        <v>16.579999999999998</v>
      </c>
      <c r="O1090">
        <v>6561500</v>
      </c>
    </row>
    <row r="1091" spans="13:15" x14ac:dyDescent="0.3">
      <c r="M1091" t="s">
        <v>9726</v>
      </c>
      <c r="N1091">
        <v>16.37</v>
      </c>
      <c r="O1091">
        <v>12097800</v>
      </c>
    </row>
    <row r="1092" spans="13:15" x14ac:dyDescent="0.3">
      <c r="M1092" t="s">
        <v>9727</v>
      </c>
      <c r="N1092">
        <v>16.260000000000002</v>
      </c>
      <c r="O1092">
        <v>12715900</v>
      </c>
    </row>
    <row r="1093" spans="13:15" x14ac:dyDescent="0.3">
      <c r="M1093" t="s">
        <v>9728</v>
      </c>
      <c r="N1093">
        <v>16.66</v>
      </c>
      <c r="O1093">
        <v>14786000</v>
      </c>
    </row>
    <row r="1094" spans="13:15" x14ac:dyDescent="0.3">
      <c r="M1094" t="s">
        <v>9729</v>
      </c>
      <c r="N1094">
        <v>15.77</v>
      </c>
      <c r="O1094">
        <v>13242000</v>
      </c>
    </row>
    <row r="1095" spans="13:15" x14ac:dyDescent="0.3">
      <c r="M1095" t="s">
        <v>9730</v>
      </c>
      <c r="N1095">
        <v>15.69</v>
      </c>
      <c r="O1095">
        <v>5810400</v>
      </c>
    </row>
    <row r="1096" spans="13:15" x14ac:dyDescent="0.3">
      <c r="M1096" t="s">
        <v>9731</v>
      </c>
      <c r="N1096">
        <v>16.239999999999998</v>
      </c>
      <c r="O1096">
        <v>16537200</v>
      </c>
    </row>
    <row r="1097" spans="13:15" x14ac:dyDescent="0.3">
      <c r="M1097" t="s">
        <v>9732</v>
      </c>
      <c r="N1097">
        <v>16.190000000000001</v>
      </c>
      <c r="O1097">
        <v>11567800</v>
      </c>
    </row>
    <row r="1098" spans="13:15" x14ac:dyDescent="0.3">
      <c r="M1098" t="s">
        <v>9733</v>
      </c>
      <c r="N1098">
        <v>15.85</v>
      </c>
      <c r="O1098">
        <v>9535700</v>
      </c>
    </row>
    <row r="1099" spans="13:15" x14ac:dyDescent="0.3">
      <c r="M1099" t="s">
        <v>9734</v>
      </c>
      <c r="N1099">
        <v>16.27</v>
      </c>
      <c r="O1099">
        <v>8787000</v>
      </c>
    </row>
    <row r="1100" spans="13:15" x14ac:dyDescent="0.3">
      <c r="M1100" t="s">
        <v>9735</v>
      </c>
      <c r="N1100">
        <v>16.760000000000002</v>
      </c>
      <c r="O1100">
        <v>5958200</v>
      </c>
    </row>
    <row r="1101" spans="13:15" x14ac:dyDescent="0.3">
      <c r="M1101" t="s">
        <v>9736</v>
      </c>
      <c r="N1101">
        <v>17.010000000000002</v>
      </c>
      <c r="O1101">
        <v>3191500</v>
      </c>
    </row>
    <row r="1102" spans="13:15" x14ac:dyDescent="0.3">
      <c r="M1102" t="s">
        <v>9737</v>
      </c>
      <c r="N1102">
        <v>17.21</v>
      </c>
      <c r="O1102">
        <v>11026400</v>
      </c>
    </row>
    <row r="1103" spans="13:15" x14ac:dyDescent="0.3">
      <c r="M1103" t="s">
        <v>9738</v>
      </c>
      <c r="N1103">
        <v>17.25</v>
      </c>
      <c r="O1103">
        <v>3917300</v>
      </c>
    </row>
    <row r="1104" spans="13:15" x14ac:dyDescent="0.3">
      <c r="M1104" t="s">
        <v>9739</v>
      </c>
      <c r="N1104">
        <v>17.21</v>
      </c>
      <c r="O1104">
        <v>9036000</v>
      </c>
    </row>
    <row r="1105" spans="13:15" x14ac:dyDescent="0.3">
      <c r="M1105" t="s">
        <v>9740</v>
      </c>
      <c r="N1105">
        <v>17.32</v>
      </c>
      <c r="O1105">
        <v>9397700</v>
      </c>
    </row>
    <row r="1106" spans="13:15" x14ac:dyDescent="0.3">
      <c r="M1106" t="s">
        <v>9741</v>
      </c>
      <c r="N1106">
        <v>16.899999999999999</v>
      </c>
      <c r="O1106">
        <v>11631300</v>
      </c>
    </row>
    <row r="1107" spans="13:15" x14ac:dyDescent="0.3">
      <c r="M1107" t="s">
        <v>9742</v>
      </c>
      <c r="N1107">
        <v>16.739999999999998</v>
      </c>
      <c r="O1107">
        <v>14970000</v>
      </c>
    </row>
    <row r="1108" spans="13:15" x14ac:dyDescent="0.3">
      <c r="M1108" t="s">
        <v>9743</v>
      </c>
      <c r="N1108">
        <v>16.68</v>
      </c>
      <c r="O1108">
        <v>14402900</v>
      </c>
    </row>
    <row r="1109" spans="13:15" x14ac:dyDescent="0.3">
      <c r="M1109" t="s">
        <v>9744</v>
      </c>
      <c r="N1109">
        <v>16.2</v>
      </c>
      <c r="O1109">
        <v>9116900</v>
      </c>
    </row>
    <row r="1110" spans="13:15" x14ac:dyDescent="0.3">
      <c r="M1110" t="s">
        <v>9745</v>
      </c>
      <c r="N1110">
        <v>15.93</v>
      </c>
      <c r="O1110">
        <v>19046500</v>
      </c>
    </row>
    <row r="1111" spans="13:15" x14ac:dyDescent="0.3">
      <c r="M1111" t="s">
        <v>9746</v>
      </c>
      <c r="N1111">
        <v>16.16</v>
      </c>
      <c r="O1111">
        <v>9904800</v>
      </c>
    </row>
    <row r="1112" spans="13:15" x14ac:dyDescent="0.3">
      <c r="M1112" t="s">
        <v>9747</v>
      </c>
      <c r="N1112">
        <v>16.59</v>
      </c>
      <c r="O1112">
        <v>7451600</v>
      </c>
    </row>
    <row r="1113" spans="13:15" x14ac:dyDescent="0.3">
      <c r="M1113" t="s">
        <v>9748</v>
      </c>
      <c r="N1113">
        <v>16.420000000000002</v>
      </c>
      <c r="O1113">
        <v>6019100</v>
      </c>
    </row>
    <row r="1114" spans="13:15" x14ac:dyDescent="0.3">
      <c r="M1114" t="s">
        <v>9749</v>
      </c>
      <c r="N1114">
        <v>16.36</v>
      </c>
      <c r="O1114">
        <v>9392800</v>
      </c>
    </row>
    <row r="1115" spans="13:15" x14ac:dyDescent="0.3">
      <c r="M1115" t="s">
        <v>9750</v>
      </c>
      <c r="N1115">
        <v>16.489999999999998</v>
      </c>
      <c r="O1115">
        <v>10672000</v>
      </c>
    </row>
    <row r="1116" spans="13:15" x14ac:dyDescent="0.3">
      <c r="M1116" t="s">
        <v>9751</v>
      </c>
      <c r="N1116">
        <v>17.22</v>
      </c>
      <c r="O1116">
        <v>7184600</v>
      </c>
    </row>
    <row r="1117" spans="13:15" x14ac:dyDescent="0.3">
      <c r="M1117" t="s">
        <v>9752</v>
      </c>
      <c r="N1117">
        <v>16.63</v>
      </c>
      <c r="O1117">
        <v>11057600</v>
      </c>
    </row>
    <row r="1118" spans="13:15" x14ac:dyDescent="0.3">
      <c r="M1118" t="s">
        <v>9753</v>
      </c>
      <c r="N1118">
        <v>17.079999999999998</v>
      </c>
      <c r="O1118">
        <v>14033500</v>
      </c>
    </row>
    <row r="1119" spans="13:15" x14ac:dyDescent="0.3">
      <c r="M1119" t="s">
        <v>9754</v>
      </c>
      <c r="N1119">
        <v>17.149999999999999</v>
      </c>
      <c r="O1119">
        <v>13434100</v>
      </c>
    </row>
    <row r="1120" spans="13:15" x14ac:dyDescent="0.3">
      <c r="M1120" t="s">
        <v>9755</v>
      </c>
      <c r="N1120">
        <v>17.04</v>
      </c>
      <c r="O1120">
        <v>8503200</v>
      </c>
    </row>
    <row r="1121" spans="13:15" x14ac:dyDescent="0.3">
      <c r="M1121" t="s">
        <v>9756</v>
      </c>
      <c r="N1121">
        <v>17.350000000000001</v>
      </c>
      <c r="O1121">
        <v>18342600</v>
      </c>
    </row>
    <row r="1122" spans="13:15" x14ac:dyDescent="0.3">
      <c r="M1122" t="s">
        <v>9757</v>
      </c>
      <c r="N1122">
        <v>17.399999999999999</v>
      </c>
      <c r="O1122">
        <v>14538200</v>
      </c>
    </row>
    <row r="1123" spans="13:15" x14ac:dyDescent="0.3">
      <c r="M1123" t="s">
        <v>9758</v>
      </c>
      <c r="N1123">
        <v>17.43</v>
      </c>
      <c r="O1123">
        <v>6615300</v>
      </c>
    </row>
    <row r="1124" spans="13:15" x14ac:dyDescent="0.3">
      <c r="M1124" t="s">
        <v>9759</v>
      </c>
      <c r="N1124">
        <v>17.829999999999998</v>
      </c>
      <c r="O1124">
        <v>9577100</v>
      </c>
    </row>
    <row r="1125" spans="13:15" x14ac:dyDescent="0.3">
      <c r="M1125" t="s">
        <v>9760</v>
      </c>
      <c r="N1125">
        <v>18.100000000000001</v>
      </c>
      <c r="O1125">
        <v>7519400</v>
      </c>
    </row>
    <row r="1126" spans="13:15" x14ac:dyDescent="0.3">
      <c r="M1126" t="s">
        <v>9761</v>
      </c>
      <c r="N1126">
        <v>17.75</v>
      </c>
      <c r="O1126">
        <v>7716800</v>
      </c>
    </row>
    <row r="1127" spans="13:15" x14ac:dyDescent="0.3">
      <c r="M1127" t="s">
        <v>9762</v>
      </c>
      <c r="N1127">
        <v>17.690000000000001</v>
      </c>
      <c r="O1127">
        <v>15073900</v>
      </c>
    </row>
    <row r="1128" spans="13:15" x14ac:dyDescent="0.3">
      <c r="M1128" t="s">
        <v>9763</v>
      </c>
      <c r="N1128">
        <v>17.45</v>
      </c>
      <c r="O1128">
        <v>12325100</v>
      </c>
    </row>
    <row r="1129" spans="13:15" x14ac:dyDescent="0.3">
      <c r="M1129" t="s">
        <v>9764</v>
      </c>
      <c r="N1129">
        <v>18</v>
      </c>
      <c r="O1129">
        <v>24229100</v>
      </c>
    </row>
    <row r="1130" spans="13:15" x14ac:dyDescent="0.3">
      <c r="M1130" t="s">
        <v>9765</v>
      </c>
      <c r="N1130">
        <v>17.670000000000002</v>
      </c>
      <c r="O1130">
        <v>9754100</v>
      </c>
    </row>
    <row r="1131" spans="13:15" x14ac:dyDescent="0.3">
      <c r="M1131" t="s">
        <v>9766</v>
      </c>
      <c r="N1131">
        <v>17.670000000000002</v>
      </c>
      <c r="O1131">
        <v>13027100</v>
      </c>
    </row>
    <row r="1132" spans="13:15" x14ac:dyDescent="0.3">
      <c r="M1132" t="s">
        <v>9767</v>
      </c>
      <c r="N1132">
        <v>17.920000000000002</v>
      </c>
      <c r="O1132">
        <v>8778400</v>
      </c>
    </row>
    <row r="1133" spans="13:15" x14ac:dyDescent="0.3">
      <c r="M1133" t="s">
        <v>9768</v>
      </c>
      <c r="N1133">
        <v>17.79</v>
      </c>
      <c r="O1133">
        <v>11983400</v>
      </c>
    </row>
    <row r="1134" spans="13:15" x14ac:dyDescent="0.3">
      <c r="M1134" t="s">
        <v>9769</v>
      </c>
      <c r="N1134">
        <v>18.16</v>
      </c>
      <c r="O1134">
        <v>21840600</v>
      </c>
    </row>
    <row r="1135" spans="13:15" x14ac:dyDescent="0.3">
      <c r="M1135" t="s">
        <v>9770</v>
      </c>
      <c r="N1135">
        <v>18.059999999999999</v>
      </c>
      <c r="O1135">
        <v>10019600</v>
      </c>
    </row>
    <row r="1136" spans="13:15" x14ac:dyDescent="0.3">
      <c r="M1136" t="s">
        <v>9771</v>
      </c>
      <c r="N1136">
        <v>17.93</v>
      </c>
      <c r="O1136">
        <v>16645300</v>
      </c>
    </row>
    <row r="1137" spans="13:15" x14ac:dyDescent="0.3">
      <c r="M1137" t="s">
        <v>9772</v>
      </c>
      <c r="N1137">
        <v>18.05</v>
      </c>
      <c r="O1137">
        <v>11998300</v>
      </c>
    </row>
    <row r="1138" spans="13:15" x14ac:dyDescent="0.3">
      <c r="M1138" t="s">
        <v>9773</v>
      </c>
      <c r="N1138">
        <v>17.96</v>
      </c>
      <c r="O1138">
        <v>17199800</v>
      </c>
    </row>
    <row r="1139" spans="13:15" x14ac:dyDescent="0.3">
      <c r="M1139" t="s">
        <v>9774</v>
      </c>
      <c r="N1139">
        <v>18.600000000000001</v>
      </c>
      <c r="O1139">
        <v>20145500</v>
      </c>
    </row>
    <row r="1140" spans="13:15" x14ac:dyDescent="0.3">
      <c r="M1140" t="s">
        <v>9775</v>
      </c>
      <c r="N1140">
        <v>19.82</v>
      </c>
      <c r="O1140">
        <v>11642600</v>
      </c>
    </row>
    <row r="1141" spans="13:15" x14ac:dyDescent="0.3">
      <c r="M1141" t="s">
        <v>9776</v>
      </c>
      <c r="N1141">
        <v>20.239999999999998</v>
      </c>
      <c r="O1141">
        <v>6641500</v>
      </c>
    </row>
    <row r="1142" spans="13:15" x14ac:dyDescent="0.3">
      <c r="M1142" t="s">
        <v>9777</v>
      </c>
      <c r="N1142">
        <v>20.81</v>
      </c>
      <c r="O1142">
        <v>5583400</v>
      </c>
    </row>
    <row r="1143" spans="13:15" x14ac:dyDescent="0.3">
      <c r="M1143" t="s">
        <v>9778</v>
      </c>
      <c r="N1143">
        <v>20.91</v>
      </c>
      <c r="O1143">
        <v>8337400</v>
      </c>
    </row>
    <row r="1144" spans="13:15" x14ac:dyDescent="0.3">
      <c r="M1144" t="s">
        <v>9779</v>
      </c>
      <c r="N1144">
        <v>21.05</v>
      </c>
      <c r="O1144">
        <v>12373700</v>
      </c>
    </row>
    <row r="1145" spans="13:15" x14ac:dyDescent="0.3">
      <c r="M1145" t="s">
        <v>9780</v>
      </c>
      <c r="N1145">
        <v>21.41</v>
      </c>
      <c r="O1145">
        <v>6293000</v>
      </c>
    </row>
    <row r="1146" spans="13:15" x14ac:dyDescent="0.3">
      <c r="M1146" t="s">
        <v>9781</v>
      </c>
      <c r="N1146">
        <v>21.72</v>
      </c>
      <c r="O1146">
        <v>12357900</v>
      </c>
    </row>
    <row r="1147" spans="13:15" x14ac:dyDescent="0.3">
      <c r="M1147" t="s">
        <v>9782</v>
      </c>
      <c r="N1147">
        <v>21.61</v>
      </c>
      <c r="O1147">
        <v>14712000</v>
      </c>
    </row>
    <row r="1148" spans="13:15" x14ac:dyDescent="0.3">
      <c r="M1148" t="s">
        <v>9783</v>
      </c>
      <c r="N1148">
        <v>21.85</v>
      </c>
      <c r="O1148">
        <v>7849500</v>
      </c>
    </row>
    <row r="1149" spans="13:15" x14ac:dyDescent="0.3">
      <c r="M1149" t="s">
        <v>9784</v>
      </c>
      <c r="N1149">
        <v>21.92</v>
      </c>
      <c r="O1149">
        <v>6945500</v>
      </c>
    </row>
    <row r="1150" spans="13:15" x14ac:dyDescent="0.3">
      <c r="M1150" t="s">
        <v>9785</v>
      </c>
      <c r="N1150">
        <v>22.05</v>
      </c>
      <c r="O1150">
        <v>3817200</v>
      </c>
    </row>
    <row r="1151" spans="13:15" x14ac:dyDescent="0.3">
      <c r="M1151" t="s">
        <v>9786</v>
      </c>
      <c r="N1151">
        <v>21.7</v>
      </c>
      <c r="O1151">
        <v>2834400</v>
      </c>
    </row>
    <row r="1152" spans="13:15" x14ac:dyDescent="0.3">
      <c r="M1152" t="s">
        <v>9787</v>
      </c>
      <c r="N1152">
        <v>21.71</v>
      </c>
      <c r="O1152">
        <v>3365400</v>
      </c>
    </row>
    <row r="1153" spans="13:15" x14ac:dyDescent="0.3">
      <c r="M1153" t="s">
        <v>9788</v>
      </c>
      <c r="N1153">
        <v>21.66</v>
      </c>
      <c r="O1153">
        <v>3594400</v>
      </c>
    </row>
    <row r="1154" spans="13:15" x14ac:dyDescent="0.3">
      <c r="M1154" t="s">
        <v>9789</v>
      </c>
      <c r="N1154">
        <v>21.34</v>
      </c>
      <c r="O1154">
        <v>9022300</v>
      </c>
    </row>
    <row r="1155" spans="13:15" x14ac:dyDescent="0.3">
      <c r="M1155" t="s">
        <v>9790</v>
      </c>
      <c r="N1155">
        <v>21.77</v>
      </c>
      <c r="O1155">
        <v>5367300</v>
      </c>
    </row>
    <row r="1156" spans="13:15" x14ac:dyDescent="0.3">
      <c r="M1156" t="s">
        <v>9791</v>
      </c>
      <c r="N1156">
        <v>21.26</v>
      </c>
      <c r="O1156">
        <v>8200800</v>
      </c>
    </row>
    <row r="1157" spans="13:15" x14ac:dyDescent="0.3">
      <c r="M1157" t="s">
        <v>9792</v>
      </c>
      <c r="N1157">
        <v>21.99</v>
      </c>
      <c r="O1157">
        <v>29035600</v>
      </c>
    </row>
    <row r="1158" spans="13:15" x14ac:dyDescent="0.3">
      <c r="M1158" t="s">
        <v>9793</v>
      </c>
      <c r="N1158">
        <v>21.5</v>
      </c>
      <c r="O1158">
        <v>14814900</v>
      </c>
    </row>
    <row r="1159" spans="13:15" x14ac:dyDescent="0.3">
      <c r="M1159" t="s">
        <v>9794</v>
      </c>
      <c r="N1159">
        <v>22.05</v>
      </c>
      <c r="O1159">
        <v>12327300</v>
      </c>
    </row>
    <row r="1160" spans="13:15" x14ac:dyDescent="0.3">
      <c r="M1160" t="s">
        <v>9795</v>
      </c>
      <c r="N1160">
        <v>21.24</v>
      </c>
      <c r="O1160">
        <v>9186200</v>
      </c>
    </row>
    <row r="1161" spans="13:15" x14ac:dyDescent="0.3">
      <c r="M1161" t="s">
        <v>9796</v>
      </c>
      <c r="N1161">
        <v>21.68</v>
      </c>
      <c r="O1161">
        <v>13945300</v>
      </c>
    </row>
    <row r="1162" spans="13:15" x14ac:dyDescent="0.3">
      <c r="M1162" t="s">
        <v>9797</v>
      </c>
      <c r="N1162">
        <v>21.08</v>
      </c>
      <c r="O1162">
        <v>7892800</v>
      </c>
    </row>
    <row r="1163" spans="13:15" x14ac:dyDescent="0.3">
      <c r="M1163" t="s">
        <v>9798</v>
      </c>
      <c r="N1163">
        <v>20.93</v>
      </c>
      <c r="O1163">
        <v>7789000</v>
      </c>
    </row>
    <row r="1164" spans="13:15" x14ac:dyDescent="0.3">
      <c r="M1164" t="s">
        <v>9799</v>
      </c>
      <c r="N1164">
        <v>20.98</v>
      </c>
      <c r="O1164">
        <v>10599200</v>
      </c>
    </row>
    <row r="1165" spans="13:15" x14ac:dyDescent="0.3">
      <c r="M1165" t="s">
        <v>9800</v>
      </c>
      <c r="N1165">
        <v>20.48</v>
      </c>
      <c r="O1165">
        <v>20426800</v>
      </c>
    </row>
    <row r="1166" spans="13:15" x14ac:dyDescent="0.3">
      <c r="M1166" t="s">
        <v>9801</v>
      </c>
      <c r="N1166">
        <v>19.829999999999998</v>
      </c>
      <c r="O1166">
        <v>14195100</v>
      </c>
    </row>
    <row r="1167" spans="13:15" x14ac:dyDescent="0.3">
      <c r="M1167" t="s">
        <v>9802</v>
      </c>
      <c r="N1167">
        <v>19.72</v>
      </c>
      <c r="O1167">
        <v>13424500</v>
      </c>
    </row>
    <row r="1168" spans="13:15" x14ac:dyDescent="0.3">
      <c r="M1168" t="s">
        <v>9803</v>
      </c>
      <c r="N1168">
        <v>19.77</v>
      </c>
      <c r="O1168">
        <v>7023600</v>
      </c>
    </row>
    <row r="1169" spans="13:15" x14ac:dyDescent="0.3">
      <c r="M1169" t="s">
        <v>9804</v>
      </c>
      <c r="N1169">
        <v>19.829999999999998</v>
      </c>
      <c r="O1169">
        <v>8749500</v>
      </c>
    </row>
    <row r="1170" spans="13:15" x14ac:dyDescent="0.3">
      <c r="M1170" t="s">
        <v>9805</v>
      </c>
      <c r="N1170">
        <v>19.46</v>
      </c>
      <c r="O1170">
        <v>6930300</v>
      </c>
    </row>
    <row r="1171" spans="13:15" x14ac:dyDescent="0.3">
      <c r="M1171" t="s">
        <v>9806</v>
      </c>
      <c r="N1171">
        <v>19.72</v>
      </c>
      <c r="O1171">
        <v>6965700</v>
      </c>
    </row>
    <row r="1172" spans="13:15" x14ac:dyDescent="0.3">
      <c r="M1172" t="s">
        <v>9807</v>
      </c>
      <c r="N1172">
        <v>20.05</v>
      </c>
      <c r="O1172">
        <v>8269300</v>
      </c>
    </row>
    <row r="1173" spans="13:15" x14ac:dyDescent="0.3">
      <c r="M1173" t="s">
        <v>9808</v>
      </c>
      <c r="N1173">
        <v>19.53</v>
      </c>
      <c r="O1173">
        <v>21155100</v>
      </c>
    </row>
    <row r="1174" spans="13:15" x14ac:dyDescent="0.3">
      <c r="M1174" t="s">
        <v>9809</v>
      </c>
      <c r="N1174">
        <v>19.95</v>
      </c>
      <c r="O1174">
        <v>8420000</v>
      </c>
    </row>
    <row r="1175" spans="13:15" x14ac:dyDescent="0.3">
      <c r="M1175" t="s">
        <v>9810</v>
      </c>
      <c r="N1175">
        <v>20.239999999999998</v>
      </c>
      <c r="O1175">
        <v>17268300</v>
      </c>
    </row>
    <row r="1176" spans="13:15" x14ac:dyDescent="0.3">
      <c r="M1176" t="s">
        <v>9811</v>
      </c>
      <c r="N1176">
        <v>19.760000000000002</v>
      </c>
      <c r="O1176">
        <v>8932700</v>
      </c>
    </row>
    <row r="1177" spans="13:15" x14ac:dyDescent="0.3">
      <c r="M1177" t="s">
        <v>9812</v>
      </c>
      <c r="N1177">
        <v>19.690000000000001</v>
      </c>
      <c r="O1177">
        <v>8470200</v>
      </c>
    </row>
    <row r="1178" spans="13:15" x14ac:dyDescent="0.3">
      <c r="M1178" t="s">
        <v>9813</v>
      </c>
      <c r="N1178">
        <v>20.05</v>
      </c>
      <c r="O1178">
        <v>6605000</v>
      </c>
    </row>
    <row r="1179" spans="13:15" x14ac:dyDescent="0.3">
      <c r="M1179" t="s">
        <v>9814</v>
      </c>
      <c r="N1179">
        <v>20.100000000000001</v>
      </c>
      <c r="O1179">
        <v>9976200</v>
      </c>
    </row>
    <row r="1180" spans="13:15" x14ac:dyDescent="0.3">
      <c r="M1180" t="s">
        <v>9815</v>
      </c>
      <c r="N1180">
        <v>19.48</v>
      </c>
      <c r="O1180">
        <v>6502900</v>
      </c>
    </row>
    <row r="1181" spans="13:15" x14ac:dyDescent="0.3">
      <c r="M1181" t="s">
        <v>9816</v>
      </c>
      <c r="N1181">
        <v>19.55</v>
      </c>
      <c r="O1181">
        <v>7761500</v>
      </c>
    </row>
    <row r="1182" spans="13:15" x14ac:dyDescent="0.3">
      <c r="M1182" t="s">
        <v>9817</v>
      </c>
      <c r="N1182">
        <v>20.14</v>
      </c>
      <c r="O1182">
        <v>10600800</v>
      </c>
    </row>
    <row r="1183" spans="13:15" x14ac:dyDescent="0.3">
      <c r="M1183" t="s">
        <v>9818</v>
      </c>
      <c r="N1183">
        <v>20.55</v>
      </c>
      <c r="O1183">
        <v>7472800</v>
      </c>
    </row>
    <row r="1184" spans="13:15" x14ac:dyDescent="0.3">
      <c r="M1184" t="s">
        <v>9819</v>
      </c>
      <c r="N1184">
        <v>20.100000000000001</v>
      </c>
      <c r="O1184">
        <v>21190900</v>
      </c>
    </row>
    <row r="1185" spans="13:15" x14ac:dyDescent="0.3">
      <c r="M1185" t="s">
        <v>9820</v>
      </c>
      <c r="N1185">
        <v>19.73</v>
      </c>
      <c r="O1185">
        <v>15889900</v>
      </c>
    </row>
    <row r="1186" spans="13:15" x14ac:dyDescent="0.3">
      <c r="M1186" t="s">
        <v>9821</v>
      </c>
      <c r="N1186">
        <v>20.100000000000001</v>
      </c>
      <c r="O1186">
        <v>18253100</v>
      </c>
    </row>
    <row r="1187" spans="13:15" x14ac:dyDescent="0.3">
      <c r="M1187" t="s">
        <v>9822</v>
      </c>
      <c r="N1187">
        <v>19.98</v>
      </c>
      <c r="O1187">
        <v>12135000</v>
      </c>
    </row>
    <row r="1188" spans="13:15" x14ac:dyDescent="0.3">
      <c r="M1188" t="s">
        <v>9823</v>
      </c>
      <c r="N1188">
        <v>20.87</v>
      </c>
      <c r="O1188">
        <v>9033400</v>
      </c>
    </row>
    <row r="1189" spans="13:15" x14ac:dyDescent="0.3">
      <c r="M1189" t="s">
        <v>9824</v>
      </c>
      <c r="N1189">
        <v>20.65</v>
      </c>
      <c r="O1189">
        <v>10309700</v>
      </c>
    </row>
    <row r="1190" spans="13:15" x14ac:dyDescent="0.3">
      <c r="M1190" t="s">
        <v>9825</v>
      </c>
      <c r="N1190">
        <v>20.69</v>
      </c>
      <c r="O1190">
        <v>5686800</v>
      </c>
    </row>
    <row r="1191" spans="13:15" x14ac:dyDescent="0.3">
      <c r="M1191" t="s">
        <v>9826</v>
      </c>
      <c r="N1191">
        <v>19.899999999999999</v>
      </c>
      <c r="O1191">
        <v>15420200</v>
      </c>
    </row>
    <row r="1192" spans="13:15" x14ac:dyDescent="0.3">
      <c r="M1192" t="s">
        <v>9827</v>
      </c>
      <c r="N1192">
        <v>19.149999999999999</v>
      </c>
      <c r="O1192">
        <v>17086900</v>
      </c>
    </row>
    <row r="1193" spans="13:15" x14ac:dyDescent="0.3">
      <c r="M1193" t="s">
        <v>9828</v>
      </c>
      <c r="N1193">
        <v>19.66</v>
      </c>
      <c r="O1193">
        <v>11662800</v>
      </c>
    </row>
    <row r="1194" spans="13:15" x14ac:dyDescent="0.3">
      <c r="M1194" t="s">
        <v>9829</v>
      </c>
      <c r="N1194">
        <v>19.739999999999998</v>
      </c>
      <c r="O1194">
        <v>9588100</v>
      </c>
    </row>
    <row r="1195" spans="13:15" x14ac:dyDescent="0.3">
      <c r="M1195" t="s">
        <v>9830</v>
      </c>
      <c r="N1195">
        <v>20.14</v>
      </c>
      <c r="O1195">
        <v>18128000</v>
      </c>
    </row>
    <row r="1196" spans="13:15" x14ac:dyDescent="0.3">
      <c r="M1196" t="s">
        <v>9831</v>
      </c>
      <c r="N1196">
        <v>20.55</v>
      </c>
      <c r="O1196">
        <v>13813600</v>
      </c>
    </row>
    <row r="1197" spans="13:15" x14ac:dyDescent="0.3">
      <c r="M1197" t="s">
        <v>9832</v>
      </c>
      <c r="N1197">
        <v>20.79</v>
      </c>
      <c r="O1197">
        <v>19417500</v>
      </c>
    </row>
    <row r="1198" spans="13:15" x14ac:dyDescent="0.3">
      <c r="M1198" t="s">
        <v>9833</v>
      </c>
      <c r="N1198">
        <v>21.48</v>
      </c>
      <c r="O1198">
        <v>13756100</v>
      </c>
    </row>
    <row r="1199" spans="13:15" x14ac:dyDescent="0.3">
      <c r="M1199" t="s">
        <v>9834</v>
      </c>
      <c r="N1199">
        <v>22.4</v>
      </c>
      <c r="O1199">
        <v>6915000</v>
      </c>
    </row>
    <row r="1200" spans="13:15" x14ac:dyDescent="0.3">
      <c r="M1200" t="s">
        <v>9835</v>
      </c>
      <c r="N1200">
        <v>23</v>
      </c>
      <c r="O1200">
        <v>11294700</v>
      </c>
    </row>
    <row r="1201" spans="13:15" x14ac:dyDescent="0.3">
      <c r="M1201" t="s">
        <v>9836</v>
      </c>
      <c r="N1201">
        <v>22.48</v>
      </c>
      <c r="O1201">
        <v>20147500</v>
      </c>
    </row>
    <row r="1202" spans="13:15" x14ac:dyDescent="0.3">
      <c r="M1202" t="s">
        <v>9837</v>
      </c>
      <c r="N1202">
        <v>22.61</v>
      </c>
      <c r="O1202">
        <v>15578800</v>
      </c>
    </row>
    <row r="1203" spans="13:15" x14ac:dyDescent="0.3">
      <c r="M1203" t="s">
        <v>9838</v>
      </c>
      <c r="N1203">
        <v>21.97</v>
      </c>
      <c r="O1203">
        <v>9883900</v>
      </c>
    </row>
    <row r="1204" spans="13:15" x14ac:dyDescent="0.3">
      <c r="M1204" t="s">
        <v>9839</v>
      </c>
      <c r="N1204">
        <v>21.75</v>
      </c>
      <c r="O1204">
        <v>10032000</v>
      </c>
    </row>
    <row r="1205" spans="13:15" x14ac:dyDescent="0.3">
      <c r="M1205" t="s">
        <v>9840</v>
      </c>
      <c r="N1205">
        <v>21.25</v>
      </c>
      <c r="O1205">
        <v>6596500</v>
      </c>
    </row>
    <row r="1206" spans="13:15" x14ac:dyDescent="0.3">
      <c r="M1206" t="s">
        <v>9841</v>
      </c>
      <c r="N1206">
        <v>21.17</v>
      </c>
      <c r="O1206">
        <v>11523300</v>
      </c>
    </row>
    <row r="1207" spans="13:15" x14ac:dyDescent="0.3">
      <c r="M1207" t="s">
        <v>9842</v>
      </c>
      <c r="N1207">
        <v>21.34</v>
      </c>
      <c r="O1207">
        <v>8881400</v>
      </c>
    </row>
    <row r="1208" spans="13:15" x14ac:dyDescent="0.3">
      <c r="M1208" t="s">
        <v>9843</v>
      </c>
      <c r="N1208">
        <v>22.05</v>
      </c>
      <c r="O1208">
        <v>8180900</v>
      </c>
    </row>
    <row r="1209" spans="13:15" x14ac:dyDescent="0.3">
      <c r="M1209" t="s">
        <v>9844</v>
      </c>
      <c r="N1209">
        <v>22.18</v>
      </c>
      <c r="O1209">
        <v>4526700</v>
      </c>
    </row>
    <row r="1210" spans="13:15" x14ac:dyDescent="0.3">
      <c r="M1210" t="s">
        <v>9845</v>
      </c>
      <c r="N1210">
        <v>22.22</v>
      </c>
      <c r="O1210">
        <v>3009700</v>
      </c>
    </row>
    <row r="1211" spans="13:15" x14ac:dyDescent="0.3">
      <c r="M1211" t="s">
        <v>9846</v>
      </c>
      <c r="N1211">
        <v>22.31</v>
      </c>
      <c r="O1211">
        <v>2293900</v>
      </c>
    </row>
    <row r="1212" spans="13:15" x14ac:dyDescent="0.3">
      <c r="M1212" t="s">
        <v>9847</v>
      </c>
      <c r="N1212">
        <v>22.28</v>
      </c>
      <c r="O1212">
        <v>2330400</v>
      </c>
    </row>
    <row r="1213" spans="13:15" x14ac:dyDescent="0.3">
      <c r="M1213" t="s">
        <v>9848</v>
      </c>
      <c r="N1213">
        <v>22.21</v>
      </c>
      <c r="O1213">
        <v>3405800</v>
      </c>
    </row>
    <row r="1214" spans="13:15" x14ac:dyDescent="0.3">
      <c r="M1214" t="s">
        <v>9849</v>
      </c>
      <c r="N1214">
        <v>22.24</v>
      </c>
      <c r="O1214">
        <v>3527200</v>
      </c>
    </row>
    <row r="1215" spans="13:15" x14ac:dyDescent="0.3">
      <c r="M1215" t="s">
        <v>9850</v>
      </c>
      <c r="N1215">
        <v>21.71</v>
      </c>
      <c r="O1215">
        <v>2488600</v>
      </c>
    </row>
    <row r="1216" spans="13:15" x14ac:dyDescent="0.3">
      <c r="M1216" t="s">
        <v>9851</v>
      </c>
      <c r="N1216">
        <v>21.54</v>
      </c>
      <c r="O1216">
        <v>6968800</v>
      </c>
    </row>
    <row r="1217" spans="13:15" x14ac:dyDescent="0.3">
      <c r="M1217" t="s">
        <v>9852</v>
      </c>
      <c r="N1217">
        <v>21.27</v>
      </c>
      <c r="O1217">
        <v>3750300</v>
      </c>
    </row>
    <row r="1218" spans="13:15" x14ac:dyDescent="0.3">
      <c r="M1218" t="s">
        <v>9853</v>
      </c>
      <c r="N1218">
        <v>20.8</v>
      </c>
      <c r="O1218">
        <v>4031000</v>
      </c>
    </row>
    <row r="1219" spans="13:15" x14ac:dyDescent="0.3">
      <c r="M1219" t="s">
        <v>9854</v>
      </c>
      <c r="N1219">
        <v>21.11</v>
      </c>
      <c r="O1219">
        <v>6517000</v>
      </c>
    </row>
    <row r="1220" spans="13:15" x14ac:dyDescent="0.3">
      <c r="M1220" t="s">
        <v>9855</v>
      </c>
      <c r="N1220">
        <v>21.17</v>
      </c>
      <c r="O1220">
        <v>11307500</v>
      </c>
    </row>
    <row r="1221" spans="13:15" x14ac:dyDescent="0.3">
      <c r="M1221" t="s">
        <v>9856</v>
      </c>
      <c r="N1221">
        <v>20.420000000000002</v>
      </c>
      <c r="O1221">
        <v>6836200</v>
      </c>
    </row>
    <row r="1222" spans="13:15" x14ac:dyDescent="0.3">
      <c r="M1222" t="s">
        <v>9857</v>
      </c>
      <c r="N1222">
        <v>20.100000000000001</v>
      </c>
      <c r="O1222">
        <v>5253200</v>
      </c>
    </row>
    <row r="1223" spans="13:15" x14ac:dyDescent="0.3">
      <c r="M1223" t="s">
        <v>9858</v>
      </c>
      <c r="N1223">
        <v>19.850000000000001</v>
      </c>
      <c r="O1223">
        <v>4551600</v>
      </c>
    </row>
    <row r="1224" spans="13:15" x14ac:dyDescent="0.3">
      <c r="M1224" t="s">
        <v>9859</v>
      </c>
      <c r="N1224">
        <v>20.36</v>
      </c>
      <c r="O1224">
        <v>4001300</v>
      </c>
    </row>
    <row r="1225" spans="13:15" x14ac:dyDescent="0.3">
      <c r="M1225" t="s">
        <v>9860</v>
      </c>
      <c r="N1225">
        <v>20.41</v>
      </c>
      <c r="O1225">
        <v>4480800</v>
      </c>
    </row>
    <row r="1226" spans="13:15" x14ac:dyDescent="0.3">
      <c r="M1226" t="s">
        <v>9861</v>
      </c>
      <c r="N1226">
        <v>20.58</v>
      </c>
      <c r="O1226">
        <v>5193700</v>
      </c>
    </row>
    <row r="1227" spans="13:15" x14ac:dyDescent="0.3">
      <c r="M1227" t="s">
        <v>9862</v>
      </c>
      <c r="N1227">
        <v>20.25</v>
      </c>
      <c r="O1227">
        <v>8397300</v>
      </c>
    </row>
    <row r="1228" spans="13:15" x14ac:dyDescent="0.3">
      <c r="M1228" t="s">
        <v>9863</v>
      </c>
      <c r="N1228">
        <v>19.54</v>
      </c>
      <c r="O1228">
        <v>6857200</v>
      </c>
    </row>
    <row r="1229" spans="13:15" x14ac:dyDescent="0.3">
      <c r="M1229" t="s">
        <v>9864</v>
      </c>
      <c r="N1229">
        <v>20.09</v>
      </c>
      <c r="O1229">
        <v>6754900</v>
      </c>
    </row>
    <row r="1230" spans="13:15" x14ac:dyDescent="0.3">
      <c r="M1230" t="s">
        <v>9865</v>
      </c>
      <c r="N1230">
        <v>20.58</v>
      </c>
      <c r="O1230">
        <v>9337500</v>
      </c>
    </row>
    <row r="1231" spans="13:15" x14ac:dyDescent="0.3">
      <c r="M1231" t="s">
        <v>9866</v>
      </c>
      <c r="N1231">
        <v>19.7</v>
      </c>
      <c r="O1231">
        <v>6696100</v>
      </c>
    </row>
    <row r="1232" spans="13:15" x14ac:dyDescent="0.3">
      <c r="M1232" t="s">
        <v>9867</v>
      </c>
      <c r="N1232">
        <v>19.829999999999998</v>
      </c>
      <c r="O1232">
        <v>8744700</v>
      </c>
    </row>
    <row r="1233" spans="13:15" x14ac:dyDescent="0.3">
      <c r="M1233" t="s">
        <v>9868</v>
      </c>
      <c r="N1233">
        <v>19.86</v>
      </c>
      <c r="O1233">
        <v>9943000</v>
      </c>
    </row>
    <row r="1234" spans="13:15" x14ac:dyDescent="0.3">
      <c r="M1234" t="s">
        <v>9869</v>
      </c>
      <c r="N1234">
        <v>19.489999999999998</v>
      </c>
      <c r="O1234">
        <v>3527600</v>
      </c>
    </row>
    <row r="1235" spans="13:15" x14ac:dyDescent="0.3">
      <c r="M1235" t="s">
        <v>9870</v>
      </c>
      <c r="N1235">
        <v>19.850000000000001</v>
      </c>
      <c r="O1235">
        <v>3992100</v>
      </c>
    </row>
    <row r="1236" spans="13:15" x14ac:dyDescent="0.3">
      <c r="M1236" t="s">
        <v>9871</v>
      </c>
      <c r="N1236">
        <v>20.100000000000001</v>
      </c>
      <c r="O1236">
        <v>8496200</v>
      </c>
    </row>
    <row r="1237" spans="13:15" x14ac:dyDescent="0.3">
      <c r="M1237" t="s">
        <v>9872</v>
      </c>
      <c r="N1237">
        <v>19.989999999999998</v>
      </c>
      <c r="O1237">
        <v>12581200</v>
      </c>
    </row>
    <row r="1238" spans="13:15" x14ac:dyDescent="0.3">
      <c r="M1238" t="s">
        <v>9873</v>
      </c>
      <c r="N1238">
        <v>20.71</v>
      </c>
      <c r="O1238">
        <v>3084000</v>
      </c>
    </row>
    <row r="1239" spans="13:15" x14ac:dyDescent="0.3">
      <c r="M1239" t="s">
        <v>9874</v>
      </c>
      <c r="N1239">
        <v>20.76</v>
      </c>
      <c r="O1239">
        <v>6453500</v>
      </c>
    </row>
    <row r="1240" spans="13:15" x14ac:dyDescent="0.3">
      <c r="M1240" t="s">
        <v>9875</v>
      </c>
      <c r="N1240">
        <v>20.84</v>
      </c>
      <c r="O1240">
        <v>5177900</v>
      </c>
    </row>
    <row r="1241" spans="13:15" x14ac:dyDescent="0.3">
      <c r="M1241" t="s">
        <v>9876</v>
      </c>
      <c r="N1241">
        <v>21.1</v>
      </c>
      <c r="O1241">
        <v>8389100</v>
      </c>
    </row>
    <row r="1242" spans="13:15" x14ac:dyDescent="0.3">
      <c r="M1242" t="s">
        <v>9877</v>
      </c>
      <c r="N1242">
        <v>20.75</v>
      </c>
      <c r="O1242">
        <v>3667100</v>
      </c>
    </row>
    <row r="1243" spans="13:15" x14ac:dyDescent="0.3">
      <c r="M1243" t="s">
        <v>9878</v>
      </c>
      <c r="N1243">
        <v>20.81</v>
      </c>
      <c r="O1243">
        <v>5304700</v>
      </c>
    </row>
    <row r="1244" spans="13:15" x14ac:dyDescent="0.3">
      <c r="M1244" t="s">
        <v>9879</v>
      </c>
      <c r="N1244">
        <v>20.37</v>
      </c>
      <c r="O1244">
        <v>3639400</v>
      </c>
    </row>
    <row r="1245" spans="13:15" x14ac:dyDescent="0.3">
      <c r="M1245" t="s">
        <v>9880</v>
      </c>
      <c r="N1245">
        <v>20.16</v>
      </c>
      <c r="O1245">
        <v>6060200</v>
      </c>
    </row>
    <row r="1246" spans="13:15" x14ac:dyDescent="0.3">
      <c r="M1246" t="s">
        <v>9881</v>
      </c>
      <c r="N1246">
        <v>20.46</v>
      </c>
      <c r="O1246">
        <v>5532100</v>
      </c>
    </row>
    <row r="1247" spans="13:15" x14ac:dyDescent="0.3">
      <c r="M1247" t="s">
        <v>9882</v>
      </c>
      <c r="N1247">
        <v>20.58</v>
      </c>
      <c r="O1247">
        <v>6848800</v>
      </c>
    </row>
    <row r="1248" spans="13:15" x14ac:dyDescent="0.3">
      <c r="M1248" t="s">
        <v>9883</v>
      </c>
      <c r="N1248">
        <v>20.010000000000002</v>
      </c>
      <c r="O1248">
        <v>4723100</v>
      </c>
    </row>
    <row r="1249" spans="13:15" x14ac:dyDescent="0.3">
      <c r="M1249" t="s">
        <v>9884</v>
      </c>
      <c r="N1249">
        <v>19.940000000000001</v>
      </c>
      <c r="O1249">
        <v>4077600</v>
      </c>
    </row>
    <row r="1250" spans="13:15" x14ac:dyDescent="0.3">
      <c r="M1250" t="s">
        <v>9885</v>
      </c>
      <c r="N1250">
        <v>19.940000000000001</v>
      </c>
      <c r="O1250">
        <v>7089200</v>
      </c>
    </row>
    <row r="1251" spans="13:15" x14ac:dyDescent="0.3">
      <c r="M1251" t="s">
        <v>9886</v>
      </c>
      <c r="N1251">
        <v>19.899999999999999</v>
      </c>
      <c r="O1251">
        <v>3786300</v>
      </c>
    </row>
    <row r="1252" spans="13:15" x14ac:dyDescent="0.3">
      <c r="M1252" t="s">
        <v>9887</v>
      </c>
      <c r="N1252">
        <v>19.73</v>
      </c>
      <c r="O1252">
        <v>4766500</v>
      </c>
    </row>
    <row r="1253" spans="13:15" x14ac:dyDescent="0.3">
      <c r="M1253" t="s">
        <v>9888</v>
      </c>
      <c r="N1253">
        <v>19.559999999999999</v>
      </c>
      <c r="O1253">
        <v>5688100</v>
      </c>
    </row>
    <row r="1254" spans="13:15" x14ac:dyDescent="0.3">
      <c r="M1254" t="s">
        <v>9889</v>
      </c>
      <c r="N1254">
        <v>19.809999999999999</v>
      </c>
      <c r="O1254">
        <v>6915000</v>
      </c>
    </row>
    <row r="1255" spans="13:15" x14ac:dyDescent="0.3">
      <c r="M1255" t="s">
        <v>9890</v>
      </c>
      <c r="N1255">
        <v>19.8</v>
      </c>
      <c r="O1255">
        <v>17484500</v>
      </c>
    </row>
    <row r="1256" spans="13:15" x14ac:dyDescent="0.3">
      <c r="M1256" t="s">
        <v>9891</v>
      </c>
      <c r="N1256">
        <v>19.920000000000002</v>
      </c>
      <c r="O1256">
        <v>5844600</v>
      </c>
    </row>
    <row r="1257" spans="13:15" x14ac:dyDescent="0.3">
      <c r="M1257" t="s">
        <v>9892</v>
      </c>
      <c r="N1257">
        <v>19.96</v>
      </c>
      <c r="O1257">
        <v>10860000</v>
      </c>
    </row>
  </sheetData>
  <mergeCells count="1">
    <mergeCell ref="C3:K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66322-32FC-4CCA-9179-E90594B71EFA}">
  <sheetPr>
    <tabColor rgb="FF002060"/>
  </sheetPr>
  <dimension ref="A1:H138"/>
  <sheetViews>
    <sheetView showGridLines="0" topLeftCell="A116" zoomScale="90" zoomScaleNormal="90" workbookViewId="0">
      <selection sqref="A1:H138"/>
    </sheetView>
  </sheetViews>
  <sheetFormatPr defaultRowHeight="14.4" x14ac:dyDescent="0.3"/>
  <cols>
    <col min="1" max="1" width="1.88671875" customWidth="1"/>
    <col min="2" max="2" width="41.21875" bestFit="1" customWidth="1"/>
    <col min="3" max="3" width="41.21875" customWidth="1"/>
    <col min="4" max="4" width="9.33203125" bestFit="1" customWidth="1"/>
    <col min="5" max="5" width="10.109375" bestFit="1" customWidth="1"/>
    <col min="6" max="6" width="9.5546875" bestFit="1" customWidth="1"/>
    <col min="7" max="8" width="10.109375" bestFit="1" customWidth="1"/>
  </cols>
  <sheetData>
    <row r="1" spans="1:8" ht="9" customHeight="1" x14ac:dyDescent="0.3">
      <c r="A1" s="186"/>
      <c r="B1" s="186"/>
      <c r="C1" s="186"/>
      <c r="D1" s="186"/>
      <c r="E1" s="186"/>
      <c r="F1" s="186"/>
      <c r="G1" s="186"/>
      <c r="H1" s="186"/>
    </row>
    <row r="3" spans="1:8" ht="28.8" x14ac:dyDescent="0.55000000000000004">
      <c r="B3" s="164" t="str">
        <f>'Data Sheet &gt;'!A1</f>
        <v>INFOSYS LTD</v>
      </c>
      <c r="C3" s="164"/>
    </row>
    <row r="4" spans="1:8" x14ac:dyDescent="0.3">
      <c r="B4" s="102" t="str">
        <f>CONCATENATE(" ","(",VLOOKUP(B3,'List of Stocks'!B2:E5442,3,1)," | ","BSE Code: ",VLOOKUP(B3,'List of Stocks'!B2:E5442,2,1),")")</f>
        <v xml:space="preserve"> (INFY | BSE Code: 500209)</v>
      </c>
      <c r="C4" s="102"/>
    </row>
    <row r="5" spans="1:8" ht="18" x14ac:dyDescent="0.35">
      <c r="B5" s="183" t="str">
        <f>CONCATENATE(" ","INR "&amp;'Data Sheet &gt;'!B8)</f>
        <v xml:space="preserve"> INR 1013.85</v>
      </c>
      <c r="C5" s="183"/>
    </row>
    <row r="6" spans="1:8" x14ac:dyDescent="0.3">
      <c r="B6" s="102" t="s">
        <v>8695</v>
      </c>
      <c r="C6" s="102"/>
    </row>
    <row r="7" spans="1:8" ht="3.6" customHeight="1" thickBot="1" x14ac:dyDescent="0.35">
      <c r="B7" s="165"/>
      <c r="C7" s="165"/>
      <c r="D7" s="165"/>
      <c r="E7" s="165"/>
      <c r="F7" s="165"/>
      <c r="G7" s="165"/>
      <c r="H7" s="165"/>
    </row>
    <row r="8" spans="1:8" ht="18" x14ac:dyDescent="0.35">
      <c r="B8" s="185" t="s">
        <v>8696</v>
      </c>
      <c r="C8" s="184"/>
    </row>
    <row r="9" spans="1:8" ht="14.4" customHeight="1" x14ac:dyDescent="0.3">
      <c r="B9" s="236" t="s">
        <v>8712</v>
      </c>
      <c r="C9" s="237"/>
      <c r="D9" s="237"/>
      <c r="E9" s="237"/>
      <c r="F9" s="237"/>
      <c r="G9" s="237"/>
      <c r="H9" s="237"/>
    </row>
    <row r="10" spans="1:8" x14ac:dyDescent="0.3">
      <c r="B10" s="237"/>
      <c r="C10" s="237"/>
      <c r="D10" s="237"/>
      <c r="E10" s="237"/>
      <c r="F10" s="237"/>
      <c r="G10" s="237"/>
      <c r="H10" s="237"/>
    </row>
    <row r="11" spans="1:8" x14ac:dyDescent="0.3">
      <c r="B11" s="237"/>
      <c r="C11" s="237"/>
      <c r="D11" s="237"/>
      <c r="E11" s="237"/>
      <c r="F11" s="237"/>
      <c r="G11" s="237"/>
      <c r="H11" s="237"/>
    </row>
    <row r="12" spans="1:8" x14ac:dyDescent="0.3">
      <c r="B12" s="237"/>
      <c r="C12" s="237"/>
      <c r="D12" s="237"/>
      <c r="E12" s="237"/>
      <c r="F12" s="237"/>
      <c r="G12" s="237"/>
      <c r="H12" s="237"/>
    </row>
    <row r="13" spans="1:8" x14ac:dyDescent="0.3">
      <c r="B13" s="237"/>
      <c r="C13" s="237"/>
      <c r="D13" s="237"/>
      <c r="E13" s="237"/>
      <c r="F13" s="237"/>
      <c r="G13" s="237"/>
      <c r="H13" s="237"/>
    </row>
    <row r="14" spans="1:8" x14ac:dyDescent="0.3">
      <c r="B14" s="237"/>
      <c r="C14" s="237"/>
      <c r="D14" s="237"/>
      <c r="E14" s="237"/>
      <c r="F14" s="237"/>
      <c r="G14" s="237"/>
      <c r="H14" s="237"/>
    </row>
    <row r="15" spans="1:8" ht="3" customHeight="1" x14ac:dyDescent="0.3">
      <c r="B15" s="166"/>
      <c r="C15" s="166"/>
      <c r="D15" s="166"/>
      <c r="E15" s="166"/>
      <c r="F15" s="166"/>
      <c r="G15" s="166"/>
      <c r="H15" s="166"/>
    </row>
    <row r="16" spans="1:8" ht="3" customHeight="1" x14ac:dyDescent="0.3">
      <c r="B16" s="166"/>
      <c r="C16" s="166"/>
      <c r="D16" s="166"/>
      <c r="E16" s="166"/>
      <c r="F16" s="166"/>
      <c r="G16" s="166"/>
      <c r="H16" s="166"/>
    </row>
    <row r="17" spans="2:8" x14ac:dyDescent="0.3">
      <c r="B17" s="166"/>
      <c r="C17" s="166"/>
      <c r="D17" s="166"/>
      <c r="E17" s="166"/>
      <c r="F17" s="166"/>
      <c r="G17" s="166"/>
      <c r="H17" s="166"/>
    </row>
    <row r="18" spans="2:8" ht="18" x14ac:dyDescent="0.35">
      <c r="B18" s="185" t="s">
        <v>8711</v>
      </c>
      <c r="C18" s="184"/>
    </row>
    <row r="69" spans="1:8" ht="9" customHeight="1" x14ac:dyDescent="0.3">
      <c r="A69" s="186"/>
      <c r="B69" s="186"/>
      <c r="C69" s="186"/>
      <c r="D69" s="186"/>
      <c r="E69" s="186"/>
      <c r="F69" s="186"/>
      <c r="G69" s="186"/>
      <c r="H69" s="186"/>
    </row>
    <row r="71" spans="1:8" ht="9.6" customHeight="1" x14ac:dyDescent="0.3">
      <c r="A71" s="186"/>
      <c r="B71" s="186"/>
      <c r="C71" s="186"/>
      <c r="D71" s="186"/>
      <c r="E71" s="186"/>
      <c r="F71" s="186"/>
      <c r="G71" s="186"/>
      <c r="H71" s="186"/>
    </row>
    <row r="76" spans="1:8" ht="15.6" x14ac:dyDescent="0.3">
      <c r="B76" s="235" t="s">
        <v>8697</v>
      </c>
      <c r="C76" s="235"/>
      <c r="D76" s="235"/>
      <c r="E76" s="235"/>
      <c r="F76" s="235"/>
      <c r="G76" s="235"/>
      <c r="H76" s="235"/>
    </row>
    <row r="77" spans="1:8" x14ac:dyDescent="0.3">
      <c r="D77" s="167">
        <f>'Data Sheet &gt;'!G16</f>
        <v>44651</v>
      </c>
      <c r="E77" s="167">
        <f>'Data Sheet &gt;'!H16</f>
        <v>45016</v>
      </c>
      <c r="F77" s="167">
        <f>'Data Sheet &gt;'!I16</f>
        <v>45382</v>
      </c>
      <c r="G77" s="167">
        <f>'Data Sheet &gt;'!J16</f>
        <v>45747</v>
      </c>
      <c r="H77" s="167">
        <f>'Data Sheet &gt;'!K16</f>
        <v>46112</v>
      </c>
    </row>
    <row r="78" spans="1:8" x14ac:dyDescent="0.3">
      <c r="B78" t="s">
        <v>8698</v>
      </c>
      <c r="D78">
        <f>'Data Sheet &gt;'!G30</f>
        <v>22110</v>
      </c>
      <c r="E78">
        <f>'Data Sheet &gt;'!H30</f>
        <v>24095</v>
      </c>
      <c r="F78">
        <f>'Data Sheet &gt;'!I30</f>
        <v>26233</v>
      </c>
      <c r="G78">
        <f>'Data Sheet &gt;'!J30</f>
        <v>26713</v>
      </c>
      <c r="H78">
        <f>'Data Sheet &gt;'!K30</f>
        <v>29440</v>
      </c>
    </row>
    <row r="79" spans="1:8" x14ac:dyDescent="0.3">
      <c r="B79" t="s">
        <v>8699</v>
      </c>
      <c r="D79">
        <f>(('Data Sheet &gt;'!G57+'Data Sheet &gt;'!G58)+('Data Sheet &gt;'!F57+'Data Sheet &gt;'!F58))/2</f>
        <v>75850.5</v>
      </c>
      <c r="E79">
        <f>(('Data Sheet &gt;'!H57+'Data Sheet &gt;'!H58)+('Data Sheet &gt;'!G57+'Data Sheet &gt;'!G58))/2</f>
        <v>75378.5</v>
      </c>
      <c r="F79">
        <f>(('Data Sheet &gt;'!I57+'Data Sheet &gt;'!I58)+('Data Sheet &gt;'!H57+'Data Sheet &gt;'!H58))/2</f>
        <v>81761.5</v>
      </c>
      <c r="G79">
        <f>(('Data Sheet &gt;'!J57+'Data Sheet &gt;'!J58)+('Data Sheet &gt;'!I57+'Data Sheet &gt;'!I58))/2</f>
        <v>91967</v>
      </c>
      <c r="H79">
        <f>(('Data Sheet &gt;'!K57+'Data Sheet &gt;'!K58)+('Data Sheet &gt;'!J57+'Data Sheet &gt;'!J58))/2</f>
        <v>94335</v>
      </c>
    </row>
    <row r="80" spans="1:8" x14ac:dyDescent="0.3">
      <c r="B80" s="180" t="s">
        <v>8697</v>
      </c>
      <c r="C80" s="180"/>
      <c r="D80" s="181">
        <f>D78/D79</f>
        <v>0.29149445290406789</v>
      </c>
      <c r="E80" s="181">
        <f t="shared" ref="E80:H80" si="0">E78/E79</f>
        <v>0.31965348209370048</v>
      </c>
      <c r="F80" s="181">
        <f t="shared" si="0"/>
        <v>0.3208478318034772</v>
      </c>
      <c r="G80" s="181">
        <f t="shared" si="0"/>
        <v>0.29046288342557658</v>
      </c>
      <c r="H80" s="181">
        <f t="shared" si="0"/>
        <v>0.31207929188530237</v>
      </c>
    </row>
    <row r="82" spans="2:8" ht="15.6" x14ac:dyDescent="0.3">
      <c r="B82" s="235" t="s">
        <v>8700</v>
      </c>
      <c r="C82" s="235"/>
      <c r="D82" s="235"/>
      <c r="E82" s="235"/>
      <c r="F82" s="235"/>
      <c r="G82" s="235"/>
      <c r="H82" s="235"/>
    </row>
    <row r="83" spans="2:8" x14ac:dyDescent="0.3">
      <c r="D83" s="167">
        <f t="shared" ref="D83:G83" si="1">D77</f>
        <v>44651</v>
      </c>
      <c r="E83" s="167">
        <f t="shared" si="1"/>
        <v>45016</v>
      </c>
      <c r="F83" s="167">
        <f t="shared" si="1"/>
        <v>45382</v>
      </c>
      <c r="G83" s="167">
        <f t="shared" si="1"/>
        <v>45747</v>
      </c>
      <c r="H83" s="167">
        <f>H77</f>
        <v>46112</v>
      </c>
    </row>
    <row r="84" spans="2:8" x14ac:dyDescent="0.3">
      <c r="B84" t="str">
        <f>B78</f>
        <v>Net Profit</v>
      </c>
      <c r="D84">
        <f t="shared" ref="D84:H84" si="2">D78</f>
        <v>22110</v>
      </c>
      <c r="E84">
        <f t="shared" si="2"/>
        <v>24095</v>
      </c>
      <c r="F84">
        <f t="shared" si="2"/>
        <v>26233</v>
      </c>
      <c r="G84">
        <f t="shared" si="2"/>
        <v>26713</v>
      </c>
      <c r="H84">
        <f t="shared" si="2"/>
        <v>29440</v>
      </c>
    </row>
    <row r="85" spans="2:8" x14ac:dyDescent="0.3">
      <c r="B85" t="s">
        <v>142</v>
      </c>
      <c r="D85">
        <f>'Data Sheet &gt;'!G17</f>
        <v>121641</v>
      </c>
      <c r="E85">
        <f>'Data Sheet &gt;'!H17</f>
        <v>146767</v>
      </c>
      <c r="F85">
        <f>'Data Sheet &gt;'!I17</f>
        <v>153670</v>
      </c>
      <c r="G85">
        <f>'Data Sheet &gt;'!J17</f>
        <v>162990</v>
      </c>
      <c r="H85">
        <f>'Data Sheet &gt;'!K17</f>
        <v>178650</v>
      </c>
    </row>
    <row r="86" spans="2:8" x14ac:dyDescent="0.3">
      <c r="B86" s="180" t="s">
        <v>8701</v>
      </c>
      <c r="C86" s="180"/>
      <c r="D86" s="181">
        <f t="shared" ref="D86:G86" si="3">D84/D85</f>
        <v>0.18176437221002786</v>
      </c>
      <c r="E86" s="181">
        <f t="shared" si="3"/>
        <v>0.16417178248516356</v>
      </c>
      <c r="F86" s="181">
        <f t="shared" si="3"/>
        <v>0.17070996290752913</v>
      </c>
      <c r="G86" s="181">
        <f t="shared" si="3"/>
        <v>0.16389349039818393</v>
      </c>
      <c r="H86" s="181">
        <f>H84/H85</f>
        <v>0.16479149174363281</v>
      </c>
    </row>
    <row r="88" spans="2:8" x14ac:dyDescent="0.3">
      <c r="B88" t="s">
        <v>8702</v>
      </c>
      <c r="D88">
        <f t="shared" ref="D88:G88" si="4">D85</f>
        <v>121641</v>
      </c>
      <c r="E88">
        <f t="shared" si="4"/>
        <v>146767</v>
      </c>
      <c r="F88">
        <f t="shared" si="4"/>
        <v>153670</v>
      </c>
      <c r="G88">
        <f t="shared" si="4"/>
        <v>162990</v>
      </c>
      <c r="H88">
        <f>H85</f>
        <v>178650</v>
      </c>
    </row>
    <row r="89" spans="2:8" x14ac:dyDescent="0.3">
      <c r="B89" t="s">
        <v>8703</v>
      </c>
      <c r="D89">
        <f>('Data Sheet &gt;'!G66+'Data Sheet &gt;'!F66)/2</f>
        <v>112120</v>
      </c>
      <c r="E89">
        <f>('Data Sheet &gt;'!H66+'Data Sheet &gt;'!G66)/2</f>
        <v>120662.5</v>
      </c>
      <c r="F89">
        <f>('Data Sheet &gt;'!I66+'Data Sheet &gt;'!H66)/2</f>
        <v>130308</v>
      </c>
      <c r="G89">
        <f>('Data Sheet &gt;'!J66+'Data Sheet &gt;'!I66)/2</f>
        <v>141907.5</v>
      </c>
      <c r="H89">
        <f>('Data Sheet &gt;'!K66+'Data Sheet &gt;'!J66)/2</f>
        <v>151041.5</v>
      </c>
    </row>
    <row r="90" spans="2:8" x14ac:dyDescent="0.3">
      <c r="B90" s="180" t="s">
        <v>8704</v>
      </c>
      <c r="C90" s="180"/>
      <c r="D90" s="182">
        <f t="shared" ref="D90:G90" si="5">D88/D89</f>
        <v>1.0849179450588655</v>
      </c>
      <c r="E90" s="182">
        <f t="shared" si="5"/>
        <v>1.216343105770227</v>
      </c>
      <c r="F90" s="182">
        <f t="shared" si="5"/>
        <v>1.1792829296743101</v>
      </c>
      <c r="G90" s="182">
        <f t="shared" si="5"/>
        <v>1.1485650864119232</v>
      </c>
      <c r="H90" s="182">
        <f>H88/H89</f>
        <v>1.1827875120413927</v>
      </c>
    </row>
    <row r="92" spans="2:8" x14ac:dyDescent="0.3">
      <c r="B92" t="str">
        <f>B89</f>
        <v>Average Total Assets</v>
      </c>
      <c r="D92">
        <f>D89</f>
        <v>112120</v>
      </c>
      <c r="E92">
        <f t="shared" ref="E92:H92" si="6">E89</f>
        <v>120662.5</v>
      </c>
      <c r="F92">
        <f t="shared" si="6"/>
        <v>130308</v>
      </c>
      <c r="G92">
        <f t="shared" si="6"/>
        <v>141907.5</v>
      </c>
      <c r="H92">
        <f t="shared" si="6"/>
        <v>151041.5</v>
      </c>
    </row>
    <row r="93" spans="2:8" x14ac:dyDescent="0.3">
      <c r="B93" t="str">
        <f>B79</f>
        <v>Average Shareholder Equity</v>
      </c>
      <c r="D93">
        <f>D79</f>
        <v>75850.5</v>
      </c>
      <c r="E93">
        <f t="shared" ref="E93:H93" si="7">E79</f>
        <v>75378.5</v>
      </c>
      <c r="F93">
        <f t="shared" si="7"/>
        <v>81761.5</v>
      </c>
      <c r="G93">
        <f t="shared" si="7"/>
        <v>91967</v>
      </c>
      <c r="H93">
        <f t="shared" si="7"/>
        <v>94335</v>
      </c>
    </row>
    <row r="94" spans="2:8" x14ac:dyDescent="0.3">
      <c r="B94" s="180" t="s">
        <v>8705</v>
      </c>
      <c r="C94" s="180"/>
      <c r="D94" s="182">
        <f t="shared" ref="D94" si="8">D92/D93</f>
        <v>1.4781708756039842</v>
      </c>
      <c r="E94" s="182">
        <f t="shared" ref="E94" si="9">E92/E93</f>
        <v>1.6007548571542283</v>
      </c>
      <c r="F94" s="182">
        <f t="shared" ref="F94" si="10">F92/F93</f>
        <v>1.5937574530799949</v>
      </c>
      <c r="G94" s="182">
        <f t="shared" ref="G94" si="11">G92/G93</f>
        <v>1.5430263029130014</v>
      </c>
      <c r="H94" s="182">
        <f>H92/H93</f>
        <v>1.6011183547993852</v>
      </c>
    </row>
    <row r="96" spans="2:8" x14ac:dyDescent="0.3">
      <c r="B96" s="180" t="s">
        <v>8706</v>
      </c>
      <c r="C96" s="180"/>
      <c r="D96" s="181">
        <f t="shared" ref="D96:G96" si="12">D94*D90*D86</f>
        <v>0.29149445290406789</v>
      </c>
      <c r="E96" s="181">
        <f t="shared" si="12"/>
        <v>0.31965348209370048</v>
      </c>
      <c r="F96" s="181">
        <f t="shared" si="12"/>
        <v>0.32084783180347726</v>
      </c>
      <c r="G96" s="181">
        <f t="shared" si="12"/>
        <v>0.29046288342557652</v>
      </c>
      <c r="H96" s="181">
        <f>H94*H90*H86</f>
        <v>0.31207929188530242</v>
      </c>
    </row>
    <row r="98" spans="2:8" ht="15.6" x14ac:dyDescent="0.3">
      <c r="B98" s="235" t="s">
        <v>8707</v>
      </c>
      <c r="C98" s="235"/>
      <c r="D98" s="235"/>
      <c r="E98" s="235"/>
      <c r="F98" s="235"/>
      <c r="G98" s="235"/>
      <c r="H98" s="235"/>
    </row>
    <row r="99" spans="2:8" x14ac:dyDescent="0.3">
      <c r="D99" s="167">
        <f>D77</f>
        <v>44651</v>
      </c>
      <c r="E99" s="167">
        <f t="shared" ref="E99:H99" si="13">E77</f>
        <v>45016</v>
      </c>
      <c r="F99" s="167">
        <f t="shared" si="13"/>
        <v>45382</v>
      </c>
      <c r="G99" s="167">
        <f t="shared" si="13"/>
        <v>45747</v>
      </c>
      <c r="H99" s="167">
        <f t="shared" si="13"/>
        <v>46112</v>
      </c>
    </row>
    <row r="100" spans="2:8" x14ac:dyDescent="0.3">
      <c r="B100" t="s">
        <v>8698</v>
      </c>
      <c r="D100">
        <f>D78</f>
        <v>22110</v>
      </c>
      <c r="E100">
        <f t="shared" ref="E100:H100" si="14">E78</f>
        <v>24095</v>
      </c>
      <c r="F100">
        <f t="shared" si="14"/>
        <v>26233</v>
      </c>
      <c r="G100">
        <f t="shared" si="14"/>
        <v>26713</v>
      </c>
      <c r="H100">
        <f t="shared" si="14"/>
        <v>29440</v>
      </c>
    </row>
    <row r="101" spans="2:8" x14ac:dyDescent="0.3">
      <c r="B101" t="str">
        <f>B92</f>
        <v>Average Total Assets</v>
      </c>
      <c r="D101">
        <f>D89</f>
        <v>112120</v>
      </c>
      <c r="E101">
        <f>E89</f>
        <v>120662.5</v>
      </c>
      <c r="F101">
        <f t="shared" ref="F101:H101" si="15">F89</f>
        <v>130308</v>
      </c>
      <c r="G101">
        <f t="shared" si="15"/>
        <v>141907.5</v>
      </c>
      <c r="H101">
        <f t="shared" si="15"/>
        <v>151041.5</v>
      </c>
    </row>
    <row r="102" spans="2:8" x14ac:dyDescent="0.3">
      <c r="B102" s="180" t="s">
        <v>8708</v>
      </c>
      <c r="C102" s="180"/>
      <c r="D102" s="181">
        <f>D100/D101</f>
        <v>0.19719942918301819</v>
      </c>
      <c r="E102" s="181">
        <f t="shared" ref="E102" si="16">E100/E101</f>
        <v>0.19968921578783796</v>
      </c>
      <c r="F102" s="181">
        <f t="shared" ref="F102" si="17">F100/F101</f>
        <v>0.20131534518218375</v>
      </c>
      <c r="G102" s="181">
        <f t="shared" ref="G102" si="18">G100/G101</f>
        <v>0.18824234096154185</v>
      </c>
      <c r="H102" s="181">
        <f>H100/H101</f>
        <v>0.19491331852504112</v>
      </c>
    </row>
    <row r="104" spans="2:8" ht="15.6" x14ac:dyDescent="0.3">
      <c r="B104" s="235" t="s">
        <v>8709</v>
      </c>
      <c r="C104" s="235"/>
      <c r="D104" s="235"/>
      <c r="E104" s="235"/>
      <c r="F104" s="235"/>
      <c r="G104" s="235"/>
      <c r="H104" s="235"/>
    </row>
    <row r="105" spans="2:8" x14ac:dyDescent="0.3">
      <c r="D105" s="167">
        <f t="shared" ref="D105:G105" si="19">D99</f>
        <v>44651</v>
      </c>
      <c r="E105" s="167">
        <f t="shared" si="19"/>
        <v>45016</v>
      </c>
      <c r="F105" s="167">
        <f t="shared" si="19"/>
        <v>45382</v>
      </c>
      <c r="G105" s="167">
        <f t="shared" si="19"/>
        <v>45747</v>
      </c>
      <c r="H105" s="167">
        <f>H99</f>
        <v>46112</v>
      </c>
    </row>
    <row r="106" spans="2:8" x14ac:dyDescent="0.3">
      <c r="B106" t="str">
        <f>B100</f>
        <v>Net Profit</v>
      </c>
      <c r="D106">
        <f t="shared" ref="D106:G106" si="20">D100</f>
        <v>22110</v>
      </c>
      <c r="E106">
        <f t="shared" si="20"/>
        <v>24095</v>
      </c>
      <c r="F106">
        <f t="shared" si="20"/>
        <v>26233</v>
      </c>
      <c r="G106">
        <f t="shared" si="20"/>
        <v>26713</v>
      </c>
      <c r="H106">
        <f>H100</f>
        <v>29440</v>
      </c>
    </row>
    <row r="107" spans="2:8" x14ac:dyDescent="0.3">
      <c r="B107" t="s">
        <v>142</v>
      </c>
      <c r="D107">
        <f t="shared" ref="D107:G107" si="21">D85</f>
        <v>121641</v>
      </c>
      <c r="E107">
        <f t="shared" si="21"/>
        <v>146767</v>
      </c>
      <c r="F107">
        <f t="shared" si="21"/>
        <v>153670</v>
      </c>
      <c r="G107">
        <f t="shared" si="21"/>
        <v>162990</v>
      </c>
      <c r="H107">
        <f>H85</f>
        <v>178650</v>
      </c>
    </row>
    <row r="108" spans="2:8" x14ac:dyDescent="0.3">
      <c r="B108" s="180" t="s">
        <v>8701</v>
      </c>
      <c r="C108" s="180"/>
      <c r="D108" s="181">
        <f t="shared" ref="D108" si="22">D106/D107</f>
        <v>0.18176437221002786</v>
      </c>
      <c r="E108" s="181">
        <f t="shared" ref="E108" si="23">E106/E107</f>
        <v>0.16417178248516356</v>
      </c>
      <c r="F108" s="181">
        <f t="shared" ref="F108" si="24">F106/F107</f>
        <v>0.17070996290752913</v>
      </c>
      <c r="G108" s="181">
        <f t="shared" ref="G108" si="25">G106/G107</f>
        <v>0.16389349039818393</v>
      </c>
      <c r="H108" s="181">
        <f>H106/H107</f>
        <v>0.16479149174363281</v>
      </c>
    </row>
    <row r="110" spans="2:8" x14ac:dyDescent="0.3">
      <c r="B110" t="s">
        <v>8702</v>
      </c>
      <c r="D110">
        <f t="shared" ref="D110:G110" si="26">D107</f>
        <v>121641</v>
      </c>
      <c r="E110">
        <f t="shared" si="26"/>
        <v>146767</v>
      </c>
      <c r="F110">
        <f t="shared" si="26"/>
        <v>153670</v>
      </c>
      <c r="G110">
        <f t="shared" si="26"/>
        <v>162990</v>
      </c>
      <c r="H110">
        <f>H107</f>
        <v>178650</v>
      </c>
    </row>
    <row r="111" spans="2:8" x14ac:dyDescent="0.3">
      <c r="B111" t="s">
        <v>8703</v>
      </c>
      <c r="D111">
        <f t="shared" ref="D111:G111" si="27">D101</f>
        <v>112120</v>
      </c>
      <c r="E111">
        <f t="shared" si="27"/>
        <v>120662.5</v>
      </c>
      <c r="F111">
        <f t="shared" si="27"/>
        <v>130308</v>
      </c>
      <c r="G111">
        <f t="shared" si="27"/>
        <v>141907.5</v>
      </c>
      <c r="H111">
        <f>H101</f>
        <v>151041.5</v>
      </c>
    </row>
    <row r="112" spans="2:8" x14ac:dyDescent="0.3">
      <c r="B112" s="180" t="s">
        <v>8704</v>
      </c>
      <c r="C112" s="180"/>
      <c r="D112" s="182">
        <f t="shared" ref="D112" si="28">D110/D111</f>
        <v>1.0849179450588655</v>
      </c>
      <c r="E112" s="182">
        <f t="shared" ref="E112" si="29">E110/E111</f>
        <v>1.216343105770227</v>
      </c>
      <c r="F112" s="182">
        <f t="shared" ref="F112" si="30">F110/F111</f>
        <v>1.1792829296743101</v>
      </c>
      <c r="G112" s="182">
        <f t="shared" ref="G112" si="31">G110/G111</f>
        <v>1.1485650864119232</v>
      </c>
      <c r="H112" s="182">
        <f>H110/H111</f>
        <v>1.1827875120413927</v>
      </c>
    </row>
    <row r="114" spans="2:8" x14ac:dyDescent="0.3">
      <c r="B114" s="180" t="s">
        <v>8710</v>
      </c>
      <c r="C114" s="180"/>
      <c r="D114" s="181">
        <f>D112*D108</f>
        <v>0.19719942918301819</v>
      </c>
      <c r="E114" s="181">
        <f t="shared" ref="E114:H114" si="32">E112*E108</f>
        <v>0.19968921578783799</v>
      </c>
      <c r="F114" s="181">
        <f t="shared" si="32"/>
        <v>0.20131534518218377</v>
      </c>
      <c r="G114" s="181">
        <f t="shared" si="32"/>
        <v>0.18824234096154183</v>
      </c>
      <c r="H114" s="181">
        <f t="shared" si="32"/>
        <v>0.19491331852504115</v>
      </c>
    </row>
    <row r="138" spans="1:8" ht="9" customHeight="1" x14ac:dyDescent="0.3">
      <c r="A138" s="186"/>
      <c r="B138" s="186"/>
      <c r="C138" s="186"/>
      <c r="D138" s="186"/>
      <c r="E138" s="186"/>
      <c r="F138" s="186"/>
      <c r="G138" s="186"/>
      <c r="H138" s="186"/>
    </row>
  </sheetData>
  <mergeCells count="5">
    <mergeCell ref="B76:H76"/>
    <mergeCell ref="B82:H82"/>
    <mergeCell ref="B98:H98"/>
    <mergeCell ref="B104:H104"/>
    <mergeCell ref="B9:H14"/>
  </mergeCells>
  <pageMargins left="0.23622047244094491" right="0.23622047244094491" top="0.23622047244094491" bottom="0.23622047244094491" header="0" footer="0"/>
  <pageSetup scale="76"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C552E-09DB-4CCE-8554-7AA1A0389B9D}">
  <dimension ref="B1:E5442"/>
  <sheetViews>
    <sheetView showGridLines="0" topLeftCell="A40" workbookViewId="0">
      <selection activeCell="E20" sqref="E20"/>
    </sheetView>
  </sheetViews>
  <sheetFormatPr defaultRowHeight="14.4" x14ac:dyDescent="0.3"/>
  <cols>
    <col min="1" max="1" width="1.88671875" customWidth="1"/>
    <col min="2" max="2" width="38.33203125" customWidth="1"/>
    <col min="3" max="3" width="9.33203125" bestFit="1" customWidth="1"/>
    <col min="4" max="4" width="15.109375" bestFit="1" customWidth="1"/>
    <col min="5" max="5" width="25.88671875" customWidth="1"/>
  </cols>
  <sheetData>
    <row r="1" spans="2:5" ht="15" thickBot="1" x14ac:dyDescent="0.35"/>
    <row r="2" spans="2:5" ht="15" thickBot="1" x14ac:dyDescent="0.35">
      <c r="B2" s="161" t="s">
        <v>470</v>
      </c>
      <c r="C2" s="162" t="s">
        <v>471</v>
      </c>
      <c r="D2" s="162" t="s">
        <v>472</v>
      </c>
      <c r="E2" s="163" t="s">
        <v>473</v>
      </c>
    </row>
    <row r="3" spans="2:5" x14ac:dyDescent="0.3">
      <c r="B3" t="s">
        <v>474</v>
      </c>
      <c r="C3">
        <v>533022</v>
      </c>
      <c r="D3" t="s">
        <v>475</v>
      </c>
      <c r="E3" t="s">
        <v>476</v>
      </c>
    </row>
    <row r="4" spans="2:5" x14ac:dyDescent="0.3">
      <c r="B4" t="s">
        <v>477</v>
      </c>
      <c r="C4">
        <v>526921</v>
      </c>
      <c r="D4" t="s">
        <v>478</v>
      </c>
      <c r="E4" t="s">
        <v>479</v>
      </c>
    </row>
    <row r="5" spans="2:5" x14ac:dyDescent="0.3">
      <c r="B5" t="s">
        <v>480</v>
      </c>
      <c r="C5">
        <v>532628</v>
      </c>
      <c r="D5" t="s">
        <v>481</v>
      </c>
      <c r="E5" t="s">
        <v>482</v>
      </c>
    </row>
    <row r="6" spans="2:5" x14ac:dyDescent="0.3">
      <c r="B6" t="s">
        <v>483</v>
      </c>
      <c r="C6">
        <v>523395</v>
      </c>
      <c r="D6" t="s">
        <v>484</v>
      </c>
      <c r="E6" t="s">
        <v>485</v>
      </c>
    </row>
    <row r="7" spans="2:5" x14ac:dyDescent="0.3">
      <c r="B7" t="s">
        <v>486</v>
      </c>
      <c r="C7">
        <v>523395</v>
      </c>
      <c r="D7" t="s">
        <v>487</v>
      </c>
      <c r="E7" t="s">
        <v>485</v>
      </c>
    </row>
    <row r="8" spans="2:5" x14ac:dyDescent="0.3">
      <c r="B8" t="s">
        <v>488</v>
      </c>
      <c r="C8">
        <v>516092</v>
      </c>
      <c r="D8" t="s">
        <v>489</v>
      </c>
      <c r="E8" t="s">
        <v>490</v>
      </c>
    </row>
    <row r="9" spans="2:5" x14ac:dyDescent="0.3">
      <c r="B9" t="s">
        <v>491</v>
      </c>
      <c r="C9">
        <v>540776</v>
      </c>
      <c r="D9" t="s">
        <v>492</v>
      </c>
      <c r="E9" t="s">
        <v>479</v>
      </c>
    </row>
    <row r="10" spans="2:5" x14ac:dyDescent="0.3">
      <c r="B10" t="s">
        <v>493</v>
      </c>
      <c r="C10">
        <v>526881</v>
      </c>
      <c r="D10" t="s">
        <v>494</v>
      </c>
      <c r="E10" t="s">
        <v>482</v>
      </c>
    </row>
    <row r="11" spans="2:5" x14ac:dyDescent="0.3">
      <c r="B11" t="s">
        <v>495</v>
      </c>
      <c r="C11">
        <v>540615</v>
      </c>
      <c r="D11" t="s">
        <v>496</v>
      </c>
      <c r="E11" t="s">
        <v>497</v>
      </c>
    </row>
    <row r="12" spans="2:5" x14ac:dyDescent="0.3">
      <c r="B12" t="s">
        <v>498</v>
      </c>
      <c r="C12">
        <v>540874</v>
      </c>
      <c r="D12" t="s">
        <v>496</v>
      </c>
      <c r="E12" t="s">
        <v>499</v>
      </c>
    </row>
    <row r="13" spans="2:5" x14ac:dyDescent="0.3">
      <c r="B13" t="s">
        <v>500</v>
      </c>
      <c r="C13">
        <v>512161</v>
      </c>
      <c r="D13" t="s">
        <v>501</v>
      </c>
      <c r="E13" t="s">
        <v>502</v>
      </c>
    </row>
    <row r="14" spans="2:5" x14ac:dyDescent="0.3">
      <c r="B14" t="s">
        <v>503</v>
      </c>
      <c r="C14">
        <v>540697</v>
      </c>
      <c r="D14" t="s">
        <v>496</v>
      </c>
      <c r="E14" t="s">
        <v>504</v>
      </c>
    </row>
    <row r="15" spans="2:5" x14ac:dyDescent="0.3">
      <c r="B15" t="s">
        <v>505</v>
      </c>
      <c r="C15" t="s">
        <v>496</v>
      </c>
      <c r="D15" t="s">
        <v>506</v>
      </c>
      <c r="E15" t="s">
        <v>507</v>
      </c>
    </row>
    <row r="16" spans="2:5" x14ac:dyDescent="0.3">
      <c r="B16" t="s">
        <v>508</v>
      </c>
      <c r="C16">
        <v>539620</v>
      </c>
      <c r="D16" t="s">
        <v>496</v>
      </c>
      <c r="E16" t="s">
        <v>509</v>
      </c>
    </row>
    <row r="17" spans="2:5" x14ac:dyDescent="0.3">
      <c r="B17" t="s">
        <v>510</v>
      </c>
      <c r="C17">
        <v>539300</v>
      </c>
      <c r="D17" t="s">
        <v>496</v>
      </c>
      <c r="E17" t="s">
        <v>511</v>
      </c>
    </row>
    <row r="18" spans="2:5" x14ac:dyDescent="0.3">
      <c r="B18" t="s">
        <v>512</v>
      </c>
      <c r="C18">
        <v>530499</v>
      </c>
      <c r="D18" t="s">
        <v>496</v>
      </c>
      <c r="E18" t="s">
        <v>513</v>
      </c>
    </row>
    <row r="19" spans="2:5" x14ac:dyDescent="0.3">
      <c r="B19" t="s">
        <v>514</v>
      </c>
      <c r="C19">
        <v>538351</v>
      </c>
      <c r="D19" t="s">
        <v>515</v>
      </c>
      <c r="E19" t="s">
        <v>516</v>
      </c>
    </row>
    <row r="20" spans="2:5" x14ac:dyDescent="0.3">
      <c r="B20" t="s">
        <v>517</v>
      </c>
      <c r="C20">
        <v>542012</v>
      </c>
      <c r="D20" t="s">
        <v>496</v>
      </c>
      <c r="E20" t="s">
        <v>518</v>
      </c>
    </row>
    <row r="21" spans="2:5" x14ac:dyDescent="0.3">
      <c r="B21" t="s">
        <v>519</v>
      </c>
      <c r="C21">
        <v>533292</v>
      </c>
      <c r="D21" t="s">
        <v>520</v>
      </c>
      <c r="E21" t="s">
        <v>521</v>
      </c>
    </row>
    <row r="22" spans="2:5" x14ac:dyDescent="0.3">
      <c r="B22" t="s">
        <v>522</v>
      </c>
      <c r="C22">
        <v>531611</v>
      </c>
      <c r="D22" t="s">
        <v>496</v>
      </c>
      <c r="E22" t="s">
        <v>513</v>
      </c>
    </row>
    <row r="23" spans="2:5" x14ac:dyDescent="0.3">
      <c r="B23" t="s">
        <v>523</v>
      </c>
      <c r="C23">
        <v>531611</v>
      </c>
      <c r="D23" t="s">
        <v>496</v>
      </c>
      <c r="E23" t="s">
        <v>513</v>
      </c>
    </row>
    <row r="24" spans="2:5" x14ac:dyDescent="0.3">
      <c r="B24" t="s">
        <v>524</v>
      </c>
      <c r="C24" t="s">
        <v>496</v>
      </c>
      <c r="D24" t="s">
        <v>525</v>
      </c>
      <c r="E24" t="s">
        <v>507</v>
      </c>
    </row>
    <row r="25" spans="2:5" x14ac:dyDescent="0.3">
      <c r="B25" t="s">
        <v>526</v>
      </c>
      <c r="C25">
        <v>539096</v>
      </c>
      <c r="D25" t="s">
        <v>496</v>
      </c>
      <c r="E25" t="s">
        <v>511</v>
      </c>
    </row>
    <row r="26" spans="2:5" x14ac:dyDescent="0.3">
      <c r="B26" t="s">
        <v>527</v>
      </c>
      <c r="C26">
        <v>538812</v>
      </c>
      <c r="D26" t="s">
        <v>496</v>
      </c>
      <c r="E26" t="s">
        <v>528</v>
      </c>
    </row>
    <row r="27" spans="2:5" x14ac:dyDescent="0.3">
      <c r="B27" t="s">
        <v>529</v>
      </c>
      <c r="C27">
        <v>539632</v>
      </c>
      <c r="D27" t="s">
        <v>496</v>
      </c>
      <c r="E27" t="s">
        <v>530</v>
      </c>
    </row>
    <row r="28" spans="2:5" x14ac:dyDescent="0.3">
      <c r="B28" t="s">
        <v>531</v>
      </c>
      <c r="C28">
        <v>542377</v>
      </c>
      <c r="D28" t="s">
        <v>532</v>
      </c>
      <c r="E28" t="s">
        <v>513</v>
      </c>
    </row>
    <row r="29" spans="2:5" x14ac:dyDescent="0.3">
      <c r="B29" t="s">
        <v>533</v>
      </c>
      <c r="C29">
        <v>524412</v>
      </c>
      <c r="D29" t="s">
        <v>496</v>
      </c>
      <c r="E29" t="s">
        <v>534</v>
      </c>
    </row>
    <row r="30" spans="2:5" x14ac:dyDescent="0.3">
      <c r="B30" t="s">
        <v>535</v>
      </c>
      <c r="C30" t="s">
        <v>496</v>
      </c>
      <c r="D30" t="s">
        <v>536</v>
      </c>
      <c r="E30" t="s">
        <v>507</v>
      </c>
    </row>
    <row r="31" spans="2:5" x14ac:dyDescent="0.3">
      <c r="B31" t="s">
        <v>537</v>
      </c>
      <c r="C31">
        <v>542580</v>
      </c>
      <c r="D31" t="s">
        <v>538</v>
      </c>
      <c r="E31" t="s">
        <v>539</v>
      </c>
    </row>
    <row r="32" spans="2:5" x14ac:dyDescent="0.3">
      <c r="B32" t="s">
        <v>540</v>
      </c>
      <c r="C32">
        <v>524348</v>
      </c>
      <c r="D32" t="s">
        <v>541</v>
      </c>
      <c r="E32" t="s">
        <v>534</v>
      </c>
    </row>
    <row r="33" spans="2:5" x14ac:dyDescent="0.3">
      <c r="B33" t="s">
        <v>542</v>
      </c>
      <c r="C33">
        <v>524208</v>
      </c>
      <c r="D33" t="s">
        <v>543</v>
      </c>
      <c r="E33" t="s">
        <v>544</v>
      </c>
    </row>
    <row r="34" spans="2:5" x14ac:dyDescent="0.3">
      <c r="B34" t="s">
        <v>545</v>
      </c>
      <c r="C34">
        <v>526488</v>
      </c>
      <c r="D34" t="s">
        <v>496</v>
      </c>
      <c r="E34" t="s">
        <v>511</v>
      </c>
    </row>
    <row r="35" spans="2:5" x14ac:dyDescent="0.3">
      <c r="B35" t="s">
        <v>546</v>
      </c>
      <c r="C35">
        <v>514274</v>
      </c>
      <c r="D35" t="s">
        <v>547</v>
      </c>
      <c r="E35" t="s">
        <v>511</v>
      </c>
    </row>
    <row r="36" spans="2:5" x14ac:dyDescent="0.3">
      <c r="B36" t="s">
        <v>548</v>
      </c>
      <c r="C36" t="s">
        <v>496</v>
      </c>
      <c r="D36" t="s">
        <v>549</v>
      </c>
      <c r="E36" t="s">
        <v>507</v>
      </c>
    </row>
    <row r="37" spans="2:5" x14ac:dyDescent="0.3">
      <c r="B37" t="s">
        <v>550</v>
      </c>
      <c r="C37">
        <v>519319</v>
      </c>
      <c r="D37" t="s">
        <v>496</v>
      </c>
      <c r="E37" t="s">
        <v>502</v>
      </c>
    </row>
    <row r="38" spans="2:5" x14ac:dyDescent="0.3">
      <c r="B38" t="s">
        <v>551</v>
      </c>
      <c r="C38">
        <v>512038</v>
      </c>
      <c r="D38" t="s">
        <v>496</v>
      </c>
      <c r="E38" t="s">
        <v>518</v>
      </c>
    </row>
    <row r="39" spans="2:5" x14ac:dyDescent="0.3">
      <c r="B39" t="s">
        <v>552</v>
      </c>
      <c r="C39">
        <v>541988</v>
      </c>
      <c r="D39" t="s">
        <v>553</v>
      </c>
      <c r="E39" t="s">
        <v>554</v>
      </c>
    </row>
    <row r="40" spans="2:5" x14ac:dyDescent="0.3">
      <c r="B40" t="s">
        <v>555</v>
      </c>
      <c r="C40">
        <v>539528</v>
      </c>
      <c r="D40" t="s">
        <v>496</v>
      </c>
      <c r="E40" t="s">
        <v>556</v>
      </c>
    </row>
    <row r="41" spans="2:5" x14ac:dyDescent="0.3">
      <c r="B41" t="s">
        <v>557</v>
      </c>
      <c r="C41">
        <v>523204</v>
      </c>
      <c r="D41" t="s">
        <v>558</v>
      </c>
      <c r="E41" t="s">
        <v>559</v>
      </c>
    </row>
    <row r="42" spans="2:5" x14ac:dyDescent="0.3">
      <c r="B42" t="s">
        <v>560</v>
      </c>
      <c r="C42">
        <v>512165</v>
      </c>
      <c r="D42" t="s">
        <v>496</v>
      </c>
      <c r="E42" t="s">
        <v>518</v>
      </c>
    </row>
    <row r="43" spans="2:5" x14ac:dyDescent="0.3">
      <c r="B43" t="s">
        <v>561</v>
      </c>
      <c r="C43">
        <v>500002</v>
      </c>
      <c r="D43" t="s">
        <v>562</v>
      </c>
      <c r="E43" t="s">
        <v>539</v>
      </c>
    </row>
    <row r="44" spans="2:5" x14ac:dyDescent="0.3">
      <c r="B44" t="s">
        <v>563</v>
      </c>
      <c r="C44">
        <v>500488</v>
      </c>
      <c r="D44" t="s">
        <v>564</v>
      </c>
      <c r="E44" t="s">
        <v>534</v>
      </c>
    </row>
    <row r="45" spans="2:5" x14ac:dyDescent="0.3">
      <c r="B45" t="s">
        <v>565</v>
      </c>
      <c r="C45">
        <v>500488</v>
      </c>
      <c r="D45" t="s">
        <v>566</v>
      </c>
      <c r="E45" t="s">
        <v>534</v>
      </c>
    </row>
    <row r="46" spans="2:5" x14ac:dyDescent="0.3">
      <c r="B46" t="s">
        <v>567</v>
      </c>
      <c r="C46">
        <v>520123</v>
      </c>
      <c r="D46" t="s">
        <v>496</v>
      </c>
      <c r="E46" t="s">
        <v>568</v>
      </c>
    </row>
    <row r="47" spans="2:5" x14ac:dyDescent="0.3">
      <c r="B47" t="s">
        <v>569</v>
      </c>
      <c r="C47">
        <v>513119</v>
      </c>
      <c r="D47" t="s">
        <v>496</v>
      </c>
      <c r="E47" t="s">
        <v>570</v>
      </c>
    </row>
    <row r="48" spans="2:5" x14ac:dyDescent="0.3">
      <c r="B48" t="s">
        <v>571</v>
      </c>
      <c r="C48">
        <v>520123</v>
      </c>
      <c r="D48" t="s">
        <v>496</v>
      </c>
      <c r="E48" t="s">
        <v>568</v>
      </c>
    </row>
    <row r="49" spans="2:5" x14ac:dyDescent="0.3">
      <c r="B49" t="s">
        <v>572</v>
      </c>
      <c r="C49">
        <v>532682</v>
      </c>
      <c r="D49" t="s">
        <v>573</v>
      </c>
      <c r="E49" t="s">
        <v>574</v>
      </c>
    </row>
    <row r="50" spans="2:5" x14ac:dyDescent="0.3">
      <c r="B50" t="s">
        <v>575</v>
      </c>
      <c r="C50">
        <v>539560</v>
      </c>
      <c r="D50" t="s">
        <v>496</v>
      </c>
      <c r="E50" t="s">
        <v>576</v>
      </c>
    </row>
    <row r="51" spans="2:5" x14ac:dyDescent="0.3">
      <c r="B51" t="s">
        <v>577</v>
      </c>
      <c r="C51">
        <v>532057</v>
      </c>
      <c r="D51" t="s">
        <v>496</v>
      </c>
      <c r="E51" t="s">
        <v>513</v>
      </c>
    </row>
    <row r="52" spans="2:5" x14ac:dyDescent="0.3">
      <c r="B52" t="s">
        <v>578</v>
      </c>
      <c r="C52">
        <v>538952</v>
      </c>
      <c r="D52" t="s">
        <v>496</v>
      </c>
      <c r="E52" t="s">
        <v>513</v>
      </c>
    </row>
    <row r="53" spans="2:5" x14ac:dyDescent="0.3">
      <c r="B53" t="s">
        <v>579</v>
      </c>
      <c r="C53">
        <v>538935</v>
      </c>
      <c r="D53" t="s">
        <v>496</v>
      </c>
      <c r="E53" t="s">
        <v>580</v>
      </c>
    </row>
    <row r="54" spans="2:5" x14ac:dyDescent="0.3">
      <c r="B54" t="s">
        <v>581</v>
      </c>
      <c r="C54">
        <v>539544</v>
      </c>
      <c r="D54" t="s">
        <v>496</v>
      </c>
      <c r="E54" t="s">
        <v>582</v>
      </c>
    </row>
    <row r="55" spans="2:5" x14ac:dyDescent="0.3">
      <c r="B55" t="s">
        <v>583</v>
      </c>
      <c r="C55">
        <v>511756</v>
      </c>
      <c r="D55" t="s">
        <v>496</v>
      </c>
      <c r="E55" t="s">
        <v>513</v>
      </c>
    </row>
    <row r="56" spans="2:5" x14ac:dyDescent="0.3">
      <c r="B56" t="s">
        <v>584</v>
      </c>
      <c r="C56">
        <v>511756</v>
      </c>
      <c r="D56" t="s">
        <v>496</v>
      </c>
      <c r="E56" t="s">
        <v>513</v>
      </c>
    </row>
    <row r="57" spans="2:5" x14ac:dyDescent="0.3">
      <c r="B57" t="s">
        <v>585</v>
      </c>
      <c r="C57" t="s">
        <v>496</v>
      </c>
      <c r="D57" t="s">
        <v>586</v>
      </c>
      <c r="E57" t="s">
        <v>587</v>
      </c>
    </row>
    <row r="58" spans="2:5" x14ac:dyDescent="0.3">
      <c r="B58" t="s">
        <v>588</v>
      </c>
      <c r="C58">
        <v>531161</v>
      </c>
      <c r="D58" t="s">
        <v>496</v>
      </c>
      <c r="E58" t="s">
        <v>589</v>
      </c>
    </row>
    <row r="59" spans="2:5" x14ac:dyDescent="0.3">
      <c r="B59" t="s">
        <v>590</v>
      </c>
      <c r="C59">
        <v>500410</v>
      </c>
      <c r="D59" t="s">
        <v>591</v>
      </c>
      <c r="E59" t="s">
        <v>509</v>
      </c>
    </row>
    <row r="60" spans="2:5" x14ac:dyDescent="0.3">
      <c r="B60" t="s">
        <v>592</v>
      </c>
      <c r="C60">
        <v>517494</v>
      </c>
      <c r="D60" t="s">
        <v>496</v>
      </c>
      <c r="E60" t="s">
        <v>593</v>
      </c>
    </row>
    <row r="61" spans="2:5" x14ac:dyDescent="0.3">
      <c r="B61" t="s">
        <v>594</v>
      </c>
      <c r="C61">
        <v>532268</v>
      </c>
      <c r="D61" t="s">
        <v>595</v>
      </c>
      <c r="E61" t="s">
        <v>482</v>
      </c>
    </row>
    <row r="62" spans="2:5" x14ac:dyDescent="0.3">
      <c r="B62" t="s">
        <v>596</v>
      </c>
      <c r="C62" t="s">
        <v>496</v>
      </c>
      <c r="D62" t="s">
        <v>597</v>
      </c>
      <c r="E62" t="s">
        <v>507</v>
      </c>
    </row>
    <row r="63" spans="2:5" x14ac:dyDescent="0.3">
      <c r="B63" t="s">
        <v>598</v>
      </c>
      <c r="C63" t="s">
        <v>496</v>
      </c>
      <c r="D63" t="s">
        <v>599</v>
      </c>
      <c r="E63" t="s">
        <v>507</v>
      </c>
    </row>
    <row r="64" spans="2:5" x14ac:dyDescent="0.3">
      <c r="B64" t="s">
        <v>600</v>
      </c>
      <c r="C64">
        <v>530093</v>
      </c>
      <c r="D64" t="s">
        <v>496</v>
      </c>
      <c r="E64" t="s">
        <v>601</v>
      </c>
    </row>
    <row r="65" spans="2:5" x14ac:dyDescent="0.3">
      <c r="B65" t="s">
        <v>602</v>
      </c>
      <c r="C65" t="s">
        <v>496</v>
      </c>
      <c r="D65" t="s">
        <v>603</v>
      </c>
      <c r="E65" t="s">
        <v>507</v>
      </c>
    </row>
    <row r="66" spans="2:5" x14ac:dyDescent="0.3">
      <c r="B66" t="s">
        <v>604</v>
      </c>
      <c r="C66">
        <v>539661</v>
      </c>
      <c r="D66" t="s">
        <v>496</v>
      </c>
      <c r="E66" t="s">
        <v>530</v>
      </c>
    </row>
    <row r="67" spans="2:5" x14ac:dyDescent="0.3">
      <c r="B67" t="s">
        <v>605</v>
      </c>
      <c r="C67">
        <v>531525</v>
      </c>
      <c r="D67" t="s">
        <v>496</v>
      </c>
      <c r="E67" t="s">
        <v>589</v>
      </c>
    </row>
    <row r="68" spans="2:5" x14ac:dyDescent="0.3">
      <c r="B68" t="s">
        <v>606</v>
      </c>
      <c r="C68">
        <v>538570</v>
      </c>
      <c r="D68" t="s">
        <v>607</v>
      </c>
      <c r="E68" t="s">
        <v>479</v>
      </c>
    </row>
    <row r="69" spans="2:5" x14ac:dyDescent="0.3">
      <c r="B69" t="s">
        <v>608</v>
      </c>
      <c r="C69">
        <v>517356</v>
      </c>
      <c r="D69" t="s">
        <v>496</v>
      </c>
      <c r="E69" t="s">
        <v>593</v>
      </c>
    </row>
    <row r="70" spans="2:5" x14ac:dyDescent="0.3">
      <c r="B70" t="s">
        <v>609</v>
      </c>
      <c r="C70">
        <v>530043</v>
      </c>
      <c r="D70" t="s">
        <v>496</v>
      </c>
      <c r="E70" t="s">
        <v>610</v>
      </c>
    </row>
    <row r="71" spans="2:5" x14ac:dyDescent="0.3">
      <c r="B71" t="s">
        <v>611</v>
      </c>
      <c r="C71">
        <v>539391</v>
      </c>
      <c r="D71" t="s">
        <v>496</v>
      </c>
      <c r="E71" t="s">
        <v>513</v>
      </c>
    </row>
    <row r="72" spans="2:5" x14ac:dyDescent="0.3">
      <c r="B72" t="s">
        <v>612</v>
      </c>
      <c r="C72">
        <v>513149</v>
      </c>
      <c r="D72" t="s">
        <v>613</v>
      </c>
      <c r="E72" t="s">
        <v>614</v>
      </c>
    </row>
    <row r="73" spans="2:5" x14ac:dyDescent="0.3">
      <c r="B73" t="s">
        <v>615</v>
      </c>
      <c r="C73">
        <v>524091</v>
      </c>
      <c r="D73" t="s">
        <v>496</v>
      </c>
      <c r="E73" t="s">
        <v>616</v>
      </c>
    </row>
    <row r="74" spans="2:5" x14ac:dyDescent="0.3">
      <c r="B74" t="s">
        <v>617</v>
      </c>
      <c r="C74">
        <v>532762</v>
      </c>
      <c r="D74" t="s">
        <v>618</v>
      </c>
      <c r="E74" t="s">
        <v>619</v>
      </c>
    </row>
    <row r="75" spans="2:5" x14ac:dyDescent="0.3">
      <c r="B75" t="s">
        <v>620</v>
      </c>
      <c r="C75">
        <v>511706</v>
      </c>
      <c r="D75" t="s">
        <v>496</v>
      </c>
      <c r="E75" t="s">
        <v>479</v>
      </c>
    </row>
    <row r="76" spans="2:5" x14ac:dyDescent="0.3">
      <c r="B76" t="s">
        <v>621</v>
      </c>
      <c r="C76">
        <v>511706</v>
      </c>
      <c r="D76" t="s">
        <v>496</v>
      </c>
      <c r="E76" t="s">
        <v>479</v>
      </c>
    </row>
    <row r="77" spans="2:5" x14ac:dyDescent="0.3">
      <c r="B77" t="s">
        <v>622</v>
      </c>
      <c r="C77">
        <v>541144</v>
      </c>
      <c r="D77" t="s">
        <v>496</v>
      </c>
      <c r="E77" t="s">
        <v>610</v>
      </c>
    </row>
    <row r="78" spans="2:5" x14ac:dyDescent="0.3">
      <c r="B78" t="s">
        <v>623</v>
      </c>
      <c r="C78">
        <v>512599</v>
      </c>
      <c r="D78" t="s">
        <v>624</v>
      </c>
      <c r="E78" t="s">
        <v>518</v>
      </c>
    </row>
    <row r="79" spans="2:5" x14ac:dyDescent="0.3">
      <c r="B79" t="s">
        <v>625</v>
      </c>
      <c r="C79">
        <v>542066</v>
      </c>
      <c r="D79" t="s">
        <v>626</v>
      </c>
      <c r="E79" t="s">
        <v>627</v>
      </c>
    </row>
    <row r="80" spans="2:5" x14ac:dyDescent="0.3">
      <c r="B80" t="s">
        <v>628</v>
      </c>
      <c r="C80">
        <v>541450</v>
      </c>
      <c r="D80" t="s">
        <v>629</v>
      </c>
      <c r="E80" t="s">
        <v>539</v>
      </c>
    </row>
    <row r="81" spans="2:5" x14ac:dyDescent="0.3">
      <c r="B81" t="s">
        <v>630</v>
      </c>
      <c r="C81">
        <v>532921</v>
      </c>
      <c r="D81" t="s">
        <v>631</v>
      </c>
      <c r="E81" t="s">
        <v>632</v>
      </c>
    </row>
    <row r="82" spans="2:5" x14ac:dyDescent="0.3">
      <c r="B82" t="s">
        <v>633</v>
      </c>
      <c r="C82">
        <v>533096</v>
      </c>
      <c r="D82" t="s">
        <v>634</v>
      </c>
      <c r="E82" t="s">
        <v>635</v>
      </c>
    </row>
    <row r="83" spans="2:5" x14ac:dyDescent="0.3">
      <c r="B83" t="s">
        <v>636</v>
      </c>
      <c r="C83">
        <v>539254</v>
      </c>
      <c r="D83" t="s">
        <v>637</v>
      </c>
      <c r="E83" t="s">
        <v>635</v>
      </c>
    </row>
    <row r="84" spans="2:5" x14ac:dyDescent="0.3">
      <c r="B84" t="s">
        <v>638</v>
      </c>
      <c r="C84">
        <v>538563</v>
      </c>
      <c r="D84" t="s">
        <v>496</v>
      </c>
      <c r="E84" t="s">
        <v>518</v>
      </c>
    </row>
    <row r="85" spans="2:5" x14ac:dyDescent="0.3">
      <c r="B85" t="s">
        <v>639</v>
      </c>
      <c r="C85">
        <v>526711</v>
      </c>
      <c r="D85" t="s">
        <v>496</v>
      </c>
      <c r="E85" t="s">
        <v>640</v>
      </c>
    </row>
    <row r="86" spans="2:5" x14ac:dyDescent="0.3">
      <c r="B86" t="s">
        <v>641</v>
      </c>
      <c r="C86">
        <v>523411</v>
      </c>
      <c r="D86" t="s">
        <v>496</v>
      </c>
      <c r="E86" t="s">
        <v>642</v>
      </c>
    </row>
    <row r="87" spans="2:5" x14ac:dyDescent="0.3">
      <c r="B87" t="s">
        <v>643</v>
      </c>
      <c r="C87">
        <v>539506</v>
      </c>
      <c r="D87" t="s">
        <v>496</v>
      </c>
      <c r="E87" t="s">
        <v>513</v>
      </c>
    </row>
    <row r="88" spans="2:5" x14ac:dyDescent="0.3">
      <c r="B88" t="s">
        <v>644</v>
      </c>
      <c r="C88">
        <v>507852</v>
      </c>
      <c r="D88" t="s">
        <v>496</v>
      </c>
      <c r="E88" t="s">
        <v>610</v>
      </c>
    </row>
    <row r="89" spans="2:5" x14ac:dyDescent="0.3">
      <c r="B89" t="s">
        <v>645</v>
      </c>
      <c r="C89">
        <v>541865</v>
      </c>
      <c r="D89" t="s">
        <v>496</v>
      </c>
      <c r="E89" t="s">
        <v>530</v>
      </c>
    </row>
    <row r="90" spans="2:5" x14ac:dyDescent="0.3">
      <c r="B90" t="s">
        <v>646</v>
      </c>
      <c r="C90">
        <v>519183</v>
      </c>
      <c r="D90" t="s">
        <v>647</v>
      </c>
      <c r="E90" t="s">
        <v>556</v>
      </c>
    </row>
    <row r="91" spans="2:5" x14ac:dyDescent="0.3">
      <c r="B91" t="s">
        <v>648</v>
      </c>
      <c r="C91">
        <v>539493</v>
      </c>
      <c r="D91" t="s">
        <v>496</v>
      </c>
      <c r="E91" t="s">
        <v>513</v>
      </c>
    </row>
    <row r="92" spans="2:5" x14ac:dyDescent="0.3">
      <c r="B92" t="s">
        <v>649</v>
      </c>
      <c r="C92">
        <v>539189</v>
      </c>
      <c r="D92" t="s">
        <v>496</v>
      </c>
      <c r="E92" t="s">
        <v>582</v>
      </c>
    </row>
    <row r="93" spans="2:5" x14ac:dyDescent="0.3">
      <c r="B93" t="s">
        <v>650</v>
      </c>
      <c r="C93">
        <v>780018</v>
      </c>
      <c r="D93" t="s">
        <v>496</v>
      </c>
      <c r="E93" t="s">
        <v>587</v>
      </c>
    </row>
    <row r="94" spans="2:5" x14ac:dyDescent="0.3">
      <c r="B94" t="s">
        <v>651</v>
      </c>
      <c r="C94">
        <v>538365</v>
      </c>
      <c r="D94" t="s">
        <v>652</v>
      </c>
      <c r="E94" t="s">
        <v>528</v>
      </c>
    </row>
    <row r="95" spans="2:5" x14ac:dyDescent="0.3">
      <c r="B95" t="s">
        <v>653</v>
      </c>
      <c r="C95">
        <v>532727</v>
      </c>
      <c r="D95" t="s">
        <v>654</v>
      </c>
      <c r="E95" t="s">
        <v>528</v>
      </c>
    </row>
    <row r="96" spans="2:5" x14ac:dyDescent="0.3">
      <c r="B96" t="s">
        <v>655</v>
      </c>
      <c r="C96">
        <v>531592</v>
      </c>
      <c r="D96" t="s">
        <v>496</v>
      </c>
      <c r="E96" t="s">
        <v>656</v>
      </c>
    </row>
    <row r="97" spans="2:5" x14ac:dyDescent="0.3">
      <c r="B97" t="s">
        <v>657</v>
      </c>
      <c r="C97">
        <v>532056</v>
      </c>
      <c r="D97" t="s">
        <v>496</v>
      </c>
      <c r="E97" t="s">
        <v>516</v>
      </c>
    </row>
    <row r="98" spans="2:5" x14ac:dyDescent="0.3">
      <c r="B98" t="s">
        <v>658</v>
      </c>
      <c r="C98">
        <v>514113</v>
      </c>
      <c r="D98" t="s">
        <v>496</v>
      </c>
      <c r="E98" t="s">
        <v>511</v>
      </c>
    </row>
    <row r="99" spans="2:5" x14ac:dyDescent="0.3">
      <c r="B99" t="s">
        <v>659</v>
      </c>
      <c r="C99">
        <v>534707</v>
      </c>
      <c r="D99" t="s">
        <v>496</v>
      </c>
      <c r="E99" t="s">
        <v>610</v>
      </c>
    </row>
    <row r="100" spans="2:5" x14ac:dyDescent="0.3">
      <c r="B100" t="s">
        <v>660</v>
      </c>
      <c r="C100">
        <v>540691</v>
      </c>
      <c r="D100" t="s">
        <v>661</v>
      </c>
      <c r="E100" t="s">
        <v>662</v>
      </c>
    </row>
    <row r="101" spans="2:5" x14ac:dyDescent="0.3">
      <c r="B101" t="s">
        <v>663</v>
      </c>
      <c r="C101">
        <v>535755</v>
      </c>
      <c r="D101" t="s">
        <v>664</v>
      </c>
      <c r="E101" t="s">
        <v>665</v>
      </c>
    </row>
    <row r="102" spans="2:5" x14ac:dyDescent="0.3">
      <c r="B102" t="s">
        <v>666</v>
      </c>
      <c r="C102">
        <v>532974</v>
      </c>
      <c r="D102" t="s">
        <v>667</v>
      </c>
      <c r="E102" t="s">
        <v>479</v>
      </c>
    </row>
    <row r="103" spans="2:5" x14ac:dyDescent="0.3">
      <c r="B103" t="s">
        <v>668</v>
      </c>
      <c r="C103">
        <v>540146</v>
      </c>
      <c r="D103" t="s">
        <v>496</v>
      </c>
      <c r="E103" t="s">
        <v>530</v>
      </c>
    </row>
    <row r="104" spans="2:5" x14ac:dyDescent="0.3">
      <c r="B104" t="s">
        <v>669</v>
      </c>
      <c r="C104">
        <v>513513</v>
      </c>
      <c r="D104" t="s">
        <v>496</v>
      </c>
      <c r="E104" t="s">
        <v>528</v>
      </c>
    </row>
    <row r="105" spans="2:5" x14ac:dyDescent="0.3">
      <c r="B105" t="s">
        <v>670</v>
      </c>
      <c r="C105">
        <v>521141</v>
      </c>
      <c r="D105" t="s">
        <v>496</v>
      </c>
      <c r="E105" t="s">
        <v>511</v>
      </c>
    </row>
    <row r="106" spans="2:5" x14ac:dyDescent="0.3">
      <c r="B106" t="s">
        <v>671</v>
      </c>
      <c r="C106">
        <v>540205</v>
      </c>
      <c r="D106" t="s">
        <v>496</v>
      </c>
      <c r="E106" t="s">
        <v>518</v>
      </c>
    </row>
    <row r="107" spans="2:5" x14ac:dyDescent="0.3">
      <c r="B107" t="s">
        <v>672</v>
      </c>
      <c r="C107">
        <v>539056</v>
      </c>
      <c r="D107" t="s">
        <v>673</v>
      </c>
      <c r="E107" t="s">
        <v>674</v>
      </c>
    </row>
    <row r="108" spans="2:5" x14ac:dyDescent="0.3">
      <c r="B108" t="s">
        <v>675</v>
      </c>
      <c r="C108">
        <v>511359</v>
      </c>
      <c r="D108" t="s">
        <v>496</v>
      </c>
      <c r="E108" t="s">
        <v>513</v>
      </c>
    </row>
    <row r="109" spans="2:5" x14ac:dyDescent="0.3">
      <c r="B109" t="s">
        <v>676</v>
      </c>
      <c r="C109">
        <v>530431</v>
      </c>
      <c r="D109" t="s">
        <v>496</v>
      </c>
      <c r="E109" t="s">
        <v>518</v>
      </c>
    </row>
    <row r="110" spans="2:5" x14ac:dyDescent="0.3">
      <c r="B110" t="s">
        <v>677</v>
      </c>
      <c r="C110">
        <v>523120</v>
      </c>
      <c r="D110" t="s">
        <v>496</v>
      </c>
      <c r="E110" t="s">
        <v>678</v>
      </c>
    </row>
    <row r="111" spans="2:5" x14ac:dyDescent="0.3">
      <c r="B111" t="s">
        <v>679</v>
      </c>
      <c r="C111">
        <v>517041</v>
      </c>
      <c r="D111" t="s">
        <v>680</v>
      </c>
      <c r="E111" t="s">
        <v>681</v>
      </c>
    </row>
    <row r="112" spans="2:5" x14ac:dyDescent="0.3">
      <c r="B112" t="s">
        <v>682</v>
      </c>
      <c r="C112">
        <v>532172</v>
      </c>
      <c r="D112" t="s">
        <v>683</v>
      </c>
      <c r="E112" t="s">
        <v>482</v>
      </c>
    </row>
    <row r="113" spans="2:5" x14ac:dyDescent="0.3">
      <c r="B113" t="s">
        <v>684</v>
      </c>
      <c r="C113">
        <v>523031</v>
      </c>
      <c r="D113" t="s">
        <v>496</v>
      </c>
      <c r="E113" t="s">
        <v>685</v>
      </c>
    </row>
    <row r="114" spans="2:5" x14ac:dyDescent="0.3">
      <c r="B114" t="s">
        <v>686</v>
      </c>
      <c r="C114">
        <v>521048</v>
      </c>
      <c r="D114" t="s">
        <v>496</v>
      </c>
      <c r="E114" t="s">
        <v>511</v>
      </c>
    </row>
    <row r="115" spans="2:5" x14ac:dyDescent="0.3">
      <c r="B115" t="s">
        <v>687</v>
      </c>
      <c r="C115">
        <v>534612</v>
      </c>
      <c r="D115" t="s">
        <v>496</v>
      </c>
      <c r="E115" t="s">
        <v>635</v>
      </c>
    </row>
    <row r="116" spans="2:5" x14ac:dyDescent="0.3">
      <c r="B116" t="s">
        <v>688</v>
      </c>
      <c r="C116">
        <v>506947</v>
      </c>
      <c r="D116" t="s">
        <v>496</v>
      </c>
      <c r="E116" t="s">
        <v>544</v>
      </c>
    </row>
    <row r="117" spans="2:5" x14ac:dyDescent="0.3">
      <c r="B117" t="s">
        <v>689</v>
      </c>
      <c r="C117">
        <v>531047</v>
      </c>
      <c r="D117" t="s">
        <v>496</v>
      </c>
      <c r="E117" t="s">
        <v>513</v>
      </c>
    </row>
    <row r="118" spans="2:5" x14ac:dyDescent="0.3">
      <c r="B118" t="s">
        <v>690</v>
      </c>
      <c r="C118">
        <v>539982</v>
      </c>
      <c r="D118" t="s">
        <v>496</v>
      </c>
      <c r="E118" t="s">
        <v>691</v>
      </c>
    </row>
    <row r="119" spans="2:5" x14ac:dyDescent="0.3">
      <c r="B119" t="s">
        <v>692</v>
      </c>
      <c r="C119">
        <v>540025</v>
      </c>
      <c r="D119" t="s">
        <v>693</v>
      </c>
      <c r="E119" t="s">
        <v>694</v>
      </c>
    </row>
    <row r="120" spans="2:5" x14ac:dyDescent="0.3">
      <c r="B120" t="s">
        <v>695</v>
      </c>
      <c r="C120">
        <v>523269</v>
      </c>
      <c r="D120" t="s">
        <v>696</v>
      </c>
      <c r="E120" t="s">
        <v>697</v>
      </c>
    </row>
    <row r="121" spans="2:5" x14ac:dyDescent="0.3">
      <c r="B121" t="s">
        <v>698</v>
      </c>
      <c r="C121">
        <v>523269</v>
      </c>
      <c r="D121" t="s">
        <v>696</v>
      </c>
      <c r="E121" t="s">
        <v>697</v>
      </c>
    </row>
    <row r="122" spans="2:5" x14ac:dyDescent="0.3">
      <c r="B122" t="s">
        <v>699</v>
      </c>
      <c r="C122">
        <v>531429</v>
      </c>
      <c r="D122" t="s">
        <v>496</v>
      </c>
      <c r="E122" t="s">
        <v>589</v>
      </c>
    </row>
    <row r="123" spans="2:5" x14ac:dyDescent="0.3">
      <c r="B123" t="s">
        <v>700</v>
      </c>
      <c r="C123">
        <v>539773</v>
      </c>
      <c r="D123" t="s">
        <v>496</v>
      </c>
      <c r="E123" t="s">
        <v>513</v>
      </c>
    </row>
    <row r="124" spans="2:5" x14ac:dyDescent="0.3">
      <c r="B124" t="s">
        <v>701</v>
      </c>
      <c r="C124">
        <v>531686</v>
      </c>
      <c r="D124" t="s">
        <v>496</v>
      </c>
      <c r="E124" t="s">
        <v>534</v>
      </c>
    </row>
    <row r="125" spans="2:5" x14ac:dyDescent="0.3">
      <c r="B125" t="s">
        <v>702</v>
      </c>
      <c r="C125">
        <v>541152</v>
      </c>
      <c r="D125" t="s">
        <v>496</v>
      </c>
      <c r="E125" t="s">
        <v>518</v>
      </c>
    </row>
    <row r="126" spans="2:5" x14ac:dyDescent="0.3">
      <c r="B126" t="s">
        <v>703</v>
      </c>
      <c r="C126">
        <v>541152</v>
      </c>
      <c r="D126" t="s">
        <v>496</v>
      </c>
      <c r="E126" t="s">
        <v>518</v>
      </c>
    </row>
    <row r="127" spans="2:5" x14ac:dyDescent="0.3">
      <c r="B127" t="s">
        <v>704</v>
      </c>
      <c r="C127">
        <v>500003</v>
      </c>
      <c r="D127" t="s">
        <v>705</v>
      </c>
      <c r="E127" t="s">
        <v>706</v>
      </c>
    </row>
    <row r="128" spans="2:5" x14ac:dyDescent="0.3">
      <c r="B128" t="s">
        <v>707</v>
      </c>
      <c r="C128">
        <v>541402</v>
      </c>
      <c r="D128" t="s">
        <v>496</v>
      </c>
      <c r="E128" t="s">
        <v>504</v>
      </c>
    </row>
    <row r="129" spans="2:5" x14ac:dyDescent="0.3">
      <c r="B129" t="s">
        <v>708</v>
      </c>
      <c r="C129">
        <v>531921</v>
      </c>
      <c r="D129" t="s">
        <v>709</v>
      </c>
      <c r="E129" t="s">
        <v>710</v>
      </c>
    </row>
    <row r="130" spans="2:5" x14ac:dyDescent="0.3">
      <c r="B130" t="s">
        <v>711</v>
      </c>
      <c r="C130">
        <v>500463</v>
      </c>
      <c r="D130" t="s">
        <v>712</v>
      </c>
      <c r="E130" t="s">
        <v>482</v>
      </c>
    </row>
    <row r="131" spans="2:5" x14ac:dyDescent="0.3">
      <c r="B131" t="s">
        <v>713</v>
      </c>
      <c r="C131">
        <v>539042</v>
      </c>
      <c r="D131" t="s">
        <v>496</v>
      </c>
      <c r="E131" t="s">
        <v>582</v>
      </c>
    </row>
    <row r="132" spans="2:5" x14ac:dyDescent="0.3">
      <c r="B132" t="s">
        <v>714</v>
      </c>
      <c r="C132">
        <v>516020</v>
      </c>
      <c r="D132" t="s">
        <v>496</v>
      </c>
      <c r="E132" t="s">
        <v>490</v>
      </c>
    </row>
    <row r="133" spans="2:5" x14ac:dyDescent="0.3">
      <c r="B133" t="s">
        <v>715</v>
      </c>
      <c r="C133">
        <v>537492</v>
      </c>
      <c r="D133" t="s">
        <v>496</v>
      </c>
      <c r="E133" t="s">
        <v>518</v>
      </c>
    </row>
    <row r="134" spans="2:5" x14ac:dyDescent="0.3">
      <c r="B134" t="s">
        <v>716</v>
      </c>
      <c r="C134">
        <v>537292</v>
      </c>
      <c r="D134" t="s">
        <v>717</v>
      </c>
      <c r="E134" t="s">
        <v>694</v>
      </c>
    </row>
    <row r="135" spans="2:5" x14ac:dyDescent="0.3">
      <c r="B135" t="s">
        <v>718</v>
      </c>
      <c r="C135">
        <v>537292</v>
      </c>
      <c r="D135" t="s">
        <v>717</v>
      </c>
      <c r="E135" t="s">
        <v>694</v>
      </c>
    </row>
    <row r="136" spans="2:5" x14ac:dyDescent="0.3">
      <c r="B136" t="s">
        <v>719</v>
      </c>
      <c r="C136" t="s">
        <v>496</v>
      </c>
      <c r="D136" t="s">
        <v>720</v>
      </c>
      <c r="E136" t="s">
        <v>507</v>
      </c>
    </row>
    <row r="137" spans="2:5" x14ac:dyDescent="0.3">
      <c r="B137" t="s">
        <v>721</v>
      </c>
      <c r="C137" t="s">
        <v>496</v>
      </c>
      <c r="D137" t="s">
        <v>720</v>
      </c>
      <c r="E137" t="s">
        <v>507</v>
      </c>
    </row>
    <row r="138" spans="2:5" x14ac:dyDescent="0.3">
      <c r="B138" t="s">
        <v>722</v>
      </c>
      <c r="C138">
        <v>500215</v>
      </c>
      <c r="D138" t="s">
        <v>723</v>
      </c>
      <c r="E138" t="s">
        <v>694</v>
      </c>
    </row>
    <row r="139" spans="2:5" x14ac:dyDescent="0.3">
      <c r="B139" t="s">
        <v>724</v>
      </c>
      <c r="C139" t="s">
        <v>496</v>
      </c>
      <c r="D139" t="s">
        <v>725</v>
      </c>
      <c r="E139" t="s">
        <v>507</v>
      </c>
    </row>
    <row r="140" spans="2:5" x14ac:dyDescent="0.3">
      <c r="B140" t="s">
        <v>726</v>
      </c>
      <c r="C140" t="s">
        <v>496</v>
      </c>
      <c r="D140" t="s">
        <v>727</v>
      </c>
      <c r="E140" t="s">
        <v>507</v>
      </c>
    </row>
    <row r="141" spans="2:5" x14ac:dyDescent="0.3">
      <c r="B141" t="s">
        <v>728</v>
      </c>
      <c r="C141">
        <v>532811</v>
      </c>
      <c r="D141" t="s">
        <v>729</v>
      </c>
      <c r="E141" t="s">
        <v>582</v>
      </c>
    </row>
    <row r="142" spans="2:5" x14ac:dyDescent="0.3">
      <c r="B142" t="s">
        <v>730</v>
      </c>
      <c r="C142">
        <v>532811</v>
      </c>
      <c r="D142" t="s">
        <v>729</v>
      </c>
      <c r="E142" t="s">
        <v>582</v>
      </c>
    </row>
    <row r="143" spans="2:5" x14ac:dyDescent="0.3">
      <c r="B143" t="s">
        <v>731</v>
      </c>
      <c r="C143">
        <v>522273</v>
      </c>
      <c r="D143" t="s">
        <v>496</v>
      </c>
      <c r="E143" t="s">
        <v>528</v>
      </c>
    </row>
    <row r="144" spans="2:5" x14ac:dyDescent="0.3">
      <c r="B144" t="s">
        <v>732</v>
      </c>
      <c r="C144">
        <v>532806</v>
      </c>
      <c r="D144" t="s">
        <v>496</v>
      </c>
      <c r="E144" t="s">
        <v>733</v>
      </c>
    </row>
    <row r="145" spans="2:5" x14ac:dyDescent="0.3">
      <c r="B145" t="s">
        <v>734</v>
      </c>
      <c r="C145">
        <v>532683</v>
      </c>
      <c r="D145" t="s">
        <v>735</v>
      </c>
      <c r="E145" t="s">
        <v>681</v>
      </c>
    </row>
    <row r="146" spans="2:5" x14ac:dyDescent="0.3">
      <c r="B146" t="s">
        <v>736</v>
      </c>
      <c r="C146">
        <v>524288</v>
      </c>
      <c r="D146" t="s">
        <v>496</v>
      </c>
      <c r="E146" t="s">
        <v>640</v>
      </c>
    </row>
    <row r="147" spans="2:5" x14ac:dyDescent="0.3">
      <c r="B147" t="s">
        <v>737</v>
      </c>
      <c r="C147" t="s">
        <v>496</v>
      </c>
      <c r="D147" t="s">
        <v>738</v>
      </c>
      <c r="E147" t="s">
        <v>507</v>
      </c>
    </row>
    <row r="148" spans="2:5" x14ac:dyDescent="0.3">
      <c r="B148" t="s">
        <v>739</v>
      </c>
      <c r="C148" t="s">
        <v>496</v>
      </c>
      <c r="D148" t="s">
        <v>740</v>
      </c>
      <c r="E148" t="s">
        <v>507</v>
      </c>
    </row>
    <row r="149" spans="2:5" x14ac:dyDescent="0.3">
      <c r="B149" t="s">
        <v>741</v>
      </c>
      <c r="C149">
        <v>532975</v>
      </c>
      <c r="D149" t="s">
        <v>496</v>
      </c>
      <c r="E149" t="s">
        <v>642</v>
      </c>
    </row>
    <row r="150" spans="2:5" x14ac:dyDescent="0.3">
      <c r="B150" t="s">
        <v>742</v>
      </c>
      <c r="C150">
        <v>532331</v>
      </c>
      <c r="D150" t="s">
        <v>743</v>
      </c>
      <c r="E150" t="s">
        <v>534</v>
      </c>
    </row>
    <row r="151" spans="2:5" x14ac:dyDescent="0.3">
      <c r="B151" t="s">
        <v>744</v>
      </c>
      <c r="C151">
        <v>519216</v>
      </c>
      <c r="D151" t="s">
        <v>496</v>
      </c>
      <c r="E151" t="s">
        <v>745</v>
      </c>
    </row>
    <row r="152" spans="2:5" x14ac:dyDescent="0.3">
      <c r="B152" t="s">
        <v>746</v>
      </c>
      <c r="C152">
        <v>511692</v>
      </c>
      <c r="D152" t="s">
        <v>496</v>
      </c>
      <c r="E152" t="s">
        <v>479</v>
      </c>
    </row>
    <row r="153" spans="2:5" x14ac:dyDescent="0.3">
      <c r="B153" t="s">
        <v>747</v>
      </c>
      <c r="C153">
        <v>530713</v>
      </c>
      <c r="D153" t="s">
        <v>496</v>
      </c>
      <c r="E153" t="s">
        <v>482</v>
      </c>
    </row>
    <row r="154" spans="2:5" x14ac:dyDescent="0.3">
      <c r="B154" t="s">
        <v>748</v>
      </c>
      <c r="C154">
        <v>513349</v>
      </c>
      <c r="D154" t="s">
        <v>749</v>
      </c>
      <c r="E154" t="s">
        <v>582</v>
      </c>
    </row>
    <row r="155" spans="2:5" x14ac:dyDescent="0.3">
      <c r="B155" t="s">
        <v>750</v>
      </c>
      <c r="C155">
        <v>513349</v>
      </c>
      <c r="D155" t="s">
        <v>749</v>
      </c>
      <c r="E155" t="s">
        <v>582</v>
      </c>
    </row>
    <row r="156" spans="2:5" x14ac:dyDescent="0.3">
      <c r="B156" t="s">
        <v>751</v>
      </c>
      <c r="C156" t="s">
        <v>496</v>
      </c>
      <c r="D156" t="s">
        <v>752</v>
      </c>
      <c r="E156" t="s">
        <v>507</v>
      </c>
    </row>
    <row r="157" spans="2:5" x14ac:dyDescent="0.3">
      <c r="B157" t="s">
        <v>753</v>
      </c>
      <c r="C157">
        <v>526628</v>
      </c>
      <c r="D157" t="s">
        <v>496</v>
      </c>
      <c r="E157" t="s">
        <v>674</v>
      </c>
    </row>
    <row r="158" spans="2:5" x14ac:dyDescent="0.3">
      <c r="B158" t="s">
        <v>754</v>
      </c>
      <c r="C158">
        <v>530621</v>
      </c>
      <c r="D158" t="s">
        <v>496</v>
      </c>
      <c r="E158" t="s">
        <v>504</v>
      </c>
    </row>
    <row r="159" spans="2:5" x14ac:dyDescent="0.3">
      <c r="B159" t="s">
        <v>755</v>
      </c>
      <c r="C159" t="s">
        <v>496</v>
      </c>
      <c r="D159" t="s">
        <v>756</v>
      </c>
      <c r="E159" t="s">
        <v>507</v>
      </c>
    </row>
    <row r="160" spans="2:5" x14ac:dyDescent="0.3">
      <c r="B160" t="s">
        <v>757</v>
      </c>
      <c r="C160">
        <v>538778</v>
      </c>
      <c r="D160" t="s">
        <v>496</v>
      </c>
      <c r="E160" t="s">
        <v>513</v>
      </c>
    </row>
    <row r="161" spans="2:5" x14ac:dyDescent="0.3">
      <c r="B161" t="s">
        <v>758</v>
      </c>
      <c r="C161" t="s">
        <v>496</v>
      </c>
      <c r="D161" t="s">
        <v>759</v>
      </c>
      <c r="E161" t="s">
        <v>507</v>
      </c>
    </row>
    <row r="162" spans="2:5" x14ac:dyDescent="0.3">
      <c r="B162" t="s">
        <v>760</v>
      </c>
      <c r="C162">
        <v>542020</v>
      </c>
      <c r="D162" t="s">
        <v>496</v>
      </c>
      <c r="E162" t="s">
        <v>610</v>
      </c>
    </row>
    <row r="163" spans="2:5" x14ac:dyDescent="0.3">
      <c r="B163" t="s">
        <v>761</v>
      </c>
      <c r="C163">
        <v>542020</v>
      </c>
      <c r="D163" t="s">
        <v>496</v>
      </c>
      <c r="E163" t="s">
        <v>610</v>
      </c>
    </row>
    <row r="164" spans="2:5" x14ac:dyDescent="0.3">
      <c r="B164" t="s">
        <v>762</v>
      </c>
      <c r="C164">
        <v>540718</v>
      </c>
      <c r="D164" t="s">
        <v>496</v>
      </c>
      <c r="E164" t="s">
        <v>511</v>
      </c>
    </row>
    <row r="165" spans="2:5" x14ac:dyDescent="0.3">
      <c r="B165" t="s">
        <v>763</v>
      </c>
      <c r="C165">
        <v>539017</v>
      </c>
      <c r="D165" t="s">
        <v>496</v>
      </c>
      <c r="E165" t="s">
        <v>554</v>
      </c>
    </row>
    <row r="166" spans="2:5" x14ac:dyDescent="0.3">
      <c r="B166" t="s">
        <v>764</v>
      </c>
      <c r="C166">
        <v>532351</v>
      </c>
      <c r="D166" t="s">
        <v>765</v>
      </c>
      <c r="E166" t="s">
        <v>766</v>
      </c>
    </row>
    <row r="167" spans="2:5" x14ac:dyDescent="0.3">
      <c r="B167" t="s">
        <v>767</v>
      </c>
      <c r="C167">
        <v>541303</v>
      </c>
      <c r="D167" t="s">
        <v>496</v>
      </c>
      <c r="E167" t="s">
        <v>511</v>
      </c>
    </row>
    <row r="168" spans="2:5" x14ac:dyDescent="0.3">
      <c r="B168" t="s">
        <v>768</v>
      </c>
      <c r="C168">
        <v>524598</v>
      </c>
      <c r="D168" t="s">
        <v>769</v>
      </c>
      <c r="E168" t="s">
        <v>656</v>
      </c>
    </row>
    <row r="169" spans="2:5" x14ac:dyDescent="0.3">
      <c r="B169" t="s">
        <v>770</v>
      </c>
      <c r="C169">
        <v>524598</v>
      </c>
      <c r="D169" t="s">
        <v>769</v>
      </c>
      <c r="E169" t="s">
        <v>656</v>
      </c>
    </row>
    <row r="170" spans="2:5" x14ac:dyDescent="0.3">
      <c r="B170" t="s">
        <v>771</v>
      </c>
      <c r="C170">
        <v>500710</v>
      </c>
      <c r="D170" t="s">
        <v>772</v>
      </c>
      <c r="E170" t="s">
        <v>773</v>
      </c>
    </row>
    <row r="171" spans="2:5" x14ac:dyDescent="0.3">
      <c r="B171" t="s">
        <v>774</v>
      </c>
      <c r="C171">
        <v>500710</v>
      </c>
      <c r="D171" t="s">
        <v>775</v>
      </c>
      <c r="E171" t="s">
        <v>773</v>
      </c>
    </row>
    <row r="172" spans="2:5" x14ac:dyDescent="0.3">
      <c r="B172" t="s">
        <v>776</v>
      </c>
      <c r="C172">
        <v>535916</v>
      </c>
      <c r="D172" t="s">
        <v>496</v>
      </c>
      <c r="E172" t="s">
        <v>479</v>
      </c>
    </row>
    <row r="173" spans="2:5" x14ac:dyDescent="0.3">
      <c r="B173" t="s">
        <v>777</v>
      </c>
      <c r="C173">
        <v>539115</v>
      </c>
      <c r="D173" t="s">
        <v>496</v>
      </c>
      <c r="E173" t="s">
        <v>499</v>
      </c>
    </row>
    <row r="174" spans="2:5" x14ac:dyDescent="0.3">
      <c r="B174" t="s">
        <v>778</v>
      </c>
      <c r="C174">
        <v>531082</v>
      </c>
      <c r="D174" t="s">
        <v>779</v>
      </c>
      <c r="E174" t="s">
        <v>479</v>
      </c>
    </row>
    <row r="175" spans="2:5" x14ac:dyDescent="0.3">
      <c r="B175" t="s">
        <v>780</v>
      </c>
      <c r="C175">
        <v>524075</v>
      </c>
      <c r="D175" t="s">
        <v>781</v>
      </c>
      <c r="E175" t="s">
        <v>534</v>
      </c>
    </row>
    <row r="176" spans="2:5" x14ac:dyDescent="0.3">
      <c r="B176" t="s">
        <v>782</v>
      </c>
      <c r="C176">
        <v>531409</v>
      </c>
      <c r="D176" t="s">
        <v>496</v>
      </c>
      <c r="E176" t="s">
        <v>544</v>
      </c>
    </row>
    <row r="177" spans="2:5" x14ac:dyDescent="0.3">
      <c r="B177" t="s">
        <v>783</v>
      </c>
      <c r="C177">
        <v>526707</v>
      </c>
      <c r="D177" t="s">
        <v>784</v>
      </c>
      <c r="E177" t="s">
        <v>518</v>
      </c>
    </row>
    <row r="178" spans="2:5" x14ac:dyDescent="0.3">
      <c r="B178" t="s">
        <v>785</v>
      </c>
      <c r="C178">
        <v>532114</v>
      </c>
      <c r="D178" t="s">
        <v>496</v>
      </c>
      <c r="E178" t="s">
        <v>582</v>
      </c>
    </row>
    <row r="179" spans="2:5" x14ac:dyDescent="0.3">
      <c r="B179" t="s">
        <v>786</v>
      </c>
      <c r="C179">
        <v>506235</v>
      </c>
      <c r="D179" t="s">
        <v>787</v>
      </c>
      <c r="E179" t="s">
        <v>534</v>
      </c>
    </row>
    <row r="180" spans="2:5" x14ac:dyDescent="0.3">
      <c r="B180" t="s">
        <v>788</v>
      </c>
      <c r="C180">
        <v>533573</v>
      </c>
      <c r="D180" t="s">
        <v>789</v>
      </c>
      <c r="E180" t="s">
        <v>534</v>
      </c>
    </row>
    <row r="181" spans="2:5" x14ac:dyDescent="0.3">
      <c r="B181" t="s">
        <v>790</v>
      </c>
      <c r="C181">
        <v>511463</v>
      </c>
      <c r="D181" t="s">
        <v>496</v>
      </c>
      <c r="E181" t="s">
        <v>485</v>
      </c>
    </row>
    <row r="182" spans="2:5" x14ac:dyDescent="0.3">
      <c r="B182" t="s">
        <v>791</v>
      </c>
      <c r="C182">
        <v>530973</v>
      </c>
      <c r="D182" t="s">
        <v>496</v>
      </c>
      <c r="E182" t="s">
        <v>616</v>
      </c>
    </row>
    <row r="183" spans="2:5" x14ac:dyDescent="0.3">
      <c r="B183" t="s">
        <v>792</v>
      </c>
      <c r="C183">
        <v>530973</v>
      </c>
      <c r="D183" t="s">
        <v>496</v>
      </c>
      <c r="E183" t="s">
        <v>616</v>
      </c>
    </row>
    <row r="184" spans="2:5" x14ac:dyDescent="0.3">
      <c r="B184" t="s">
        <v>793</v>
      </c>
      <c r="C184">
        <v>517546</v>
      </c>
      <c r="D184" t="s">
        <v>496</v>
      </c>
      <c r="E184" t="s">
        <v>794</v>
      </c>
    </row>
    <row r="185" spans="2:5" x14ac:dyDescent="0.3">
      <c r="B185" t="s">
        <v>795</v>
      </c>
      <c r="C185">
        <v>531156</v>
      </c>
      <c r="D185" t="s">
        <v>496</v>
      </c>
      <c r="E185" t="s">
        <v>513</v>
      </c>
    </row>
    <row r="186" spans="2:5" x14ac:dyDescent="0.3">
      <c r="B186" t="s">
        <v>796</v>
      </c>
      <c r="C186">
        <v>531156</v>
      </c>
      <c r="D186" t="s">
        <v>496</v>
      </c>
      <c r="E186" t="s">
        <v>513</v>
      </c>
    </row>
    <row r="187" spans="2:5" x14ac:dyDescent="0.3">
      <c r="B187" t="s">
        <v>797</v>
      </c>
      <c r="C187">
        <v>505216</v>
      </c>
      <c r="D187" t="s">
        <v>496</v>
      </c>
      <c r="E187" t="s">
        <v>513</v>
      </c>
    </row>
    <row r="188" spans="2:5" x14ac:dyDescent="0.3">
      <c r="B188" t="s">
        <v>798</v>
      </c>
      <c r="C188">
        <v>505216</v>
      </c>
      <c r="D188" t="s">
        <v>496</v>
      </c>
      <c r="E188" t="s">
        <v>513</v>
      </c>
    </row>
    <row r="189" spans="2:5" x14ac:dyDescent="0.3">
      <c r="B189" t="s">
        <v>799</v>
      </c>
      <c r="C189">
        <v>531147</v>
      </c>
      <c r="D189" t="s">
        <v>800</v>
      </c>
      <c r="E189" t="s">
        <v>801</v>
      </c>
    </row>
    <row r="190" spans="2:5" x14ac:dyDescent="0.3">
      <c r="B190" t="s">
        <v>802</v>
      </c>
      <c r="C190">
        <v>530889</v>
      </c>
      <c r="D190" t="s">
        <v>496</v>
      </c>
      <c r="E190" t="s">
        <v>511</v>
      </c>
    </row>
    <row r="191" spans="2:5" x14ac:dyDescent="0.3">
      <c r="B191" t="s">
        <v>803</v>
      </c>
      <c r="C191">
        <v>531581</v>
      </c>
      <c r="D191" t="s">
        <v>496</v>
      </c>
      <c r="E191" t="s">
        <v>610</v>
      </c>
    </row>
    <row r="192" spans="2:5" x14ac:dyDescent="0.3">
      <c r="B192" t="s">
        <v>804</v>
      </c>
      <c r="C192">
        <v>530889</v>
      </c>
      <c r="D192" t="s">
        <v>496</v>
      </c>
      <c r="E192" t="s">
        <v>511</v>
      </c>
    </row>
    <row r="193" spans="2:5" x14ac:dyDescent="0.3">
      <c r="B193" t="s">
        <v>805</v>
      </c>
      <c r="C193">
        <v>532166</v>
      </c>
      <c r="D193" t="s">
        <v>496</v>
      </c>
      <c r="E193" t="s">
        <v>513</v>
      </c>
    </row>
    <row r="194" spans="2:5" x14ac:dyDescent="0.3">
      <c r="B194" t="s">
        <v>806</v>
      </c>
      <c r="C194">
        <v>533029</v>
      </c>
      <c r="D194" t="s">
        <v>807</v>
      </c>
      <c r="E194" t="s">
        <v>656</v>
      </c>
    </row>
    <row r="195" spans="2:5" x14ac:dyDescent="0.3">
      <c r="B195" t="s">
        <v>808</v>
      </c>
      <c r="C195">
        <v>539523</v>
      </c>
      <c r="D195" t="s">
        <v>809</v>
      </c>
      <c r="E195" t="s">
        <v>534</v>
      </c>
    </row>
    <row r="196" spans="2:5" x14ac:dyDescent="0.3">
      <c r="B196" t="s">
        <v>810</v>
      </c>
      <c r="C196">
        <v>506767</v>
      </c>
      <c r="D196" t="s">
        <v>811</v>
      </c>
      <c r="E196" t="s">
        <v>656</v>
      </c>
    </row>
    <row r="197" spans="2:5" x14ac:dyDescent="0.3">
      <c r="B197" t="s">
        <v>812</v>
      </c>
      <c r="C197">
        <v>532480</v>
      </c>
      <c r="D197" t="s">
        <v>813</v>
      </c>
      <c r="E197" t="s">
        <v>814</v>
      </c>
    </row>
    <row r="198" spans="2:5" x14ac:dyDescent="0.3">
      <c r="B198" t="s">
        <v>815</v>
      </c>
      <c r="C198">
        <v>532749</v>
      </c>
      <c r="D198" t="s">
        <v>816</v>
      </c>
      <c r="E198" t="s">
        <v>817</v>
      </c>
    </row>
    <row r="199" spans="2:5" x14ac:dyDescent="0.3">
      <c r="B199" t="s">
        <v>818</v>
      </c>
      <c r="C199">
        <v>534064</v>
      </c>
      <c r="D199" t="s">
        <v>496</v>
      </c>
      <c r="E199" t="s">
        <v>819</v>
      </c>
    </row>
    <row r="200" spans="2:5" x14ac:dyDescent="0.3">
      <c r="B200" t="s">
        <v>820</v>
      </c>
      <c r="C200">
        <v>532919</v>
      </c>
      <c r="D200" t="s">
        <v>496</v>
      </c>
      <c r="E200" t="s">
        <v>821</v>
      </c>
    </row>
    <row r="201" spans="2:5" x14ac:dyDescent="0.3">
      <c r="B201" t="s">
        <v>822</v>
      </c>
      <c r="C201">
        <v>532875</v>
      </c>
      <c r="D201" t="s">
        <v>823</v>
      </c>
      <c r="E201" t="s">
        <v>482</v>
      </c>
    </row>
    <row r="202" spans="2:5" x14ac:dyDescent="0.3">
      <c r="B202" t="s">
        <v>824</v>
      </c>
      <c r="C202">
        <v>532633</v>
      </c>
      <c r="D202" t="s">
        <v>825</v>
      </c>
      <c r="E202" t="s">
        <v>826</v>
      </c>
    </row>
    <row r="203" spans="2:5" x14ac:dyDescent="0.3">
      <c r="B203" t="s">
        <v>827</v>
      </c>
      <c r="C203">
        <v>531400</v>
      </c>
      <c r="D203" t="s">
        <v>828</v>
      </c>
      <c r="E203" t="s">
        <v>479</v>
      </c>
    </row>
    <row r="204" spans="2:5" x14ac:dyDescent="0.3">
      <c r="B204" t="s">
        <v>829</v>
      </c>
      <c r="C204">
        <v>506120</v>
      </c>
      <c r="D204" t="s">
        <v>496</v>
      </c>
      <c r="E204" t="s">
        <v>518</v>
      </c>
    </row>
    <row r="205" spans="2:5" x14ac:dyDescent="0.3">
      <c r="B205" t="s">
        <v>830</v>
      </c>
      <c r="C205">
        <v>521070</v>
      </c>
      <c r="D205" t="s">
        <v>831</v>
      </c>
      <c r="E205" t="s">
        <v>511</v>
      </c>
    </row>
    <row r="206" spans="2:5" x14ac:dyDescent="0.3">
      <c r="B206" t="s">
        <v>832</v>
      </c>
      <c r="C206">
        <v>532878</v>
      </c>
      <c r="D206" t="s">
        <v>833</v>
      </c>
      <c r="E206" t="s">
        <v>834</v>
      </c>
    </row>
    <row r="207" spans="2:5" x14ac:dyDescent="0.3">
      <c r="B207" t="s">
        <v>835</v>
      </c>
      <c r="C207">
        <v>526397</v>
      </c>
      <c r="D207" t="s">
        <v>836</v>
      </c>
      <c r="E207" t="s">
        <v>837</v>
      </c>
    </row>
    <row r="208" spans="2:5" x14ac:dyDescent="0.3">
      <c r="B208" t="s">
        <v>838</v>
      </c>
      <c r="C208">
        <v>526397</v>
      </c>
      <c r="D208" t="s">
        <v>836</v>
      </c>
      <c r="E208" t="s">
        <v>837</v>
      </c>
    </row>
    <row r="209" spans="2:5" x14ac:dyDescent="0.3">
      <c r="B209" t="s">
        <v>839</v>
      </c>
      <c r="C209">
        <v>526519</v>
      </c>
      <c r="D209" t="s">
        <v>496</v>
      </c>
      <c r="E209" t="s">
        <v>582</v>
      </c>
    </row>
    <row r="210" spans="2:5" x14ac:dyDescent="0.3">
      <c r="B210" t="s">
        <v>840</v>
      </c>
      <c r="C210">
        <v>530715</v>
      </c>
      <c r="D210" t="s">
        <v>841</v>
      </c>
      <c r="E210" t="s">
        <v>511</v>
      </c>
    </row>
    <row r="211" spans="2:5" x14ac:dyDescent="0.3">
      <c r="B211" t="s">
        <v>842</v>
      </c>
      <c r="C211">
        <v>538423</v>
      </c>
      <c r="D211" t="s">
        <v>843</v>
      </c>
      <c r="E211" t="s">
        <v>479</v>
      </c>
    </row>
    <row r="212" spans="2:5" x14ac:dyDescent="0.3">
      <c r="B212" t="s">
        <v>844</v>
      </c>
      <c r="C212">
        <v>539277</v>
      </c>
      <c r="D212" t="s">
        <v>496</v>
      </c>
      <c r="E212" t="s">
        <v>530</v>
      </c>
    </row>
    <row r="213" spans="2:5" x14ac:dyDescent="0.3">
      <c r="B213" t="s">
        <v>845</v>
      </c>
      <c r="C213">
        <v>539277</v>
      </c>
      <c r="D213" t="s">
        <v>496</v>
      </c>
      <c r="E213" t="s">
        <v>530</v>
      </c>
    </row>
    <row r="214" spans="2:5" x14ac:dyDescent="0.3">
      <c r="B214" t="s">
        <v>846</v>
      </c>
      <c r="C214">
        <v>524634</v>
      </c>
      <c r="D214" t="s">
        <v>496</v>
      </c>
      <c r="E214" t="s">
        <v>544</v>
      </c>
    </row>
    <row r="215" spans="2:5" x14ac:dyDescent="0.3">
      <c r="B215" t="s">
        <v>847</v>
      </c>
      <c r="C215">
        <v>506597</v>
      </c>
      <c r="D215" t="s">
        <v>496</v>
      </c>
      <c r="E215" t="s">
        <v>656</v>
      </c>
    </row>
    <row r="216" spans="2:5" x14ac:dyDescent="0.3">
      <c r="B216" t="s">
        <v>848</v>
      </c>
      <c r="C216">
        <v>512008</v>
      </c>
      <c r="D216" t="s">
        <v>496</v>
      </c>
      <c r="E216" t="s">
        <v>518</v>
      </c>
    </row>
    <row r="217" spans="2:5" x14ac:dyDescent="0.3">
      <c r="B217" t="s">
        <v>849</v>
      </c>
      <c r="C217">
        <v>500008</v>
      </c>
      <c r="D217" t="s">
        <v>850</v>
      </c>
      <c r="E217" t="s">
        <v>851</v>
      </c>
    </row>
    <row r="218" spans="2:5" x14ac:dyDescent="0.3">
      <c r="B218" t="s">
        <v>852</v>
      </c>
      <c r="C218">
        <v>521097</v>
      </c>
      <c r="D218" t="s">
        <v>496</v>
      </c>
      <c r="E218" t="s">
        <v>511</v>
      </c>
    </row>
    <row r="219" spans="2:5" x14ac:dyDescent="0.3">
      <c r="B219" t="s">
        <v>853</v>
      </c>
      <c r="C219">
        <v>538465</v>
      </c>
      <c r="D219" t="s">
        <v>496</v>
      </c>
      <c r="E219" t="s">
        <v>513</v>
      </c>
    </row>
    <row r="220" spans="2:5" x14ac:dyDescent="0.3">
      <c r="B220" t="s">
        <v>854</v>
      </c>
      <c r="C220">
        <v>531112</v>
      </c>
      <c r="D220" t="s">
        <v>496</v>
      </c>
      <c r="E220" t="s">
        <v>504</v>
      </c>
    </row>
    <row r="221" spans="2:5" x14ac:dyDescent="0.3">
      <c r="B221" t="s">
        <v>855</v>
      </c>
      <c r="C221">
        <v>539196</v>
      </c>
      <c r="D221" t="s">
        <v>496</v>
      </c>
      <c r="E221" t="s">
        <v>794</v>
      </c>
    </row>
    <row r="222" spans="2:5" x14ac:dyDescent="0.3">
      <c r="B222" t="s">
        <v>856</v>
      </c>
      <c r="C222">
        <v>500009</v>
      </c>
      <c r="D222" t="s">
        <v>496</v>
      </c>
      <c r="E222" t="s">
        <v>534</v>
      </c>
    </row>
    <row r="223" spans="2:5" x14ac:dyDescent="0.3">
      <c r="B223" t="s">
        <v>857</v>
      </c>
      <c r="C223" t="s">
        <v>496</v>
      </c>
      <c r="D223" t="s">
        <v>858</v>
      </c>
      <c r="E223" t="s">
        <v>507</v>
      </c>
    </row>
    <row r="224" spans="2:5" x14ac:dyDescent="0.3">
      <c r="B224" t="s">
        <v>859</v>
      </c>
      <c r="C224">
        <v>519471</v>
      </c>
      <c r="D224" t="s">
        <v>496</v>
      </c>
      <c r="E224" t="s">
        <v>745</v>
      </c>
    </row>
    <row r="225" spans="2:5" x14ac:dyDescent="0.3">
      <c r="B225" t="s">
        <v>860</v>
      </c>
      <c r="C225">
        <v>542524</v>
      </c>
      <c r="D225" t="s">
        <v>861</v>
      </c>
      <c r="E225" t="s">
        <v>862</v>
      </c>
    </row>
    <row r="226" spans="2:5" x14ac:dyDescent="0.3">
      <c r="B226" t="s">
        <v>863</v>
      </c>
      <c r="C226">
        <v>540902</v>
      </c>
      <c r="D226" t="s">
        <v>864</v>
      </c>
      <c r="E226" t="s">
        <v>865</v>
      </c>
    </row>
    <row r="227" spans="2:5" x14ac:dyDescent="0.3">
      <c r="B227" t="s">
        <v>866</v>
      </c>
      <c r="C227">
        <v>540902</v>
      </c>
      <c r="D227" t="s">
        <v>864</v>
      </c>
      <c r="E227" t="s">
        <v>865</v>
      </c>
    </row>
    <row r="228" spans="2:5" x14ac:dyDescent="0.3">
      <c r="B228" t="s">
        <v>867</v>
      </c>
      <c r="C228">
        <v>531978</v>
      </c>
      <c r="D228" t="s">
        <v>868</v>
      </c>
      <c r="E228" t="s">
        <v>511</v>
      </c>
    </row>
    <row r="229" spans="2:5" x14ac:dyDescent="0.3">
      <c r="B229" t="s">
        <v>869</v>
      </c>
      <c r="C229">
        <v>539223</v>
      </c>
      <c r="D229" t="s">
        <v>496</v>
      </c>
      <c r="E229" t="s">
        <v>490</v>
      </c>
    </row>
    <row r="230" spans="2:5" x14ac:dyDescent="0.3">
      <c r="B230" t="s">
        <v>870</v>
      </c>
      <c r="C230">
        <v>500425</v>
      </c>
      <c r="D230" t="s">
        <v>871</v>
      </c>
      <c r="E230" t="s">
        <v>509</v>
      </c>
    </row>
    <row r="231" spans="2:5" x14ac:dyDescent="0.3">
      <c r="B231" t="s">
        <v>872</v>
      </c>
      <c r="C231">
        <v>530133</v>
      </c>
      <c r="D231" t="s">
        <v>496</v>
      </c>
      <c r="E231" t="s">
        <v>873</v>
      </c>
    </row>
    <row r="232" spans="2:5" x14ac:dyDescent="0.3">
      <c r="B232" t="s">
        <v>874</v>
      </c>
      <c r="C232">
        <v>530133</v>
      </c>
      <c r="D232" t="s">
        <v>496</v>
      </c>
      <c r="E232" t="s">
        <v>873</v>
      </c>
    </row>
    <row r="233" spans="2:5" x14ac:dyDescent="0.3">
      <c r="B233" t="s">
        <v>875</v>
      </c>
      <c r="C233">
        <v>532828</v>
      </c>
      <c r="D233" t="s">
        <v>876</v>
      </c>
      <c r="E233" t="s">
        <v>681</v>
      </c>
    </row>
    <row r="234" spans="2:5" x14ac:dyDescent="0.3">
      <c r="B234" t="s">
        <v>877</v>
      </c>
      <c r="C234">
        <v>513117</v>
      </c>
      <c r="D234" t="s">
        <v>496</v>
      </c>
      <c r="E234" t="s">
        <v>851</v>
      </c>
    </row>
    <row r="235" spans="2:5" x14ac:dyDescent="0.3">
      <c r="B235" t="s">
        <v>878</v>
      </c>
      <c r="C235">
        <v>541771</v>
      </c>
      <c r="D235" t="s">
        <v>496</v>
      </c>
      <c r="E235" t="s">
        <v>610</v>
      </c>
    </row>
    <row r="236" spans="2:5" x14ac:dyDescent="0.3">
      <c r="B236" t="s">
        <v>879</v>
      </c>
      <c r="C236">
        <v>506248</v>
      </c>
      <c r="D236" t="s">
        <v>496</v>
      </c>
      <c r="E236" t="s">
        <v>544</v>
      </c>
    </row>
    <row r="237" spans="2:5" x14ac:dyDescent="0.3">
      <c r="B237" t="s">
        <v>880</v>
      </c>
      <c r="C237">
        <v>531300</v>
      </c>
      <c r="D237" t="s">
        <v>496</v>
      </c>
      <c r="E237" t="s">
        <v>511</v>
      </c>
    </row>
    <row r="238" spans="2:5" x14ac:dyDescent="0.3">
      <c r="B238" t="s">
        <v>881</v>
      </c>
      <c r="C238">
        <v>531557</v>
      </c>
      <c r="D238" t="s">
        <v>496</v>
      </c>
      <c r="E238" t="s">
        <v>513</v>
      </c>
    </row>
    <row r="239" spans="2:5" x14ac:dyDescent="0.3">
      <c r="B239" t="s">
        <v>882</v>
      </c>
      <c r="C239">
        <v>500343</v>
      </c>
      <c r="D239" t="s">
        <v>883</v>
      </c>
      <c r="E239" t="s">
        <v>582</v>
      </c>
    </row>
    <row r="240" spans="2:5" x14ac:dyDescent="0.3">
      <c r="B240" t="s">
        <v>884</v>
      </c>
      <c r="C240">
        <v>531681</v>
      </c>
      <c r="D240" t="s">
        <v>496</v>
      </c>
      <c r="E240" t="s">
        <v>616</v>
      </c>
    </row>
    <row r="241" spans="2:5" x14ac:dyDescent="0.3">
      <c r="B241" t="s">
        <v>885</v>
      </c>
      <c r="C241">
        <v>536737</v>
      </c>
      <c r="D241" t="s">
        <v>496</v>
      </c>
      <c r="E241" t="s">
        <v>513</v>
      </c>
    </row>
    <row r="242" spans="2:5" x14ac:dyDescent="0.3">
      <c r="B242" t="s">
        <v>886</v>
      </c>
      <c r="C242">
        <v>539265</v>
      </c>
      <c r="D242" t="s">
        <v>496</v>
      </c>
      <c r="E242" t="s">
        <v>513</v>
      </c>
    </row>
    <row r="243" spans="2:5" x14ac:dyDescent="0.3">
      <c r="B243" t="s">
        <v>887</v>
      </c>
      <c r="C243">
        <v>526241</v>
      </c>
      <c r="D243" t="s">
        <v>496</v>
      </c>
      <c r="E243" t="s">
        <v>518</v>
      </c>
    </row>
    <row r="244" spans="2:5" x14ac:dyDescent="0.3">
      <c r="B244" t="s">
        <v>888</v>
      </c>
      <c r="C244">
        <v>531991</v>
      </c>
      <c r="D244" t="s">
        <v>496</v>
      </c>
      <c r="E244" t="s">
        <v>511</v>
      </c>
    </row>
    <row r="245" spans="2:5" x14ac:dyDescent="0.3">
      <c r="B245" t="s">
        <v>889</v>
      </c>
      <c r="C245">
        <v>507525</v>
      </c>
      <c r="D245" t="s">
        <v>496</v>
      </c>
      <c r="E245" t="s">
        <v>556</v>
      </c>
    </row>
    <row r="246" spans="2:5" x14ac:dyDescent="0.3">
      <c r="B246" t="s">
        <v>890</v>
      </c>
      <c r="C246">
        <v>590006</v>
      </c>
      <c r="D246" t="s">
        <v>891</v>
      </c>
      <c r="E246" t="s">
        <v>534</v>
      </c>
    </row>
    <row r="247" spans="2:5" x14ac:dyDescent="0.3">
      <c r="B247" t="s">
        <v>892</v>
      </c>
      <c r="C247">
        <v>538861</v>
      </c>
      <c r="D247" t="s">
        <v>496</v>
      </c>
      <c r="E247" t="s">
        <v>518</v>
      </c>
    </row>
    <row r="248" spans="2:5" x14ac:dyDescent="0.3">
      <c r="B248" t="s">
        <v>893</v>
      </c>
      <c r="C248">
        <v>501630</v>
      </c>
      <c r="D248" t="s">
        <v>496</v>
      </c>
      <c r="E248" t="s">
        <v>894</v>
      </c>
    </row>
    <row r="249" spans="2:5" x14ac:dyDescent="0.3">
      <c r="B249" t="s">
        <v>895</v>
      </c>
      <c r="C249">
        <v>515055</v>
      </c>
      <c r="D249" t="s">
        <v>896</v>
      </c>
      <c r="E249" t="s">
        <v>582</v>
      </c>
    </row>
    <row r="250" spans="2:5" x14ac:dyDescent="0.3">
      <c r="B250" t="s">
        <v>897</v>
      </c>
      <c r="C250">
        <v>532418</v>
      </c>
      <c r="D250" t="s">
        <v>898</v>
      </c>
      <c r="E250" t="s">
        <v>814</v>
      </c>
    </row>
    <row r="251" spans="2:5" x14ac:dyDescent="0.3">
      <c r="B251" t="s">
        <v>899</v>
      </c>
      <c r="C251">
        <v>532141</v>
      </c>
      <c r="D251" t="s">
        <v>900</v>
      </c>
      <c r="E251" t="s">
        <v>509</v>
      </c>
    </row>
    <row r="252" spans="2:5" x14ac:dyDescent="0.3">
      <c r="B252" t="s">
        <v>901</v>
      </c>
      <c r="C252">
        <v>500012</v>
      </c>
      <c r="D252" t="s">
        <v>496</v>
      </c>
      <c r="E252" t="s">
        <v>544</v>
      </c>
    </row>
    <row r="253" spans="2:5" x14ac:dyDescent="0.3">
      <c r="B253" t="s">
        <v>902</v>
      </c>
      <c r="C253">
        <v>526173</v>
      </c>
      <c r="D253" t="s">
        <v>496</v>
      </c>
      <c r="E253" t="s">
        <v>903</v>
      </c>
    </row>
    <row r="254" spans="2:5" x14ac:dyDescent="0.3">
      <c r="B254" t="s">
        <v>904</v>
      </c>
      <c r="C254">
        <v>531252</v>
      </c>
      <c r="D254" t="s">
        <v>496</v>
      </c>
      <c r="E254" t="s">
        <v>513</v>
      </c>
    </row>
    <row r="255" spans="2:5" x14ac:dyDescent="0.3">
      <c r="B255" t="s">
        <v>905</v>
      </c>
      <c r="C255">
        <v>530721</v>
      </c>
      <c r="D255" t="s">
        <v>906</v>
      </c>
      <c r="E255" t="s">
        <v>851</v>
      </c>
    </row>
    <row r="256" spans="2:5" x14ac:dyDescent="0.3">
      <c r="B256" t="s">
        <v>907</v>
      </c>
      <c r="C256">
        <v>540694</v>
      </c>
      <c r="D256" t="s">
        <v>496</v>
      </c>
      <c r="E256" t="s">
        <v>685</v>
      </c>
    </row>
    <row r="257" spans="2:5" x14ac:dyDescent="0.3">
      <c r="B257" t="s">
        <v>908</v>
      </c>
      <c r="C257">
        <v>540694</v>
      </c>
      <c r="D257" t="s">
        <v>496</v>
      </c>
      <c r="E257" t="s">
        <v>685</v>
      </c>
    </row>
    <row r="258" spans="2:5" x14ac:dyDescent="0.3">
      <c r="B258" t="s">
        <v>909</v>
      </c>
      <c r="C258">
        <v>541006</v>
      </c>
      <c r="D258" t="s">
        <v>496</v>
      </c>
      <c r="E258" t="s">
        <v>511</v>
      </c>
    </row>
    <row r="259" spans="2:5" x14ac:dyDescent="0.3">
      <c r="B259" t="s">
        <v>910</v>
      </c>
      <c r="C259" t="s">
        <v>496</v>
      </c>
      <c r="D259" t="s">
        <v>911</v>
      </c>
      <c r="E259" t="s">
        <v>507</v>
      </c>
    </row>
    <row r="260" spans="2:5" x14ac:dyDescent="0.3">
      <c r="B260" t="s">
        <v>912</v>
      </c>
      <c r="C260">
        <v>519383</v>
      </c>
      <c r="D260" t="s">
        <v>913</v>
      </c>
      <c r="E260" t="s">
        <v>694</v>
      </c>
    </row>
    <row r="261" spans="2:5" x14ac:dyDescent="0.3">
      <c r="B261" t="s">
        <v>914</v>
      </c>
      <c r="C261">
        <v>537785</v>
      </c>
      <c r="D261" t="s">
        <v>496</v>
      </c>
      <c r="E261" t="s">
        <v>530</v>
      </c>
    </row>
    <row r="262" spans="2:5" x14ac:dyDescent="0.3">
      <c r="B262" t="s">
        <v>915</v>
      </c>
      <c r="C262">
        <v>531878</v>
      </c>
      <c r="D262" t="s">
        <v>496</v>
      </c>
      <c r="E262" t="s">
        <v>513</v>
      </c>
    </row>
    <row r="263" spans="2:5" x14ac:dyDescent="0.3">
      <c r="B263" t="s">
        <v>916</v>
      </c>
      <c r="C263">
        <v>511153</v>
      </c>
      <c r="D263" t="s">
        <v>496</v>
      </c>
      <c r="E263" t="s">
        <v>917</v>
      </c>
    </row>
    <row r="264" spans="2:5" x14ac:dyDescent="0.3">
      <c r="B264" t="s">
        <v>918</v>
      </c>
      <c r="C264">
        <v>518091</v>
      </c>
      <c r="D264" t="s">
        <v>919</v>
      </c>
      <c r="E264" t="s">
        <v>509</v>
      </c>
    </row>
    <row r="265" spans="2:5" x14ac:dyDescent="0.3">
      <c r="B265" t="s">
        <v>920</v>
      </c>
      <c r="C265">
        <v>531223</v>
      </c>
      <c r="D265" t="s">
        <v>496</v>
      </c>
      <c r="E265" t="s">
        <v>511</v>
      </c>
    </row>
    <row r="266" spans="2:5" x14ac:dyDescent="0.3">
      <c r="B266" t="s">
        <v>921</v>
      </c>
      <c r="C266">
        <v>531673</v>
      </c>
      <c r="D266" t="s">
        <v>496</v>
      </c>
      <c r="E266" t="s">
        <v>922</v>
      </c>
    </row>
    <row r="267" spans="2:5" x14ac:dyDescent="0.3">
      <c r="B267" t="s">
        <v>923</v>
      </c>
      <c r="C267">
        <v>531673</v>
      </c>
      <c r="D267" t="s">
        <v>496</v>
      </c>
      <c r="E267" t="s">
        <v>922</v>
      </c>
    </row>
    <row r="268" spans="2:5" x14ac:dyDescent="0.3">
      <c r="B268" t="s">
        <v>924</v>
      </c>
      <c r="C268">
        <v>532870</v>
      </c>
      <c r="D268" t="s">
        <v>925</v>
      </c>
      <c r="E268" t="s">
        <v>528</v>
      </c>
    </row>
    <row r="269" spans="2:5" x14ac:dyDescent="0.3">
      <c r="B269" t="s">
        <v>926</v>
      </c>
      <c r="C269">
        <v>531519</v>
      </c>
      <c r="D269" t="s">
        <v>496</v>
      </c>
      <c r="E269" t="s">
        <v>479</v>
      </c>
    </row>
    <row r="270" spans="2:5" x14ac:dyDescent="0.3">
      <c r="B270" t="s">
        <v>927</v>
      </c>
      <c r="C270">
        <v>542437</v>
      </c>
      <c r="D270" t="s">
        <v>928</v>
      </c>
      <c r="E270" t="s">
        <v>530</v>
      </c>
    </row>
    <row r="271" spans="2:5" x14ac:dyDescent="0.3">
      <c r="B271" t="s">
        <v>929</v>
      </c>
      <c r="C271">
        <v>530799</v>
      </c>
      <c r="D271" t="s">
        <v>496</v>
      </c>
      <c r="E271" t="s">
        <v>513</v>
      </c>
    </row>
    <row r="272" spans="2:5" x14ac:dyDescent="0.3">
      <c r="B272" t="s">
        <v>930</v>
      </c>
      <c r="C272">
        <v>531406</v>
      </c>
      <c r="D272" t="s">
        <v>496</v>
      </c>
      <c r="E272" t="s">
        <v>931</v>
      </c>
    </row>
    <row r="273" spans="2:5" x14ac:dyDescent="0.3">
      <c r="B273" t="s">
        <v>932</v>
      </c>
      <c r="C273">
        <v>523007</v>
      </c>
      <c r="D273" t="s">
        <v>496</v>
      </c>
      <c r="E273" t="s">
        <v>582</v>
      </c>
    </row>
    <row r="274" spans="2:5" x14ac:dyDescent="0.3">
      <c r="B274" t="s">
        <v>933</v>
      </c>
      <c r="C274">
        <v>507828</v>
      </c>
      <c r="D274" t="s">
        <v>934</v>
      </c>
      <c r="E274" t="s">
        <v>582</v>
      </c>
    </row>
    <row r="275" spans="2:5" x14ac:dyDescent="0.3">
      <c r="B275" t="s">
        <v>935</v>
      </c>
      <c r="C275">
        <v>500013</v>
      </c>
      <c r="D275" t="s">
        <v>936</v>
      </c>
      <c r="E275" t="s">
        <v>582</v>
      </c>
    </row>
    <row r="276" spans="2:5" x14ac:dyDescent="0.3">
      <c r="B276" t="s">
        <v>937</v>
      </c>
      <c r="C276">
        <v>512091</v>
      </c>
      <c r="D276" t="s">
        <v>496</v>
      </c>
      <c r="E276" t="s">
        <v>610</v>
      </c>
    </row>
    <row r="277" spans="2:5" x14ac:dyDescent="0.3">
      <c r="B277" t="s">
        <v>938</v>
      </c>
      <c r="C277" t="s">
        <v>496</v>
      </c>
      <c r="D277" t="s">
        <v>939</v>
      </c>
      <c r="E277" t="s">
        <v>587</v>
      </c>
    </row>
    <row r="278" spans="2:5" x14ac:dyDescent="0.3">
      <c r="B278" t="s">
        <v>940</v>
      </c>
      <c r="C278">
        <v>501270</v>
      </c>
      <c r="D278" t="s">
        <v>496</v>
      </c>
      <c r="E278" t="s">
        <v>582</v>
      </c>
    </row>
    <row r="279" spans="2:5" x14ac:dyDescent="0.3">
      <c r="B279" t="s">
        <v>941</v>
      </c>
      <c r="C279">
        <v>539697</v>
      </c>
      <c r="D279" t="s">
        <v>496</v>
      </c>
      <c r="E279" t="s">
        <v>942</v>
      </c>
    </row>
    <row r="280" spans="2:5" x14ac:dyDescent="0.3">
      <c r="B280" t="s">
        <v>943</v>
      </c>
      <c r="C280">
        <v>538833</v>
      </c>
      <c r="D280" t="s">
        <v>496</v>
      </c>
      <c r="E280" t="s">
        <v>894</v>
      </c>
    </row>
    <row r="281" spans="2:5" x14ac:dyDescent="0.3">
      <c r="B281" t="s">
        <v>944</v>
      </c>
      <c r="C281">
        <v>506260</v>
      </c>
      <c r="D281" t="s">
        <v>496</v>
      </c>
      <c r="E281" t="s">
        <v>534</v>
      </c>
    </row>
    <row r="282" spans="2:5" x14ac:dyDescent="0.3">
      <c r="B282" t="s">
        <v>945</v>
      </c>
      <c r="C282">
        <v>506087</v>
      </c>
      <c r="D282" t="s">
        <v>496</v>
      </c>
      <c r="E282" t="s">
        <v>819</v>
      </c>
    </row>
    <row r="283" spans="2:5" x14ac:dyDescent="0.3">
      <c r="B283" t="s">
        <v>946</v>
      </c>
      <c r="C283">
        <v>530109</v>
      </c>
      <c r="D283" t="s">
        <v>496</v>
      </c>
      <c r="E283" t="s">
        <v>513</v>
      </c>
    </row>
    <row r="284" spans="2:5" x14ac:dyDescent="0.3">
      <c r="B284" t="s">
        <v>947</v>
      </c>
      <c r="C284">
        <v>532259</v>
      </c>
      <c r="D284" t="s">
        <v>948</v>
      </c>
      <c r="E284" t="s">
        <v>794</v>
      </c>
    </row>
    <row r="285" spans="2:5" x14ac:dyDescent="0.3">
      <c r="B285" t="s">
        <v>949</v>
      </c>
      <c r="C285">
        <v>523694</v>
      </c>
      <c r="D285" t="s">
        <v>950</v>
      </c>
      <c r="E285" t="s">
        <v>681</v>
      </c>
    </row>
    <row r="286" spans="2:5" x14ac:dyDescent="0.3">
      <c r="B286" t="s">
        <v>951</v>
      </c>
      <c r="C286">
        <v>540692</v>
      </c>
      <c r="D286" t="s">
        <v>952</v>
      </c>
      <c r="E286" t="s">
        <v>556</v>
      </c>
    </row>
    <row r="287" spans="2:5" x14ac:dyDescent="0.3">
      <c r="B287" t="s">
        <v>953</v>
      </c>
      <c r="C287">
        <v>541133</v>
      </c>
      <c r="D287" t="s">
        <v>496</v>
      </c>
      <c r="E287" t="s">
        <v>513</v>
      </c>
    </row>
    <row r="288" spans="2:5" x14ac:dyDescent="0.3">
      <c r="B288" t="s">
        <v>954</v>
      </c>
      <c r="C288">
        <v>506166</v>
      </c>
      <c r="D288" t="s">
        <v>496</v>
      </c>
      <c r="E288" t="s">
        <v>576</v>
      </c>
    </row>
    <row r="289" spans="2:5" x14ac:dyDescent="0.3">
      <c r="B289" t="s">
        <v>955</v>
      </c>
      <c r="C289">
        <v>506166</v>
      </c>
      <c r="D289" t="s">
        <v>496</v>
      </c>
      <c r="E289" t="s">
        <v>576</v>
      </c>
    </row>
    <row r="290" spans="2:5" x14ac:dyDescent="0.3">
      <c r="B290" t="s">
        <v>956</v>
      </c>
      <c r="C290">
        <v>533758</v>
      </c>
      <c r="D290" t="s">
        <v>957</v>
      </c>
      <c r="E290" t="s">
        <v>819</v>
      </c>
    </row>
    <row r="291" spans="2:5" x14ac:dyDescent="0.3">
      <c r="B291" t="s">
        <v>958</v>
      </c>
      <c r="C291">
        <v>517096</v>
      </c>
      <c r="D291" t="s">
        <v>496</v>
      </c>
      <c r="E291" t="s">
        <v>794</v>
      </c>
    </row>
    <row r="292" spans="2:5" x14ac:dyDescent="0.3">
      <c r="B292" t="s">
        <v>959</v>
      </c>
      <c r="C292">
        <v>511064</v>
      </c>
      <c r="D292" t="s">
        <v>960</v>
      </c>
      <c r="E292" t="s">
        <v>862</v>
      </c>
    </row>
    <row r="293" spans="2:5" x14ac:dyDescent="0.3">
      <c r="B293" t="s">
        <v>961</v>
      </c>
      <c r="C293">
        <v>523537</v>
      </c>
      <c r="D293" t="s">
        <v>496</v>
      </c>
      <c r="E293" t="s">
        <v>511</v>
      </c>
    </row>
    <row r="294" spans="2:5" x14ac:dyDescent="0.3">
      <c r="B294" t="s">
        <v>962</v>
      </c>
      <c r="C294">
        <v>512437</v>
      </c>
      <c r="D294" t="s">
        <v>496</v>
      </c>
      <c r="E294" t="s">
        <v>479</v>
      </c>
    </row>
    <row r="295" spans="2:5" x14ac:dyDescent="0.3">
      <c r="B295" t="s">
        <v>963</v>
      </c>
      <c r="C295">
        <v>512437</v>
      </c>
      <c r="D295" t="s">
        <v>496</v>
      </c>
      <c r="E295" t="s">
        <v>479</v>
      </c>
    </row>
    <row r="296" spans="2:5" x14ac:dyDescent="0.3">
      <c r="B296" t="s">
        <v>964</v>
      </c>
      <c r="C296">
        <v>508869</v>
      </c>
      <c r="D296" t="s">
        <v>965</v>
      </c>
      <c r="E296" t="s">
        <v>966</v>
      </c>
    </row>
    <row r="297" spans="2:5" x14ac:dyDescent="0.3">
      <c r="B297" t="s">
        <v>967</v>
      </c>
      <c r="C297">
        <v>540879</v>
      </c>
      <c r="D297" t="s">
        <v>968</v>
      </c>
      <c r="E297" t="s">
        <v>969</v>
      </c>
    </row>
    <row r="298" spans="2:5" x14ac:dyDescent="0.3">
      <c r="B298" t="s">
        <v>970</v>
      </c>
      <c r="C298">
        <v>531761</v>
      </c>
      <c r="D298" t="s">
        <v>496</v>
      </c>
      <c r="E298" t="s">
        <v>616</v>
      </c>
    </row>
    <row r="299" spans="2:5" x14ac:dyDescent="0.3">
      <c r="B299" t="s">
        <v>971</v>
      </c>
      <c r="C299" t="s">
        <v>496</v>
      </c>
      <c r="D299" t="s">
        <v>972</v>
      </c>
      <c r="E299" t="s">
        <v>587</v>
      </c>
    </row>
    <row r="300" spans="2:5" x14ac:dyDescent="0.3">
      <c r="B300" t="s">
        <v>973</v>
      </c>
      <c r="C300">
        <v>538566</v>
      </c>
      <c r="D300" t="s">
        <v>496</v>
      </c>
      <c r="E300" t="s">
        <v>518</v>
      </c>
    </row>
    <row r="301" spans="2:5" x14ac:dyDescent="0.3">
      <c r="B301" t="s">
        <v>974</v>
      </c>
      <c r="C301">
        <v>500877</v>
      </c>
      <c r="D301" t="s">
        <v>975</v>
      </c>
      <c r="E301" t="s">
        <v>976</v>
      </c>
    </row>
    <row r="302" spans="2:5" x14ac:dyDescent="0.3">
      <c r="B302" t="s">
        <v>977</v>
      </c>
      <c r="C302">
        <v>539545</v>
      </c>
      <c r="D302" t="s">
        <v>496</v>
      </c>
      <c r="E302" t="s">
        <v>516</v>
      </c>
    </row>
    <row r="303" spans="2:5" x14ac:dyDescent="0.3">
      <c r="B303" t="s">
        <v>978</v>
      </c>
      <c r="C303">
        <v>500014</v>
      </c>
      <c r="D303" t="s">
        <v>496</v>
      </c>
      <c r="E303" t="s">
        <v>513</v>
      </c>
    </row>
    <row r="304" spans="2:5" x14ac:dyDescent="0.3">
      <c r="B304" t="s">
        <v>979</v>
      </c>
      <c r="C304">
        <v>532475</v>
      </c>
      <c r="D304" t="s">
        <v>980</v>
      </c>
      <c r="E304" t="s">
        <v>981</v>
      </c>
    </row>
    <row r="305" spans="2:5" x14ac:dyDescent="0.3">
      <c r="B305" t="s">
        <v>982</v>
      </c>
      <c r="C305">
        <v>539469</v>
      </c>
      <c r="D305" t="s">
        <v>496</v>
      </c>
      <c r="E305" t="s">
        <v>518</v>
      </c>
    </row>
    <row r="306" spans="2:5" x14ac:dyDescent="0.3">
      <c r="B306" t="s">
        <v>983</v>
      </c>
      <c r="C306">
        <v>531364</v>
      </c>
      <c r="D306" t="s">
        <v>496</v>
      </c>
      <c r="E306" t="s">
        <v>894</v>
      </c>
    </row>
    <row r="307" spans="2:5" x14ac:dyDescent="0.3">
      <c r="B307" t="s">
        <v>984</v>
      </c>
      <c r="C307">
        <v>539403</v>
      </c>
      <c r="D307" t="s">
        <v>496</v>
      </c>
      <c r="E307" t="s">
        <v>985</v>
      </c>
    </row>
    <row r="308" spans="2:5" x14ac:dyDescent="0.3">
      <c r="B308" t="s">
        <v>986</v>
      </c>
      <c r="C308">
        <v>540135</v>
      </c>
      <c r="D308" t="s">
        <v>496</v>
      </c>
      <c r="E308" t="s">
        <v>479</v>
      </c>
    </row>
    <row r="309" spans="2:5" x14ac:dyDescent="0.3">
      <c r="B309" t="s">
        <v>987</v>
      </c>
      <c r="C309">
        <v>520121</v>
      </c>
      <c r="D309" t="s">
        <v>496</v>
      </c>
      <c r="E309" t="s">
        <v>616</v>
      </c>
    </row>
    <row r="310" spans="2:5" x14ac:dyDescent="0.3">
      <c r="B310" t="s">
        <v>988</v>
      </c>
      <c r="C310">
        <v>530565</v>
      </c>
      <c r="D310" t="s">
        <v>496</v>
      </c>
      <c r="E310" t="s">
        <v>589</v>
      </c>
    </row>
    <row r="311" spans="2:5" x14ac:dyDescent="0.3">
      <c r="B311" t="s">
        <v>989</v>
      </c>
      <c r="C311">
        <v>532994</v>
      </c>
      <c r="D311" t="s">
        <v>990</v>
      </c>
      <c r="E311" t="s">
        <v>991</v>
      </c>
    </row>
    <row r="312" spans="2:5" x14ac:dyDescent="0.3">
      <c r="B312" t="s">
        <v>992</v>
      </c>
      <c r="C312">
        <v>532212</v>
      </c>
      <c r="D312" t="s">
        <v>993</v>
      </c>
      <c r="E312" t="s">
        <v>994</v>
      </c>
    </row>
    <row r="313" spans="2:5" x14ac:dyDescent="0.3">
      <c r="B313" t="s">
        <v>995</v>
      </c>
      <c r="C313">
        <v>524640</v>
      </c>
      <c r="D313" t="s">
        <v>496</v>
      </c>
      <c r="E313" t="s">
        <v>544</v>
      </c>
    </row>
    <row r="314" spans="2:5" x14ac:dyDescent="0.3">
      <c r="B314" t="s">
        <v>996</v>
      </c>
      <c r="C314">
        <v>532914</v>
      </c>
      <c r="D314" t="s">
        <v>997</v>
      </c>
      <c r="E314" t="s">
        <v>570</v>
      </c>
    </row>
    <row r="315" spans="2:5" x14ac:dyDescent="0.3">
      <c r="B315" t="s">
        <v>998</v>
      </c>
      <c r="C315">
        <v>504370</v>
      </c>
      <c r="D315" t="s">
        <v>496</v>
      </c>
      <c r="E315" t="s">
        <v>917</v>
      </c>
    </row>
    <row r="316" spans="2:5" x14ac:dyDescent="0.3">
      <c r="B316" t="s">
        <v>999</v>
      </c>
      <c r="C316">
        <v>526851</v>
      </c>
      <c r="D316" t="s">
        <v>496</v>
      </c>
      <c r="E316" t="s">
        <v>511</v>
      </c>
    </row>
    <row r="317" spans="2:5" x14ac:dyDescent="0.3">
      <c r="B317" t="s">
        <v>1000</v>
      </c>
      <c r="C317">
        <v>539151</v>
      </c>
      <c r="D317" t="s">
        <v>496</v>
      </c>
      <c r="E317" t="s">
        <v>801</v>
      </c>
    </row>
    <row r="318" spans="2:5" x14ac:dyDescent="0.3">
      <c r="B318" t="s">
        <v>1001</v>
      </c>
      <c r="C318">
        <v>539151</v>
      </c>
      <c r="D318" t="s">
        <v>496</v>
      </c>
      <c r="E318" t="s">
        <v>801</v>
      </c>
    </row>
    <row r="319" spans="2:5" x14ac:dyDescent="0.3">
      <c r="B319" t="s">
        <v>1002</v>
      </c>
      <c r="C319">
        <v>532935</v>
      </c>
      <c r="D319" t="s">
        <v>1003</v>
      </c>
      <c r="E319" t="s">
        <v>1004</v>
      </c>
    </row>
    <row r="320" spans="2:5" x14ac:dyDescent="0.3">
      <c r="B320" t="s">
        <v>1005</v>
      </c>
      <c r="C320">
        <v>511605</v>
      </c>
      <c r="D320" t="s">
        <v>496</v>
      </c>
      <c r="E320" t="s">
        <v>479</v>
      </c>
    </row>
    <row r="321" spans="2:5" x14ac:dyDescent="0.3">
      <c r="B321" t="s">
        <v>1006</v>
      </c>
      <c r="C321">
        <v>531381</v>
      </c>
      <c r="D321" t="s">
        <v>1007</v>
      </c>
      <c r="E321" t="s">
        <v>582</v>
      </c>
    </row>
    <row r="322" spans="2:5" x14ac:dyDescent="0.3">
      <c r="B322" t="s">
        <v>1008</v>
      </c>
      <c r="C322">
        <v>541401</v>
      </c>
      <c r="D322" t="s">
        <v>496</v>
      </c>
      <c r="E322" t="s">
        <v>601</v>
      </c>
    </row>
    <row r="323" spans="2:5" x14ac:dyDescent="0.3">
      <c r="B323" t="s">
        <v>1009</v>
      </c>
      <c r="C323">
        <v>506194</v>
      </c>
      <c r="D323" t="s">
        <v>1010</v>
      </c>
      <c r="E323" t="s">
        <v>582</v>
      </c>
    </row>
    <row r="324" spans="2:5" x14ac:dyDescent="0.3">
      <c r="B324" t="s">
        <v>1011</v>
      </c>
      <c r="C324">
        <v>526125</v>
      </c>
      <c r="D324" t="s">
        <v>496</v>
      </c>
      <c r="E324" t="s">
        <v>518</v>
      </c>
    </row>
    <row r="325" spans="2:5" x14ac:dyDescent="0.3">
      <c r="B325" t="s">
        <v>1012</v>
      </c>
      <c r="C325">
        <v>531017</v>
      </c>
      <c r="D325" t="s">
        <v>496</v>
      </c>
      <c r="E325" t="s">
        <v>917</v>
      </c>
    </row>
    <row r="326" spans="2:5" x14ac:dyDescent="0.3">
      <c r="B326" t="s">
        <v>1013</v>
      </c>
      <c r="C326">
        <v>531677</v>
      </c>
      <c r="D326" t="s">
        <v>496</v>
      </c>
      <c r="E326" t="s">
        <v>482</v>
      </c>
    </row>
    <row r="327" spans="2:5" x14ac:dyDescent="0.3">
      <c r="B327" t="s">
        <v>1014</v>
      </c>
      <c r="C327">
        <v>531179</v>
      </c>
      <c r="D327" t="s">
        <v>1015</v>
      </c>
      <c r="E327" t="s">
        <v>513</v>
      </c>
    </row>
    <row r="328" spans="2:5" x14ac:dyDescent="0.3">
      <c r="B328" t="s">
        <v>1016</v>
      </c>
      <c r="C328">
        <v>538556</v>
      </c>
      <c r="D328" t="s">
        <v>1017</v>
      </c>
      <c r="E328" t="s">
        <v>516</v>
      </c>
    </row>
    <row r="329" spans="2:5" x14ac:dyDescent="0.3">
      <c r="B329" t="s">
        <v>1018</v>
      </c>
      <c r="C329">
        <v>532397</v>
      </c>
      <c r="D329" t="s">
        <v>496</v>
      </c>
      <c r="E329" t="s">
        <v>490</v>
      </c>
    </row>
    <row r="330" spans="2:5" x14ac:dyDescent="0.3">
      <c r="B330" t="s">
        <v>1019</v>
      </c>
      <c r="C330">
        <v>531467</v>
      </c>
      <c r="D330" t="s">
        <v>496</v>
      </c>
      <c r="E330" t="s">
        <v>1020</v>
      </c>
    </row>
    <row r="331" spans="2:5" x14ac:dyDescent="0.3">
      <c r="B331" t="s">
        <v>1021</v>
      </c>
      <c r="C331">
        <v>537069</v>
      </c>
      <c r="D331" t="s">
        <v>496</v>
      </c>
      <c r="E331" t="s">
        <v>513</v>
      </c>
    </row>
    <row r="332" spans="2:5" x14ac:dyDescent="0.3">
      <c r="B332" t="s">
        <v>1022</v>
      </c>
      <c r="C332">
        <v>513729</v>
      </c>
      <c r="D332" t="s">
        <v>1023</v>
      </c>
      <c r="E332" t="s">
        <v>1024</v>
      </c>
    </row>
    <row r="333" spans="2:5" x14ac:dyDescent="0.3">
      <c r="B333" t="s">
        <v>1025</v>
      </c>
      <c r="C333">
        <v>531560</v>
      </c>
      <c r="D333" t="s">
        <v>496</v>
      </c>
      <c r="E333" t="s">
        <v>917</v>
      </c>
    </row>
    <row r="334" spans="2:5" x14ac:dyDescent="0.3">
      <c r="B334" t="s">
        <v>1026</v>
      </c>
      <c r="C334">
        <v>531560</v>
      </c>
      <c r="D334" t="s">
        <v>496</v>
      </c>
      <c r="E334" t="s">
        <v>917</v>
      </c>
    </row>
    <row r="335" spans="2:5" x14ac:dyDescent="0.3">
      <c r="B335" t="s">
        <v>1027</v>
      </c>
      <c r="C335">
        <v>516064</v>
      </c>
      <c r="D335" t="s">
        <v>1028</v>
      </c>
      <c r="E335" t="s">
        <v>616</v>
      </c>
    </row>
    <row r="336" spans="2:5" x14ac:dyDescent="0.3">
      <c r="B336" t="s">
        <v>1029</v>
      </c>
      <c r="C336">
        <v>533068</v>
      </c>
      <c r="D336" t="s">
        <v>1030</v>
      </c>
      <c r="E336" t="s">
        <v>610</v>
      </c>
    </row>
    <row r="337" spans="2:5" x14ac:dyDescent="0.3">
      <c r="B337" t="s">
        <v>1031</v>
      </c>
      <c r="C337">
        <v>506074</v>
      </c>
      <c r="D337" t="s">
        <v>1032</v>
      </c>
      <c r="E337" t="s">
        <v>817</v>
      </c>
    </row>
    <row r="338" spans="2:5" x14ac:dyDescent="0.3">
      <c r="B338" t="s">
        <v>1033</v>
      </c>
      <c r="C338">
        <v>533163</v>
      </c>
      <c r="D338" t="s">
        <v>1034</v>
      </c>
      <c r="E338" t="s">
        <v>894</v>
      </c>
    </row>
    <row r="339" spans="2:5" x14ac:dyDescent="0.3">
      <c r="B339" t="s">
        <v>1035</v>
      </c>
      <c r="C339" t="s">
        <v>496</v>
      </c>
      <c r="D339" t="s">
        <v>1036</v>
      </c>
      <c r="E339" t="s">
        <v>507</v>
      </c>
    </row>
    <row r="340" spans="2:5" x14ac:dyDescent="0.3">
      <c r="B340" t="s">
        <v>1037</v>
      </c>
      <c r="C340">
        <v>517481</v>
      </c>
      <c r="D340" t="s">
        <v>496</v>
      </c>
      <c r="E340" t="s">
        <v>1038</v>
      </c>
    </row>
    <row r="341" spans="2:5" x14ac:dyDescent="0.3">
      <c r="B341" t="s">
        <v>1039</v>
      </c>
      <c r="C341">
        <v>531297</v>
      </c>
      <c r="D341" t="s">
        <v>496</v>
      </c>
      <c r="E341" t="s">
        <v>580</v>
      </c>
    </row>
    <row r="342" spans="2:5" x14ac:dyDescent="0.3">
      <c r="B342" t="s">
        <v>1040</v>
      </c>
      <c r="C342">
        <v>542670</v>
      </c>
      <c r="D342" t="s">
        <v>1041</v>
      </c>
      <c r="E342" t="s">
        <v>1042</v>
      </c>
    </row>
    <row r="343" spans="2:5" x14ac:dyDescent="0.3">
      <c r="B343" t="s">
        <v>1043</v>
      </c>
      <c r="C343">
        <v>540616</v>
      </c>
      <c r="D343" t="s">
        <v>1044</v>
      </c>
      <c r="E343" t="s">
        <v>966</v>
      </c>
    </row>
    <row r="344" spans="2:5" x14ac:dyDescent="0.3">
      <c r="B344" t="s">
        <v>1045</v>
      </c>
      <c r="C344">
        <v>522134</v>
      </c>
      <c r="D344" t="s">
        <v>496</v>
      </c>
      <c r="E344" t="s">
        <v>504</v>
      </c>
    </row>
    <row r="345" spans="2:5" x14ac:dyDescent="0.3">
      <c r="B345" t="s">
        <v>1046</v>
      </c>
      <c r="C345">
        <v>500016</v>
      </c>
      <c r="D345" t="s">
        <v>496</v>
      </c>
      <c r="E345" t="s">
        <v>697</v>
      </c>
    </row>
    <row r="346" spans="2:5" x14ac:dyDescent="0.3">
      <c r="B346" t="s">
        <v>1047</v>
      </c>
      <c r="C346" t="s">
        <v>496</v>
      </c>
      <c r="D346" t="s">
        <v>1048</v>
      </c>
      <c r="E346" t="s">
        <v>507</v>
      </c>
    </row>
    <row r="347" spans="2:5" x14ac:dyDescent="0.3">
      <c r="B347" t="s">
        <v>1049</v>
      </c>
      <c r="C347" t="s">
        <v>496</v>
      </c>
      <c r="D347" t="s">
        <v>1048</v>
      </c>
      <c r="E347" t="s">
        <v>507</v>
      </c>
    </row>
    <row r="348" spans="2:5" x14ac:dyDescent="0.3">
      <c r="B348" t="s">
        <v>1050</v>
      </c>
      <c r="C348">
        <v>542484</v>
      </c>
      <c r="D348" t="s">
        <v>1051</v>
      </c>
      <c r="E348" t="s">
        <v>1052</v>
      </c>
    </row>
    <row r="349" spans="2:5" x14ac:dyDescent="0.3">
      <c r="B349" t="s">
        <v>1053</v>
      </c>
      <c r="C349">
        <v>500101</v>
      </c>
      <c r="D349" t="s">
        <v>1054</v>
      </c>
      <c r="E349" t="s">
        <v>511</v>
      </c>
    </row>
    <row r="350" spans="2:5" x14ac:dyDescent="0.3">
      <c r="B350" t="s">
        <v>1055</v>
      </c>
      <c r="C350">
        <v>539301</v>
      </c>
      <c r="D350" t="s">
        <v>1056</v>
      </c>
      <c r="E350" t="s">
        <v>582</v>
      </c>
    </row>
    <row r="351" spans="2:5" x14ac:dyDescent="0.3">
      <c r="B351" t="s">
        <v>1057</v>
      </c>
      <c r="C351">
        <v>538716</v>
      </c>
      <c r="D351" t="s">
        <v>496</v>
      </c>
      <c r="E351" t="s">
        <v>479</v>
      </c>
    </row>
    <row r="352" spans="2:5" x14ac:dyDescent="0.3">
      <c r="B352" t="s">
        <v>1058</v>
      </c>
      <c r="C352">
        <v>530245</v>
      </c>
      <c r="D352" t="s">
        <v>496</v>
      </c>
      <c r="E352" t="s">
        <v>513</v>
      </c>
    </row>
    <row r="353" spans="2:5" x14ac:dyDescent="0.3">
      <c r="B353" t="s">
        <v>1059</v>
      </c>
      <c r="C353">
        <v>542176</v>
      </c>
      <c r="D353" t="s">
        <v>1060</v>
      </c>
      <c r="E353" t="s">
        <v>479</v>
      </c>
    </row>
    <row r="354" spans="2:5" x14ac:dyDescent="0.3">
      <c r="B354" t="s">
        <v>1061</v>
      </c>
      <c r="C354">
        <v>515030</v>
      </c>
      <c r="D354" t="s">
        <v>1062</v>
      </c>
      <c r="E354" t="s">
        <v>851</v>
      </c>
    </row>
    <row r="355" spans="2:5" x14ac:dyDescent="0.3">
      <c r="B355" t="s">
        <v>1063</v>
      </c>
      <c r="C355">
        <v>514482</v>
      </c>
      <c r="D355" t="s">
        <v>496</v>
      </c>
      <c r="E355" t="s">
        <v>511</v>
      </c>
    </row>
    <row r="356" spans="2:5" x14ac:dyDescent="0.3">
      <c r="B356" t="s">
        <v>1064</v>
      </c>
      <c r="C356">
        <v>532853</v>
      </c>
      <c r="D356" t="s">
        <v>1065</v>
      </c>
      <c r="E356" t="s">
        <v>656</v>
      </c>
    </row>
    <row r="357" spans="2:5" x14ac:dyDescent="0.3">
      <c r="B357" t="s">
        <v>1066</v>
      </c>
      <c r="C357">
        <v>535467</v>
      </c>
      <c r="D357" t="s">
        <v>1067</v>
      </c>
      <c r="E357" t="s">
        <v>610</v>
      </c>
    </row>
    <row r="358" spans="2:5" x14ac:dyDescent="0.3">
      <c r="B358" t="s">
        <v>1068</v>
      </c>
      <c r="C358">
        <v>527001</v>
      </c>
      <c r="D358" t="s">
        <v>1069</v>
      </c>
      <c r="E358" t="s">
        <v>476</v>
      </c>
    </row>
    <row r="359" spans="2:5" x14ac:dyDescent="0.3">
      <c r="B359" t="s">
        <v>1070</v>
      </c>
      <c r="C359">
        <v>542579</v>
      </c>
      <c r="D359" t="s">
        <v>1071</v>
      </c>
      <c r="E359" t="s">
        <v>1052</v>
      </c>
    </row>
    <row r="360" spans="2:5" x14ac:dyDescent="0.3">
      <c r="B360" t="s">
        <v>1072</v>
      </c>
      <c r="C360">
        <v>540024</v>
      </c>
      <c r="D360" t="s">
        <v>496</v>
      </c>
      <c r="E360" t="s">
        <v>479</v>
      </c>
    </row>
    <row r="361" spans="2:5" x14ac:dyDescent="0.3">
      <c r="B361" t="s">
        <v>1073</v>
      </c>
      <c r="C361">
        <v>519174</v>
      </c>
      <c r="D361" t="s">
        <v>496</v>
      </c>
      <c r="E361" t="s">
        <v>745</v>
      </c>
    </row>
    <row r="362" spans="2:5" x14ac:dyDescent="0.3">
      <c r="B362" t="s">
        <v>1074</v>
      </c>
      <c r="C362">
        <v>523716</v>
      </c>
      <c r="D362" t="s">
        <v>1075</v>
      </c>
      <c r="E362" t="s">
        <v>582</v>
      </c>
    </row>
    <row r="363" spans="2:5" x14ac:dyDescent="0.3">
      <c r="B363" t="s">
        <v>1076</v>
      </c>
      <c r="C363">
        <v>513401</v>
      </c>
      <c r="D363" t="s">
        <v>496</v>
      </c>
      <c r="E363" t="s">
        <v>528</v>
      </c>
    </row>
    <row r="364" spans="2:5" x14ac:dyDescent="0.3">
      <c r="B364" t="s">
        <v>1077</v>
      </c>
      <c r="C364">
        <v>590122</v>
      </c>
      <c r="D364" t="s">
        <v>1078</v>
      </c>
      <c r="E364" t="s">
        <v>513</v>
      </c>
    </row>
    <row r="365" spans="2:5" x14ac:dyDescent="0.3">
      <c r="B365" t="s">
        <v>1079</v>
      </c>
      <c r="C365">
        <v>514286</v>
      </c>
      <c r="D365" t="s">
        <v>1080</v>
      </c>
      <c r="E365" t="s">
        <v>511</v>
      </c>
    </row>
    <row r="366" spans="2:5" x14ac:dyDescent="0.3">
      <c r="B366" t="s">
        <v>1081</v>
      </c>
      <c r="C366">
        <v>512247</v>
      </c>
      <c r="D366" t="s">
        <v>496</v>
      </c>
      <c r="E366" t="s">
        <v>479</v>
      </c>
    </row>
    <row r="367" spans="2:5" x14ac:dyDescent="0.3">
      <c r="B367" t="s">
        <v>1082</v>
      </c>
      <c r="C367">
        <v>526847</v>
      </c>
      <c r="D367" t="s">
        <v>496</v>
      </c>
      <c r="E367" t="s">
        <v>528</v>
      </c>
    </row>
    <row r="368" spans="2:5" x14ac:dyDescent="0.3">
      <c r="B368" t="s">
        <v>1083</v>
      </c>
      <c r="C368">
        <v>530429</v>
      </c>
      <c r="D368" t="s">
        <v>496</v>
      </c>
      <c r="E368" t="s">
        <v>616</v>
      </c>
    </row>
    <row r="369" spans="2:5" x14ac:dyDescent="0.3">
      <c r="B369" t="s">
        <v>1084</v>
      </c>
      <c r="C369">
        <v>541702</v>
      </c>
      <c r="D369" t="s">
        <v>496</v>
      </c>
      <c r="E369" t="s">
        <v>518</v>
      </c>
    </row>
    <row r="370" spans="2:5" x14ac:dyDescent="0.3">
      <c r="B370" t="s">
        <v>1085</v>
      </c>
      <c r="C370">
        <v>507872</v>
      </c>
      <c r="D370" t="s">
        <v>496</v>
      </c>
      <c r="E370" t="s">
        <v>511</v>
      </c>
    </row>
    <row r="371" spans="2:5" x14ac:dyDescent="0.3">
      <c r="B371" t="s">
        <v>1086</v>
      </c>
      <c r="C371">
        <v>524594</v>
      </c>
      <c r="D371" t="s">
        <v>496</v>
      </c>
      <c r="E371" t="s">
        <v>544</v>
      </c>
    </row>
    <row r="372" spans="2:5" x14ac:dyDescent="0.3">
      <c r="B372" t="s">
        <v>1087</v>
      </c>
      <c r="C372">
        <v>500477</v>
      </c>
      <c r="D372" t="s">
        <v>1088</v>
      </c>
      <c r="E372" t="s">
        <v>574</v>
      </c>
    </row>
    <row r="373" spans="2:5" x14ac:dyDescent="0.3">
      <c r="B373" t="s">
        <v>1089</v>
      </c>
      <c r="C373">
        <v>533271</v>
      </c>
      <c r="D373" t="s">
        <v>1090</v>
      </c>
      <c r="E373" t="s">
        <v>1091</v>
      </c>
    </row>
    <row r="374" spans="2:5" x14ac:dyDescent="0.3">
      <c r="B374" t="s">
        <v>1092</v>
      </c>
      <c r="C374">
        <v>540923</v>
      </c>
      <c r="D374" t="s">
        <v>496</v>
      </c>
      <c r="E374" t="s">
        <v>894</v>
      </c>
    </row>
    <row r="375" spans="2:5" x14ac:dyDescent="0.3">
      <c r="B375" t="s">
        <v>1093</v>
      </c>
      <c r="C375">
        <v>526983</v>
      </c>
      <c r="D375" t="s">
        <v>496</v>
      </c>
      <c r="E375" t="s">
        <v>694</v>
      </c>
    </row>
    <row r="376" spans="2:5" x14ac:dyDescent="0.3">
      <c r="B376" t="s">
        <v>1094</v>
      </c>
      <c r="C376">
        <v>526187</v>
      </c>
      <c r="D376" t="s">
        <v>496</v>
      </c>
      <c r="E376" t="s">
        <v>685</v>
      </c>
    </row>
    <row r="377" spans="2:5" x14ac:dyDescent="0.3">
      <c r="B377" t="s">
        <v>1095</v>
      </c>
      <c r="C377">
        <v>531568</v>
      </c>
      <c r="D377" t="s">
        <v>496</v>
      </c>
      <c r="E377" t="s">
        <v>490</v>
      </c>
    </row>
    <row r="378" spans="2:5" x14ac:dyDescent="0.3">
      <c r="B378" t="s">
        <v>1096</v>
      </c>
      <c r="C378">
        <v>502015</v>
      </c>
      <c r="D378" t="s">
        <v>496</v>
      </c>
      <c r="E378" t="s">
        <v>476</v>
      </c>
    </row>
    <row r="379" spans="2:5" x14ac:dyDescent="0.3">
      <c r="B379" t="s">
        <v>1097</v>
      </c>
      <c r="C379">
        <v>538777</v>
      </c>
      <c r="D379" t="s">
        <v>496</v>
      </c>
      <c r="E379" t="s">
        <v>513</v>
      </c>
    </row>
    <row r="380" spans="2:5" x14ac:dyDescent="0.3">
      <c r="B380" t="s">
        <v>1098</v>
      </c>
      <c r="C380">
        <v>530899</v>
      </c>
      <c r="D380" t="s">
        <v>496</v>
      </c>
      <c r="E380" t="s">
        <v>511</v>
      </c>
    </row>
    <row r="381" spans="2:5" x14ac:dyDescent="0.3">
      <c r="B381" t="s">
        <v>1099</v>
      </c>
      <c r="C381">
        <v>531392</v>
      </c>
      <c r="D381" t="s">
        <v>496</v>
      </c>
      <c r="E381" t="s">
        <v>694</v>
      </c>
    </row>
    <row r="382" spans="2:5" x14ac:dyDescent="0.3">
      <c r="B382" t="s">
        <v>1100</v>
      </c>
      <c r="C382">
        <v>532888</v>
      </c>
      <c r="D382" t="s">
        <v>1101</v>
      </c>
      <c r="E382" t="s">
        <v>773</v>
      </c>
    </row>
    <row r="383" spans="2:5" x14ac:dyDescent="0.3">
      <c r="B383" t="s">
        <v>1102</v>
      </c>
      <c r="C383">
        <v>532888</v>
      </c>
      <c r="D383" t="s">
        <v>1101</v>
      </c>
      <c r="E383" t="s">
        <v>773</v>
      </c>
    </row>
    <row r="384" spans="2:5" x14ac:dyDescent="0.3">
      <c r="B384" t="s">
        <v>1103</v>
      </c>
      <c r="C384">
        <v>533227</v>
      </c>
      <c r="D384" t="s">
        <v>1104</v>
      </c>
      <c r="E384" t="s">
        <v>697</v>
      </c>
    </row>
    <row r="385" spans="2:5" x14ac:dyDescent="0.3">
      <c r="B385" t="s">
        <v>1105</v>
      </c>
      <c r="C385">
        <v>500023</v>
      </c>
      <c r="D385" t="s">
        <v>1106</v>
      </c>
      <c r="E385" t="s">
        <v>697</v>
      </c>
    </row>
    <row r="386" spans="2:5" x14ac:dyDescent="0.3">
      <c r="B386" t="s">
        <v>1107</v>
      </c>
      <c r="C386">
        <v>533221</v>
      </c>
      <c r="D386" t="s">
        <v>1108</v>
      </c>
      <c r="E386" t="s">
        <v>697</v>
      </c>
    </row>
    <row r="387" spans="2:5" x14ac:dyDescent="0.3">
      <c r="B387" t="s">
        <v>1109</v>
      </c>
      <c r="C387">
        <v>530355</v>
      </c>
      <c r="D387" t="s">
        <v>496</v>
      </c>
      <c r="E387" t="s">
        <v>837</v>
      </c>
    </row>
    <row r="388" spans="2:5" x14ac:dyDescent="0.3">
      <c r="B388" t="s">
        <v>1110</v>
      </c>
      <c r="C388">
        <v>500820</v>
      </c>
      <c r="D388" t="s">
        <v>1111</v>
      </c>
      <c r="E388" t="s">
        <v>773</v>
      </c>
    </row>
    <row r="389" spans="2:5" x14ac:dyDescent="0.3">
      <c r="B389" t="s">
        <v>1112</v>
      </c>
      <c r="C389">
        <v>524434</v>
      </c>
      <c r="D389" t="s">
        <v>496</v>
      </c>
      <c r="E389" t="s">
        <v>544</v>
      </c>
    </row>
    <row r="390" spans="2:5" x14ac:dyDescent="0.3">
      <c r="B390" t="s">
        <v>1113</v>
      </c>
      <c r="C390">
        <v>531847</v>
      </c>
      <c r="D390" t="s">
        <v>496</v>
      </c>
      <c r="E390" t="s">
        <v>610</v>
      </c>
    </row>
    <row r="391" spans="2:5" x14ac:dyDescent="0.3">
      <c r="B391" t="s">
        <v>1114</v>
      </c>
      <c r="C391">
        <v>519532</v>
      </c>
      <c r="D391" t="s">
        <v>496</v>
      </c>
      <c r="E391" t="s">
        <v>518</v>
      </c>
    </row>
    <row r="392" spans="2:5" x14ac:dyDescent="0.3">
      <c r="B392" t="s">
        <v>1115</v>
      </c>
      <c r="C392">
        <v>506159</v>
      </c>
      <c r="D392" t="s">
        <v>1116</v>
      </c>
      <c r="E392" t="s">
        <v>817</v>
      </c>
    </row>
    <row r="393" spans="2:5" x14ac:dyDescent="0.3">
      <c r="B393" t="s">
        <v>1117</v>
      </c>
      <c r="C393">
        <v>530723</v>
      </c>
      <c r="D393" t="s">
        <v>496</v>
      </c>
      <c r="E393" t="s">
        <v>479</v>
      </c>
    </row>
    <row r="394" spans="2:5" x14ac:dyDescent="0.3">
      <c r="B394" t="s">
        <v>1118</v>
      </c>
      <c r="C394" t="s">
        <v>496</v>
      </c>
      <c r="D394" t="s">
        <v>1119</v>
      </c>
      <c r="E394" t="s">
        <v>507</v>
      </c>
    </row>
    <row r="395" spans="2:5" x14ac:dyDescent="0.3">
      <c r="B395" t="s">
        <v>1120</v>
      </c>
      <c r="C395">
        <v>526433</v>
      </c>
      <c r="D395" t="s">
        <v>496</v>
      </c>
      <c r="E395" t="s">
        <v>482</v>
      </c>
    </row>
    <row r="396" spans="2:5" x14ac:dyDescent="0.3">
      <c r="B396" t="s">
        <v>1121</v>
      </c>
      <c r="C396" t="s">
        <v>496</v>
      </c>
      <c r="D396" t="s">
        <v>1122</v>
      </c>
      <c r="E396" t="s">
        <v>587</v>
      </c>
    </row>
    <row r="397" spans="2:5" x14ac:dyDescent="0.3">
      <c r="B397" t="s">
        <v>1123</v>
      </c>
      <c r="C397">
        <v>540788</v>
      </c>
      <c r="D397" t="s">
        <v>496</v>
      </c>
      <c r="E397" t="s">
        <v>685</v>
      </c>
    </row>
    <row r="398" spans="2:5" x14ac:dyDescent="0.3">
      <c r="B398" t="s">
        <v>1124</v>
      </c>
      <c r="C398">
        <v>500024</v>
      </c>
      <c r="D398" t="s">
        <v>1125</v>
      </c>
      <c r="E398" t="s">
        <v>903</v>
      </c>
    </row>
    <row r="399" spans="2:5" x14ac:dyDescent="0.3">
      <c r="B399" t="s">
        <v>1126</v>
      </c>
      <c r="C399">
        <v>500024</v>
      </c>
      <c r="D399" t="s">
        <v>1125</v>
      </c>
      <c r="E399" t="s">
        <v>903</v>
      </c>
    </row>
    <row r="400" spans="2:5" x14ac:dyDescent="0.3">
      <c r="B400" t="s">
        <v>1127</v>
      </c>
      <c r="C400">
        <v>507526</v>
      </c>
      <c r="D400" t="s">
        <v>496</v>
      </c>
      <c r="E400" t="s">
        <v>1128</v>
      </c>
    </row>
    <row r="401" spans="2:5" x14ac:dyDescent="0.3">
      <c r="B401" t="s">
        <v>1129</v>
      </c>
      <c r="C401">
        <v>533138</v>
      </c>
      <c r="D401" t="s">
        <v>1130</v>
      </c>
      <c r="E401" t="s">
        <v>640</v>
      </c>
    </row>
    <row r="402" spans="2:5" x14ac:dyDescent="0.3">
      <c r="B402" t="s">
        <v>1131</v>
      </c>
      <c r="C402">
        <v>540975</v>
      </c>
      <c r="D402" t="s">
        <v>1132</v>
      </c>
      <c r="E402" t="s">
        <v>685</v>
      </c>
    </row>
    <row r="403" spans="2:5" x14ac:dyDescent="0.3">
      <c r="B403" t="s">
        <v>1133</v>
      </c>
      <c r="C403">
        <v>532493</v>
      </c>
      <c r="D403" t="s">
        <v>1134</v>
      </c>
      <c r="E403" t="s">
        <v>969</v>
      </c>
    </row>
    <row r="404" spans="2:5" x14ac:dyDescent="0.3">
      <c r="B404" t="s">
        <v>1135</v>
      </c>
      <c r="C404">
        <v>532830</v>
      </c>
      <c r="D404" t="s">
        <v>1136</v>
      </c>
      <c r="E404" t="s">
        <v>616</v>
      </c>
    </row>
    <row r="405" spans="2:5" x14ac:dyDescent="0.3">
      <c r="B405" t="s">
        <v>1137</v>
      </c>
      <c r="C405">
        <v>506820</v>
      </c>
      <c r="D405" t="s">
        <v>1138</v>
      </c>
      <c r="E405" t="s">
        <v>534</v>
      </c>
    </row>
    <row r="406" spans="2:5" x14ac:dyDescent="0.3">
      <c r="B406" t="s">
        <v>1139</v>
      </c>
      <c r="C406">
        <v>506820</v>
      </c>
      <c r="D406" t="s">
        <v>1138</v>
      </c>
      <c r="E406" t="s">
        <v>534</v>
      </c>
    </row>
    <row r="407" spans="2:5" x14ac:dyDescent="0.3">
      <c r="B407" t="s">
        <v>1140</v>
      </c>
      <c r="C407">
        <v>540824</v>
      </c>
      <c r="D407" t="s">
        <v>1141</v>
      </c>
      <c r="E407" t="s">
        <v>490</v>
      </c>
    </row>
    <row r="408" spans="2:5" x14ac:dyDescent="0.3">
      <c r="B408" t="s">
        <v>1142</v>
      </c>
      <c r="C408">
        <v>512433</v>
      </c>
      <c r="D408" t="s">
        <v>496</v>
      </c>
      <c r="E408" t="s">
        <v>518</v>
      </c>
    </row>
    <row r="409" spans="2:5" x14ac:dyDescent="0.3">
      <c r="B409" t="s">
        <v>1143</v>
      </c>
      <c r="C409">
        <v>511144</v>
      </c>
      <c r="D409" t="s">
        <v>496</v>
      </c>
      <c r="E409" t="s">
        <v>482</v>
      </c>
    </row>
    <row r="410" spans="2:5" x14ac:dyDescent="0.3">
      <c r="B410" t="s">
        <v>1144</v>
      </c>
      <c r="C410">
        <v>530187</v>
      </c>
      <c r="D410" t="s">
        <v>496</v>
      </c>
      <c r="E410" t="s">
        <v>513</v>
      </c>
    </row>
    <row r="411" spans="2:5" x14ac:dyDescent="0.3">
      <c r="B411" t="s">
        <v>1145</v>
      </c>
      <c r="C411">
        <v>539099</v>
      </c>
      <c r="D411" t="s">
        <v>496</v>
      </c>
      <c r="E411" t="s">
        <v>582</v>
      </c>
    </row>
    <row r="412" spans="2:5" x14ac:dyDescent="0.3">
      <c r="B412" t="s">
        <v>1146</v>
      </c>
      <c r="C412">
        <v>517429</v>
      </c>
      <c r="D412" t="s">
        <v>1147</v>
      </c>
      <c r="E412" t="s">
        <v>589</v>
      </c>
    </row>
    <row r="413" spans="2:5" x14ac:dyDescent="0.3">
      <c r="B413" t="s">
        <v>1148</v>
      </c>
      <c r="C413">
        <v>538713</v>
      </c>
      <c r="D413" t="s">
        <v>496</v>
      </c>
      <c r="E413" t="s">
        <v>589</v>
      </c>
    </row>
    <row r="414" spans="2:5" x14ac:dyDescent="0.3">
      <c r="B414" t="s">
        <v>1149</v>
      </c>
      <c r="C414">
        <v>526843</v>
      </c>
      <c r="D414" t="s">
        <v>496</v>
      </c>
      <c r="E414" t="s">
        <v>518</v>
      </c>
    </row>
    <row r="415" spans="2:5" x14ac:dyDescent="0.3">
      <c r="B415" t="s">
        <v>1150</v>
      </c>
      <c r="C415">
        <v>532759</v>
      </c>
      <c r="D415" t="s">
        <v>1151</v>
      </c>
      <c r="E415" t="s">
        <v>894</v>
      </c>
    </row>
    <row r="416" spans="2:5" x14ac:dyDescent="0.3">
      <c r="B416" t="s">
        <v>1152</v>
      </c>
      <c r="C416">
        <v>505029</v>
      </c>
      <c r="D416" t="s">
        <v>1153</v>
      </c>
      <c r="E416" t="s">
        <v>1154</v>
      </c>
    </row>
    <row r="417" spans="2:5" x14ac:dyDescent="0.3">
      <c r="B417" t="s">
        <v>1155</v>
      </c>
      <c r="C417">
        <v>514394</v>
      </c>
      <c r="D417" t="s">
        <v>496</v>
      </c>
      <c r="E417" t="s">
        <v>610</v>
      </c>
    </row>
    <row r="418" spans="2:5" x14ac:dyDescent="0.3">
      <c r="B418" t="s">
        <v>1156</v>
      </c>
      <c r="C418">
        <v>514394</v>
      </c>
      <c r="D418" t="s">
        <v>496</v>
      </c>
      <c r="E418" t="s">
        <v>610</v>
      </c>
    </row>
    <row r="419" spans="2:5" x14ac:dyDescent="0.3">
      <c r="B419" t="s">
        <v>1157</v>
      </c>
      <c r="C419">
        <v>531795</v>
      </c>
      <c r="D419" t="s">
        <v>1158</v>
      </c>
      <c r="E419" t="s">
        <v>1154</v>
      </c>
    </row>
    <row r="420" spans="2:5" x14ac:dyDescent="0.3">
      <c r="B420" t="s">
        <v>1159</v>
      </c>
      <c r="C420">
        <v>500027</v>
      </c>
      <c r="D420" t="s">
        <v>1160</v>
      </c>
      <c r="E420" t="s">
        <v>640</v>
      </c>
    </row>
    <row r="421" spans="2:5" x14ac:dyDescent="0.3">
      <c r="B421" t="s">
        <v>1161</v>
      </c>
      <c r="C421">
        <v>500028</v>
      </c>
      <c r="D421" t="s">
        <v>496</v>
      </c>
      <c r="E421" t="s">
        <v>894</v>
      </c>
    </row>
    <row r="422" spans="2:5" x14ac:dyDescent="0.3">
      <c r="B422" t="s">
        <v>1162</v>
      </c>
      <c r="C422">
        <v>500028</v>
      </c>
      <c r="D422" t="s">
        <v>496</v>
      </c>
      <c r="E422" t="s">
        <v>894</v>
      </c>
    </row>
    <row r="423" spans="2:5" x14ac:dyDescent="0.3">
      <c r="B423" t="s">
        <v>1163</v>
      </c>
      <c r="C423">
        <v>540611</v>
      </c>
      <c r="D423" t="s">
        <v>1164</v>
      </c>
      <c r="E423" t="s">
        <v>814</v>
      </c>
    </row>
    <row r="424" spans="2:5" x14ac:dyDescent="0.3">
      <c r="B424" t="s">
        <v>1165</v>
      </c>
      <c r="C424">
        <v>532459</v>
      </c>
      <c r="D424" t="s">
        <v>496</v>
      </c>
      <c r="E424" t="s">
        <v>511</v>
      </c>
    </row>
    <row r="425" spans="2:5" x14ac:dyDescent="0.3">
      <c r="B425" t="s">
        <v>1166</v>
      </c>
      <c r="C425" t="s">
        <v>496</v>
      </c>
      <c r="D425" t="s">
        <v>1167</v>
      </c>
      <c r="E425" t="s">
        <v>507</v>
      </c>
    </row>
    <row r="426" spans="2:5" x14ac:dyDescent="0.3">
      <c r="B426" t="s">
        <v>1168</v>
      </c>
      <c r="C426">
        <v>532668</v>
      </c>
      <c r="D426" t="s">
        <v>1169</v>
      </c>
      <c r="E426" t="s">
        <v>589</v>
      </c>
    </row>
    <row r="427" spans="2:5" x14ac:dyDescent="0.3">
      <c r="B427" t="s">
        <v>1170</v>
      </c>
      <c r="C427">
        <v>530233</v>
      </c>
      <c r="D427" t="s">
        <v>496</v>
      </c>
      <c r="E427" t="s">
        <v>534</v>
      </c>
    </row>
    <row r="428" spans="2:5" x14ac:dyDescent="0.3">
      <c r="B428" t="s">
        <v>1171</v>
      </c>
      <c r="C428">
        <v>524804</v>
      </c>
      <c r="D428" t="s">
        <v>1172</v>
      </c>
      <c r="E428" t="s">
        <v>534</v>
      </c>
    </row>
    <row r="429" spans="2:5" x14ac:dyDescent="0.3">
      <c r="B429" t="s">
        <v>1173</v>
      </c>
      <c r="C429">
        <v>531336</v>
      </c>
      <c r="D429" t="s">
        <v>496</v>
      </c>
      <c r="E429" t="s">
        <v>1174</v>
      </c>
    </row>
    <row r="430" spans="2:5" x14ac:dyDescent="0.3">
      <c r="B430" t="s">
        <v>1175</v>
      </c>
      <c r="C430">
        <v>509009</v>
      </c>
      <c r="D430" t="s">
        <v>1176</v>
      </c>
      <c r="E430" t="s">
        <v>518</v>
      </c>
    </row>
    <row r="431" spans="2:5" x14ac:dyDescent="0.3">
      <c r="B431" t="s">
        <v>1177</v>
      </c>
      <c r="C431">
        <v>522005</v>
      </c>
      <c r="D431" t="s">
        <v>496</v>
      </c>
      <c r="E431" t="s">
        <v>504</v>
      </c>
    </row>
    <row r="432" spans="2:5" x14ac:dyDescent="0.3">
      <c r="B432" t="s">
        <v>1178</v>
      </c>
      <c r="C432">
        <v>539177</v>
      </c>
      <c r="D432" t="s">
        <v>496</v>
      </c>
      <c r="E432" t="s">
        <v>513</v>
      </c>
    </row>
    <row r="433" spans="2:5" x14ac:dyDescent="0.3">
      <c r="B433" t="s">
        <v>1179</v>
      </c>
      <c r="C433">
        <v>531994</v>
      </c>
      <c r="D433" t="s">
        <v>496</v>
      </c>
      <c r="E433" t="s">
        <v>851</v>
      </c>
    </row>
    <row r="434" spans="2:5" x14ac:dyDescent="0.3">
      <c r="B434" t="s">
        <v>1180</v>
      </c>
      <c r="C434">
        <v>531994</v>
      </c>
      <c r="D434" t="s">
        <v>496</v>
      </c>
      <c r="E434" t="s">
        <v>851</v>
      </c>
    </row>
    <row r="435" spans="2:5" x14ac:dyDescent="0.3">
      <c r="B435" t="s">
        <v>1181</v>
      </c>
      <c r="C435">
        <v>532797</v>
      </c>
      <c r="D435" t="s">
        <v>1182</v>
      </c>
      <c r="E435" t="s">
        <v>851</v>
      </c>
    </row>
    <row r="436" spans="2:5" x14ac:dyDescent="0.3">
      <c r="B436" t="s">
        <v>1183</v>
      </c>
      <c r="C436">
        <v>500029</v>
      </c>
      <c r="D436" t="s">
        <v>1184</v>
      </c>
      <c r="E436" t="s">
        <v>851</v>
      </c>
    </row>
    <row r="437" spans="2:5" x14ac:dyDescent="0.3">
      <c r="B437" t="s">
        <v>1185</v>
      </c>
      <c r="C437">
        <v>500029</v>
      </c>
      <c r="D437" t="s">
        <v>1184</v>
      </c>
      <c r="E437" t="s">
        <v>851</v>
      </c>
    </row>
    <row r="438" spans="2:5" x14ac:dyDescent="0.3">
      <c r="B438" t="s">
        <v>1186</v>
      </c>
      <c r="C438">
        <v>505036</v>
      </c>
      <c r="D438" t="s">
        <v>496</v>
      </c>
      <c r="E438" t="s">
        <v>851</v>
      </c>
    </row>
    <row r="439" spans="2:5" x14ac:dyDescent="0.3">
      <c r="B439" t="s">
        <v>1187</v>
      </c>
      <c r="C439">
        <v>505010</v>
      </c>
      <c r="D439" t="s">
        <v>1188</v>
      </c>
      <c r="E439" t="s">
        <v>851</v>
      </c>
    </row>
    <row r="440" spans="2:5" x14ac:dyDescent="0.3">
      <c r="B440" t="s">
        <v>1189</v>
      </c>
      <c r="C440">
        <v>520119</v>
      </c>
      <c r="D440" t="s">
        <v>1190</v>
      </c>
      <c r="E440" t="s">
        <v>851</v>
      </c>
    </row>
    <row r="441" spans="2:5" x14ac:dyDescent="0.3">
      <c r="B441" t="s">
        <v>1191</v>
      </c>
      <c r="C441">
        <v>512277</v>
      </c>
      <c r="D441" t="s">
        <v>496</v>
      </c>
      <c r="E441" t="s">
        <v>817</v>
      </c>
    </row>
    <row r="442" spans="2:5" x14ac:dyDescent="0.3">
      <c r="B442" t="s">
        <v>1192</v>
      </c>
      <c r="C442">
        <v>780004</v>
      </c>
      <c r="D442" t="s">
        <v>496</v>
      </c>
      <c r="E442" t="s">
        <v>587</v>
      </c>
    </row>
    <row r="443" spans="2:5" x14ac:dyDescent="0.3">
      <c r="B443" t="s">
        <v>1193</v>
      </c>
      <c r="C443">
        <v>540649</v>
      </c>
      <c r="D443" t="s">
        <v>1194</v>
      </c>
      <c r="E443" t="s">
        <v>1195</v>
      </c>
    </row>
    <row r="444" spans="2:5" x14ac:dyDescent="0.3">
      <c r="B444" t="s">
        <v>1196</v>
      </c>
      <c r="C444">
        <v>531310</v>
      </c>
      <c r="D444" t="s">
        <v>496</v>
      </c>
      <c r="E444" t="s">
        <v>479</v>
      </c>
    </row>
    <row r="445" spans="2:5" x14ac:dyDescent="0.3">
      <c r="B445" t="s">
        <v>1197</v>
      </c>
      <c r="C445">
        <v>512149</v>
      </c>
      <c r="D445" t="s">
        <v>496</v>
      </c>
      <c r="E445" t="s">
        <v>589</v>
      </c>
    </row>
    <row r="446" spans="2:5" x14ac:dyDescent="0.3">
      <c r="B446" t="s">
        <v>1198</v>
      </c>
      <c r="C446">
        <v>532406</v>
      </c>
      <c r="D446" t="s">
        <v>496</v>
      </c>
      <c r="E446" t="s">
        <v>642</v>
      </c>
    </row>
    <row r="447" spans="2:5" x14ac:dyDescent="0.3">
      <c r="B447" t="s">
        <v>1199</v>
      </c>
      <c r="C447">
        <v>512573</v>
      </c>
      <c r="D447" t="s">
        <v>1200</v>
      </c>
      <c r="E447" t="s">
        <v>576</v>
      </c>
    </row>
    <row r="448" spans="2:5" x14ac:dyDescent="0.3">
      <c r="B448" t="s">
        <v>1201</v>
      </c>
      <c r="C448">
        <v>540376</v>
      </c>
      <c r="D448" t="s">
        <v>1202</v>
      </c>
      <c r="E448" t="s">
        <v>665</v>
      </c>
    </row>
    <row r="449" spans="2:5" x14ac:dyDescent="0.3">
      <c r="B449" t="s">
        <v>1203</v>
      </c>
      <c r="C449" t="s">
        <v>496</v>
      </c>
      <c r="D449" t="s">
        <v>1204</v>
      </c>
      <c r="E449" t="s">
        <v>507</v>
      </c>
    </row>
    <row r="450" spans="2:5" x14ac:dyDescent="0.3">
      <c r="B450" t="s">
        <v>1205</v>
      </c>
      <c r="C450">
        <v>539288</v>
      </c>
      <c r="D450" t="s">
        <v>496</v>
      </c>
      <c r="E450" t="s">
        <v>656</v>
      </c>
    </row>
    <row r="451" spans="2:5" x14ac:dyDescent="0.3">
      <c r="B451" t="s">
        <v>1206</v>
      </c>
      <c r="C451">
        <v>523896</v>
      </c>
      <c r="D451" t="s">
        <v>496</v>
      </c>
      <c r="E451" t="s">
        <v>518</v>
      </c>
    </row>
    <row r="452" spans="2:5" x14ac:dyDescent="0.3">
      <c r="B452" t="s">
        <v>1207</v>
      </c>
      <c r="C452">
        <v>523896</v>
      </c>
      <c r="D452" t="s">
        <v>496</v>
      </c>
      <c r="E452" t="s">
        <v>518</v>
      </c>
    </row>
    <row r="453" spans="2:5" x14ac:dyDescent="0.3">
      <c r="B453" t="s">
        <v>1208</v>
      </c>
      <c r="C453">
        <v>512109</v>
      </c>
      <c r="D453" t="s">
        <v>496</v>
      </c>
      <c r="E453" t="s">
        <v>518</v>
      </c>
    </row>
    <row r="454" spans="2:5" x14ac:dyDescent="0.3">
      <c r="B454" t="s">
        <v>1209</v>
      </c>
      <c r="C454">
        <v>531541</v>
      </c>
      <c r="D454" t="s">
        <v>496</v>
      </c>
      <c r="E454" t="s">
        <v>544</v>
      </c>
    </row>
    <row r="455" spans="2:5" x14ac:dyDescent="0.3">
      <c r="B455" t="s">
        <v>1210</v>
      </c>
      <c r="C455" t="s">
        <v>496</v>
      </c>
      <c r="D455" t="s">
        <v>1211</v>
      </c>
      <c r="E455" t="s">
        <v>507</v>
      </c>
    </row>
    <row r="456" spans="2:5" x14ac:dyDescent="0.3">
      <c r="B456" t="s">
        <v>1212</v>
      </c>
      <c r="C456">
        <v>511589</v>
      </c>
      <c r="D456" t="s">
        <v>496</v>
      </c>
      <c r="E456" t="s">
        <v>513</v>
      </c>
    </row>
    <row r="457" spans="2:5" x14ac:dyDescent="0.3">
      <c r="B457" t="s">
        <v>1213</v>
      </c>
      <c r="C457" t="s">
        <v>496</v>
      </c>
      <c r="D457" t="s">
        <v>1214</v>
      </c>
      <c r="E457" t="s">
        <v>507</v>
      </c>
    </row>
    <row r="458" spans="2:5" x14ac:dyDescent="0.3">
      <c r="B458" t="s">
        <v>1215</v>
      </c>
      <c r="C458">
        <v>519105</v>
      </c>
      <c r="D458" t="s">
        <v>1216</v>
      </c>
      <c r="E458" t="s">
        <v>694</v>
      </c>
    </row>
    <row r="459" spans="2:5" x14ac:dyDescent="0.3">
      <c r="B459" t="s">
        <v>1217</v>
      </c>
      <c r="C459">
        <v>504390</v>
      </c>
      <c r="D459" t="s">
        <v>496</v>
      </c>
      <c r="E459" t="s">
        <v>479</v>
      </c>
    </row>
    <row r="460" spans="2:5" x14ac:dyDescent="0.3">
      <c r="B460" t="s">
        <v>1218</v>
      </c>
      <c r="C460">
        <v>513642</v>
      </c>
      <c r="D460" t="s">
        <v>496</v>
      </c>
      <c r="E460" t="s">
        <v>616</v>
      </c>
    </row>
    <row r="461" spans="2:5" x14ac:dyDescent="0.3">
      <c r="B461" t="s">
        <v>1219</v>
      </c>
      <c r="C461">
        <v>532215</v>
      </c>
      <c r="D461" t="s">
        <v>1220</v>
      </c>
      <c r="E461" t="s">
        <v>814</v>
      </c>
    </row>
    <row r="462" spans="2:5" x14ac:dyDescent="0.3">
      <c r="B462" t="s">
        <v>1221</v>
      </c>
      <c r="C462">
        <v>532395</v>
      </c>
      <c r="D462" t="s">
        <v>1222</v>
      </c>
      <c r="E462" t="s">
        <v>826</v>
      </c>
    </row>
    <row r="463" spans="2:5" x14ac:dyDescent="0.3">
      <c r="B463" t="s">
        <v>1223</v>
      </c>
      <c r="C463">
        <v>542285</v>
      </c>
      <c r="D463" t="s">
        <v>1224</v>
      </c>
      <c r="E463" t="s">
        <v>511</v>
      </c>
    </row>
    <row r="464" spans="2:5" x14ac:dyDescent="0.3">
      <c r="B464" t="s">
        <v>1225</v>
      </c>
      <c r="C464">
        <v>505506</v>
      </c>
      <c r="D464" t="s">
        <v>496</v>
      </c>
      <c r="E464" t="s">
        <v>589</v>
      </c>
    </row>
    <row r="465" spans="2:5" x14ac:dyDescent="0.3">
      <c r="B465" t="s">
        <v>1226</v>
      </c>
      <c r="C465">
        <v>523850</v>
      </c>
      <c r="D465" t="s">
        <v>496</v>
      </c>
      <c r="E465" t="s">
        <v>504</v>
      </c>
    </row>
    <row r="466" spans="2:5" x14ac:dyDescent="0.3">
      <c r="B466" t="s">
        <v>1227</v>
      </c>
      <c r="C466">
        <v>523168</v>
      </c>
      <c r="D466" t="s">
        <v>496</v>
      </c>
      <c r="E466" t="s">
        <v>710</v>
      </c>
    </row>
    <row r="467" spans="2:5" x14ac:dyDescent="0.3">
      <c r="B467" t="s">
        <v>1228</v>
      </c>
      <c r="C467">
        <v>508933</v>
      </c>
      <c r="D467" t="s">
        <v>1229</v>
      </c>
      <c r="E467" t="s">
        <v>511</v>
      </c>
    </row>
    <row r="468" spans="2:5" x14ac:dyDescent="0.3">
      <c r="B468" t="s">
        <v>1230</v>
      </c>
      <c r="C468">
        <v>512063</v>
      </c>
      <c r="D468" t="s">
        <v>496</v>
      </c>
      <c r="E468" t="s">
        <v>518</v>
      </c>
    </row>
    <row r="469" spans="2:5" x14ac:dyDescent="0.3">
      <c r="B469" t="s">
        <v>1231</v>
      </c>
      <c r="C469">
        <v>536965</v>
      </c>
      <c r="D469" t="s">
        <v>496</v>
      </c>
      <c r="E469" t="s">
        <v>513</v>
      </c>
    </row>
    <row r="470" spans="2:5" x14ac:dyDescent="0.3">
      <c r="B470" t="s">
        <v>1232</v>
      </c>
      <c r="C470">
        <v>508136</v>
      </c>
      <c r="D470" t="s">
        <v>496</v>
      </c>
      <c r="E470" t="s">
        <v>903</v>
      </c>
    </row>
    <row r="471" spans="2:5" x14ac:dyDescent="0.3">
      <c r="B471" t="s">
        <v>1233</v>
      </c>
      <c r="C471">
        <v>532507</v>
      </c>
      <c r="D471" t="s">
        <v>1234</v>
      </c>
      <c r="E471" t="s">
        <v>1235</v>
      </c>
    </row>
    <row r="472" spans="2:5" x14ac:dyDescent="0.3">
      <c r="B472" t="s">
        <v>1236</v>
      </c>
      <c r="C472">
        <v>537766</v>
      </c>
      <c r="D472" t="s">
        <v>496</v>
      </c>
      <c r="E472" t="s">
        <v>794</v>
      </c>
    </row>
    <row r="473" spans="2:5" x14ac:dyDescent="0.3">
      <c r="B473" t="s">
        <v>1237</v>
      </c>
      <c r="C473">
        <v>532719</v>
      </c>
      <c r="D473" t="s">
        <v>1238</v>
      </c>
      <c r="E473" t="s">
        <v>582</v>
      </c>
    </row>
    <row r="474" spans="2:5" x14ac:dyDescent="0.3">
      <c r="B474" t="s">
        <v>1239</v>
      </c>
      <c r="C474">
        <v>523019</v>
      </c>
      <c r="D474" t="s">
        <v>496</v>
      </c>
      <c r="E474" t="s">
        <v>479</v>
      </c>
    </row>
    <row r="475" spans="2:5" x14ac:dyDescent="0.3">
      <c r="B475" t="s">
        <v>1240</v>
      </c>
      <c r="C475">
        <v>523186</v>
      </c>
      <c r="D475" t="s">
        <v>496</v>
      </c>
      <c r="E475" t="s">
        <v>490</v>
      </c>
    </row>
    <row r="476" spans="2:5" x14ac:dyDescent="0.3">
      <c r="B476" t="s">
        <v>1241</v>
      </c>
      <c r="C476">
        <v>523186</v>
      </c>
      <c r="D476" t="s">
        <v>496</v>
      </c>
      <c r="E476" t="s">
        <v>490</v>
      </c>
    </row>
    <row r="477" spans="2:5" x14ac:dyDescent="0.3">
      <c r="B477" t="s">
        <v>1242</v>
      </c>
      <c r="C477" t="s">
        <v>496</v>
      </c>
      <c r="D477" t="s">
        <v>1243</v>
      </c>
      <c r="E477" t="s">
        <v>507</v>
      </c>
    </row>
    <row r="478" spans="2:5" x14ac:dyDescent="0.3">
      <c r="B478" t="s">
        <v>1244</v>
      </c>
      <c r="C478">
        <v>542206</v>
      </c>
      <c r="D478" t="s">
        <v>1245</v>
      </c>
      <c r="E478" t="s">
        <v>862</v>
      </c>
    </row>
    <row r="479" spans="2:5" x14ac:dyDescent="0.3">
      <c r="B479" t="s">
        <v>1246</v>
      </c>
      <c r="C479">
        <v>531268</v>
      </c>
      <c r="D479" t="s">
        <v>496</v>
      </c>
      <c r="E479" t="s">
        <v>589</v>
      </c>
    </row>
    <row r="480" spans="2:5" x14ac:dyDescent="0.3">
      <c r="B480" t="s">
        <v>1247</v>
      </c>
      <c r="C480">
        <v>532380</v>
      </c>
      <c r="D480" t="s">
        <v>496</v>
      </c>
      <c r="E480" t="s">
        <v>499</v>
      </c>
    </row>
    <row r="481" spans="2:5" x14ac:dyDescent="0.3">
      <c r="B481" t="s">
        <v>1248</v>
      </c>
      <c r="C481">
        <v>524516</v>
      </c>
      <c r="D481" t="s">
        <v>496</v>
      </c>
      <c r="E481" t="s">
        <v>534</v>
      </c>
    </row>
    <row r="482" spans="2:5" x14ac:dyDescent="0.3">
      <c r="B482" t="s">
        <v>1249</v>
      </c>
      <c r="C482">
        <v>532989</v>
      </c>
      <c r="D482" t="s">
        <v>1250</v>
      </c>
      <c r="E482" t="s">
        <v>534</v>
      </c>
    </row>
    <row r="483" spans="2:5" x14ac:dyDescent="0.3">
      <c r="B483" t="s">
        <v>1251</v>
      </c>
      <c r="C483">
        <v>530197</v>
      </c>
      <c r="D483" t="s">
        <v>496</v>
      </c>
      <c r="E483" t="s">
        <v>656</v>
      </c>
    </row>
    <row r="484" spans="2:5" x14ac:dyDescent="0.3">
      <c r="B484" t="s">
        <v>1252</v>
      </c>
      <c r="C484">
        <v>511724</v>
      </c>
      <c r="D484" t="s">
        <v>496</v>
      </c>
      <c r="E484" t="s">
        <v>513</v>
      </c>
    </row>
    <row r="485" spans="2:5" x14ac:dyDescent="0.3">
      <c r="B485" t="s">
        <v>1253</v>
      </c>
      <c r="C485">
        <v>532977</v>
      </c>
      <c r="D485" t="s">
        <v>1254</v>
      </c>
      <c r="E485" t="s">
        <v>1154</v>
      </c>
    </row>
    <row r="486" spans="2:5" x14ac:dyDescent="0.3">
      <c r="B486" t="s">
        <v>1255</v>
      </c>
      <c r="C486" t="s">
        <v>496</v>
      </c>
      <c r="D486" t="s">
        <v>1256</v>
      </c>
      <c r="E486" t="s">
        <v>678</v>
      </c>
    </row>
    <row r="487" spans="2:5" x14ac:dyDescent="0.3">
      <c r="B487" t="s">
        <v>1257</v>
      </c>
      <c r="C487">
        <v>533229</v>
      </c>
      <c r="D487" t="s">
        <v>1258</v>
      </c>
      <c r="E487" t="s">
        <v>678</v>
      </c>
    </row>
    <row r="488" spans="2:5" x14ac:dyDescent="0.3">
      <c r="B488" t="s">
        <v>1259</v>
      </c>
      <c r="C488">
        <v>500031</v>
      </c>
      <c r="D488" t="s">
        <v>1260</v>
      </c>
      <c r="E488" t="s">
        <v>1261</v>
      </c>
    </row>
    <row r="489" spans="2:5" x14ac:dyDescent="0.3">
      <c r="B489" t="s">
        <v>1262</v>
      </c>
      <c r="C489">
        <v>500034</v>
      </c>
      <c r="D489" t="s">
        <v>1263</v>
      </c>
      <c r="E489" t="s">
        <v>513</v>
      </c>
    </row>
    <row r="490" spans="2:5" x14ac:dyDescent="0.3">
      <c r="B490" t="s">
        <v>1264</v>
      </c>
      <c r="C490">
        <v>532978</v>
      </c>
      <c r="D490" t="s">
        <v>1265</v>
      </c>
      <c r="E490" t="s">
        <v>662</v>
      </c>
    </row>
    <row r="491" spans="2:5" x14ac:dyDescent="0.3">
      <c r="B491" t="s">
        <v>1266</v>
      </c>
      <c r="C491">
        <v>512261</v>
      </c>
      <c r="D491" t="s">
        <v>496</v>
      </c>
      <c r="E491" t="s">
        <v>518</v>
      </c>
    </row>
    <row r="492" spans="2:5" x14ac:dyDescent="0.3">
      <c r="B492" t="s">
        <v>1267</v>
      </c>
      <c r="C492">
        <v>539872</v>
      </c>
      <c r="D492" t="s">
        <v>496</v>
      </c>
      <c r="E492" t="s">
        <v>534</v>
      </c>
    </row>
    <row r="493" spans="2:5" x14ac:dyDescent="0.3">
      <c r="B493" t="s">
        <v>1268</v>
      </c>
      <c r="C493">
        <v>500032</v>
      </c>
      <c r="D493" t="s">
        <v>1269</v>
      </c>
      <c r="E493" t="s">
        <v>1195</v>
      </c>
    </row>
    <row r="494" spans="2:5" x14ac:dyDescent="0.3">
      <c r="B494" t="s">
        <v>1270</v>
      </c>
      <c r="C494">
        <v>500490</v>
      </c>
      <c r="D494" t="s">
        <v>1271</v>
      </c>
      <c r="E494" t="s">
        <v>662</v>
      </c>
    </row>
    <row r="495" spans="2:5" x14ac:dyDescent="0.3">
      <c r="B495" t="s">
        <v>1272</v>
      </c>
      <c r="C495">
        <v>507944</v>
      </c>
      <c r="D495" t="s">
        <v>496</v>
      </c>
      <c r="E495" t="s">
        <v>504</v>
      </c>
    </row>
    <row r="496" spans="2:5" x14ac:dyDescent="0.3">
      <c r="B496" t="s">
        <v>1273</v>
      </c>
      <c r="C496">
        <v>511139</v>
      </c>
      <c r="D496" t="s">
        <v>496</v>
      </c>
      <c r="E496" t="s">
        <v>917</v>
      </c>
    </row>
    <row r="497" spans="2:5" x14ac:dyDescent="0.3">
      <c r="B497" t="s">
        <v>1274</v>
      </c>
      <c r="C497">
        <v>524824</v>
      </c>
      <c r="D497" t="s">
        <v>1275</v>
      </c>
      <c r="E497" t="s">
        <v>534</v>
      </c>
    </row>
    <row r="498" spans="2:5" x14ac:dyDescent="0.3">
      <c r="B498" t="s">
        <v>1276</v>
      </c>
      <c r="C498">
        <v>530999</v>
      </c>
      <c r="D498" t="s">
        <v>1277</v>
      </c>
      <c r="E498" t="s">
        <v>544</v>
      </c>
    </row>
    <row r="499" spans="2:5" x14ac:dyDescent="0.3">
      <c r="B499" t="s">
        <v>1278</v>
      </c>
      <c r="C499">
        <v>532382</v>
      </c>
      <c r="D499" t="s">
        <v>1279</v>
      </c>
      <c r="E499" t="s">
        <v>1235</v>
      </c>
    </row>
    <row r="500" spans="2:5" x14ac:dyDescent="0.3">
      <c r="B500" t="s">
        <v>1280</v>
      </c>
      <c r="C500">
        <v>513142</v>
      </c>
      <c r="D500" t="s">
        <v>496</v>
      </c>
      <c r="E500" t="s">
        <v>528</v>
      </c>
    </row>
    <row r="501" spans="2:5" x14ac:dyDescent="0.3">
      <c r="B501" t="s">
        <v>1281</v>
      </c>
      <c r="C501" t="s">
        <v>496</v>
      </c>
      <c r="D501" t="s">
        <v>1282</v>
      </c>
      <c r="E501" t="s">
        <v>1283</v>
      </c>
    </row>
    <row r="502" spans="2:5" x14ac:dyDescent="0.3">
      <c r="B502" t="s">
        <v>1284</v>
      </c>
      <c r="C502">
        <v>539834</v>
      </c>
      <c r="D502" t="s">
        <v>496</v>
      </c>
      <c r="E502" t="s">
        <v>518</v>
      </c>
    </row>
    <row r="503" spans="2:5" x14ac:dyDescent="0.3">
      <c r="B503" t="s">
        <v>1285</v>
      </c>
      <c r="C503">
        <v>502355</v>
      </c>
      <c r="D503" t="s">
        <v>1286</v>
      </c>
      <c r="E503" t="s">
        <v>976</v>
      </c>
    </row>
    <row r="504" spans="2:5" x14ac:dyDescent="0.3">
      <c r="B504" t="s">
        <v>1287</v>
      </c>
      <c r="C504">
        <v>539251</v>
      </c>
      <c r="D504" t="s">
        <v>1288</v>
      </c>
      <c r="E504" t="s">
        <v>691</v>
      </c>
    </row>
    <row r="505" spans="2:5" x14ac:dyDescent="0.3">
      <c r="B505" t="s">
        <v>1289</v>
      </c>
      <c r="C505">
        <v>500102</v>
      </c>
      <c r="D505" t="s">
        <v>1290</v>
      </c>
      <c r="E505" t="s">
        <v>490</v>
      </c>
    </row>
    <row r="506" spans="2:5" x14ac:dyDescent="0.3">
      <c r="B506" t="s">
        <v>1291</v>
      </c>
      <c r="C506">
        <v>523319</v>
      </c>
      <c r="D506" t="s">
        <v>1292</v>
      </c>
      <c r="E506" t="s">
        <v>485</v>
      </c>
    </row>
    <row r="507" spans="2:5" x14ac:dyDescent="0.3">
      <c r="B507" t="s">
        <v>1293</v>
      </c>
      <c r="C507">
        <v>532485</v>
      </c>
      <c r="D507" t="s">
        <v>496</v>
      </c>
      <c r="E507" t="s">
        <v>513</v>
      </c>
    </row>
    <row r="508" spans="2:5" x14ac:dyDescent="0.3">
      <c r="B508" t="s">
        <v>1294</v>
      </c>
      <c r="C508">
        <v>500038</v>
      </c>
      <c r="D508" t="s">
        <v>1295</v>
      </c>
      <c r="E508" t="s">
        <v>1195</v>
      </c>
    </row>
    <row r="509" spans="2:5" x14ac:dyDescent="0.3">
      <c r="B509" t="s">
        <v>1296</v>
      </c>
      <c r="C509">
        <v>520127</v>
      </c>
      <c r="D509" t="s">
        <v>496</v>
      </c>
      <c r="E509" t="s">
        <v>568</v>
      </c>
    </row>
    <row r="510" spans="2:5" x14ac:dyDescent="0.3">
      <c r="B510" t="s">
        <v>1297</v>
      </c>
      <c r="C510">
        <v>519295</v>
      </c>
      <c r="D510" t="s">
        <v>496</v>
      </c>
      <c r="E510" t="s">
        <v>556</v>
      </c>
    </row>
    <row r="511" spans="2:5" x14ac:dyDescent="0.3">
      <c r="B511" t="s">
        <v>1298</v>
      </c>
      <c r="C511">
        <v>531591</v>
      </c>
      <c r="D511" t="s">
        <v>496</v>
      </c>
      <c r="E511" t="s">
        <v>513</v>
      </c>
    </row>
    <row r="512" spans="2:5" x14ac:dyDescent="0.3">
      <c r="B512" t="s">
        <v>1299</v>
      </c>
      <c r="C512">
        <v>526849</v>
      </c>
      <c r="D512" t="s">
        <v>1300</v>
      </c>
      <c r="E512" t="s">
        <v>610</v>
      </c>
    </row>
    <row r="513" spans="2:5" x14ac:dyDescent="0.3">
      <c r="B513" t="s">
        <v>1301</v>
      </c>
      <c r="C513">
        <v>509053</v>
      </c>
      <c r="D513" t="s">
        <v>496</v>
      </c>
      <c r="E513" t="s">
        <v>917</v>
      </c>
    </row>
    <row r="514" spans="2:5" x14ac:dyDescent="0.3">
      <c r="B514" t="s">
        <v>1302</v>
      </c>
      <c r="C514">
        <v>500039</v>
      </c>
      <c r="D514" t="s">
        <v>1303</v>
      </c>
      <c r="E514" t="s">
        <v>851</v>
      </c>
    </row>
    <row r="515" spans="2:5" x14ac:dyDescent="0.3">
      <c r="B515" t="s">
        <v>1304</v>
      </c>
      <c r="C515">
        <v>541153</v>
      </c>
      <c r="D515" t="s">
        <v>1305</v>
      </c>
      <c r="E515" t="s">
        <v>814</v>
      </c>
    </row>
    <row r="516" spans="2:5" x14ac:dyDescent="0.3">
      <c r="B516" t="s">
        <v>1306</v>
      </c>
      <c r="C516">
        <v>532946</v>
      </c>
      <c r="D516" t="s">
        <v>1307</v>
      </c>
      <c r="E516" t="s">
        <v>610</v>
      </c>
    </row>
    <row r="517" spans="2:5" x14ac:dyDescent="0.3">
      <c r="B517" t="s">
        <v>1308</v>
      </c>
      <c r="C517">
        <v>539120</v>
      </c>
      <c r="D517" t="s">
        <v>496</v>
      </c>
      <c r="E517" t="s">
        <v>733</v>
      </c>
    </row>
    <row r="518" spans="2:5" x14ac:dyDescent="0.3">
      <c r="B518" t="s">
        <v>1309</v>
      </c>
      <c r="C518">
        <v>532134</v>
      </c>
      <c r="D518" t="s">
        <v>1310</v>
      </c>
      <c r="E518" t="s">
        <v>814</v>
      </c>
    </row>
    <row r="519" spans="2:5" x14ac:dyDescent="0.3">
      <c r="B519" t="s">
        <v>1311</v>
      </c>
      <c r="C519">
        <v>532149</v>
      </c>
      <c r="D519" t="s">
        <v>1312</v>
      </c>
      <c r="E519" t="s">
        <v>814</v>
      </c>
    </row>
    <row r="520" spans="2:5" x14ac:dyDescent="0.3">
      <c r="B520" t="s">
        <v>1313</v>
      </c>
      <c r="C520">
        <v>532525</v>
      </c>
      <c r="D520" t="s">
        <v>1314</v>
      </c>
      <c r="E520" t="s">
        <v>814</v>
      </c>
    </row>
    <row r="521" spans="2:5" x14ac:dyDescent="0.3">
      <c r="B521" t="s">
        <v>1315</v>
      </c>
      <c r="C521" t="s">
        <v>496</v>
      </c>
      <c r="D521" t="s">
        <v>1316</v>
      </c>
      <c r="E521" t="s">
        <v>507</v>
      </c>
    </row>
    <row r="522" spans="2:5" x14ac:dyDescent="0.3">
      <c r="B522" t="s">
        <v>1317</v>
      </c>
      <c r="C522">
        <v>532674</v>
      </c>
      <c r="D522" t="s">
        <v>1318</v>
      </c>
      <c r="E522" t="s">
        <v>511</v>
      </c>
    </row>
    <row r="523" spans="2:5" x14ac:dyDescent="0.3">
      <c r="B523" t="s">
        <v>1319</v>
      </c>
      <c r="C523">
        <v>500041</v>
      </c>
      <c r="D523" t="s">
        <v>1320</v>
      </c>
      <c r="E523" t="s">
        <v>1195</v>
      </c>
    </row>
    <row r="524" spans="2:5" x14ac:dyDescent="0.3">
      <c r="B524" t="s">
        <v>1321</v>
      </c>
      <c r="C524" t="s">
        <v>496</v>
      </c>
      <c r="D524" t="s">
        <v>1322</v>
      </c>
      <c r="E524" t="s">
        <v>507</v>
      </c>
    </row>
    <row r="525" spans="2:5" x14ac:dyDescent="0.3">
      <c r="B525" t="s">
        <v>1323</v>
      </c>
      <c r="C525">
        <v>538546</v>
      </c>
      <c r="D525" t="s">
        <v>496</v>
      </c>
      <c r="E525" t="s">
        <v>819</v>
      </c>
    </row>
    <row r="526" spans="2:5" x14ac:dyDescent="0.3">
      <c r="B526" t="s">
        <v>1324</v>
      </c>
      <c r="C526">
        <v>519353</v>
      </c>
      <c r="D526" t="s">
        <v>496</v>
      </c>
      <c r="E526" t="s">
        <v>903</v>
      </c>
    </row>
    <row r="527" spans="2:5" x14ac:dyDescent="0.3">
      <c r="B527" t="s">
        <v>1325</v>
      </c>
      <c r="C527">
        <v>503722</v>
      </c>
      <c r="D527" t="s">
        <v>1326</v>
      </c>
      <c r="E527" t="s">
        <v>511</v>
      </c>
    </row>
    <row r="528" spans="2:5" x14ac:dyDescent="0.3">
      <c r="B528" t="s">
        <v>1327</v>
      </c>
      <c r="C528">
        <v>532916</v>
      </c>
      <c r="D528" t="s">
        <v>1328</v>
      </c>
      <c r="E528" t="s">
        <v>509</v>
      </c>
    </row>
    <row r="529" spans="2:5" x14ac:dyDescent="0.3">
      <c r="B529" t="s">
        <v>1329</v>
      </c>
      <c r="C529">
        <v>513502</v>
      </c>
      <c r="D529" t="s">
        <v>496</v>
      </c>
      <c r="E529" t="s">
        <v>570</v>
      </c>
    </row>
    <row r="530" spans="2:5" x14ac:dyDescent="0.3">
      <c r="B530" t="s">
        <v>1330</v>
      </c>
      <c r="C530">
        <v>532336</v>
      </c>
      <c r="D530" t="s">
        <v>496</v>
      </c>
      <c r="E530" t="s">
        <v>589</v>
      </c>
    </row>
    <row r="531" spans="2:5" x14ac:dyDescent="0.3">
      <c r="B531" t="s">
        <v>1331</v>
      </c>
      <c r="C531">
        <v>532694</v>
      </c>
      <c r="D531" t="s">
        <v>1332</v>
      </c>
      <c r="E531" t="s">
        <v>917</v>
      </c>
    </row>
    <row r="532" spans="2:5" x14ac:dyDescent="0.3">
      <c r="B532" t="s">
        <v>1333</v>
      </c>
      <c r="C532">
        <v>532694</v>
      </c>
      <c r="D532" t="s">
        <v>1332</v>
      </c>
      <c r="E532" t="s">
        <v>917</v>
      </c>
    </row>
    <row r="533" spans="2:5" x14ac:dyDescent="0.3">
      <c r="B533" t="s">
        <v>1334</v>
      </c>
      <c r="C533">
        <v>524687</v>
      </c>
      <c r="D533" t="s">
        <v>496</v>
      </c>
      <c r="E533" t="s">
        <v>1004</v>
      </c>
    </row>
    <row r="534" spans="2:5" x14ac:dyDescent="0.3">
      <c r="B534" t="s">
        <v>1335</v>
      </c>
      <c r="C534">
        <v>524687</v>
      </c>
      <c r="D534" t="s">
        <v>496</v>
      </c>
      <c r="E534" t="s">
        <v>1004</v>
      </c>
    </row>
    <row r="535" spans="2:5" x14ac:dyDescent="0.3">
      <c r="B535" t="s">
        <v>1336</v>
      </c>
      <c r="C535">
        <v>500042</v>
      </c>
      <c r="D535" t="s">
        <v>1337</v>
      </c>
      <c r="E535" t="s">
        <v>656</v>
      </c>
    </row>
    <row r="536" spans="2:5" x14ac:dyDescent="0.3">
      <c r="B536" t="s">
        <v>1338</v>
      </c>
      <c r="C536">
        <v>500042</v>
      </c>
      <c r="D536" t="s">
        <v>1337</v>
      </c>
      <c r="E536" t="s">
        <v>656</v>
      </c>
    </row>
    <row r="537" spans="2:5" x14ac:dyDescent="0.3">
      <c r="B537" t="s">
        <v>1339</v>
      </c>
      <c r="C537">
        <v>500043</v>
      </c>
      <c r="D537" t="s">
        <v>1340</v>
      </c>
      <c r="E537" t="s">
        <v>922</v>
      </c>
    </row>
    <row r="538" spans="2:5" x14ac:dyDescent="0.3">
      <c r="B538" t="s">
        <v>1341</v>
      </c>
      <c r="C538">
        <v>500043</v>
      </c>
      <c r="D538" t="s">
        <v>1342</v>
      </c>
      <c r="E538" t="s">
        <v>922</v>
      </c>
    </row>
    <row r="539" spans="2:5" x14ac:dyDescent="0.3">
      <c r="B539" t="s">
        <v>1343</v>
      </c>
      <c r="C539">
        <v>522004</v>
      </c>
      <c r="D539" t="s">
        <v>496</v>
      </c>
      <c r="E539" t="s">
        <v>504</v>
      </c>
    </row>
    <row r="540" spans="2:5" x14ac:dyDescent="0.3">
      <c r="B540" t="s">
        <v>1344</v>
      </c>
      <c r="C540">
        <v>506285</v>
      </c>
      <c r="D540" t="s">
        <v>1345</v>
      </c>
      <c r="E540" t="s">
        <v>640</v>
      </c>
    </row>
    <row r="541" spans="2:5" x14ac:dyDescent="0.3">
      <c r="B541" t="s">
        <v>1346</v>
      </c>
      <c r="C541">
        <v>539946</v>
      </c>
      <c r="D541" t="s">
        <v>496</v>
      </c>
      <c r="E541" t="s">
        <v>513</v>
      </c>
    </row>
    <row r="542" spans="2:5" x14ac:dyDescent="0.3">
      <c r="B542" t="s">
        <v>1347</v>
      </c>
      <c r="C542">
        <v>517246</v>
      </c>
      <c r="D542" t="s">
        <v>496</v>
      </c>
      <c r="E542" t="s">
        <v>1038</v>
      </c>
    </row>
    <row r="543" spans="2:5" x14ac:dyDescent="0.3">
      <c r="B543" t="s">
        <v>1348</v>
      </c>
      <c r="C543">
        <v>517246</v>
      </c>
      <c r="D543" t="s">
        <v>496</v>
      </c>
      <c r="E543" t="s">
        <v>1038</v>
      </c>
    </row>
    <row r="544" spans="2:5" x14ac:dyDescent="0.3">
      <c r="B544" t="s">
        <v>1349</v>
      </c>
      <c r="C544">
        <v>539621</v>
      </c>
      <c r="D544" t="s">
        <v>496</v>
      </c>
      <c r="E544" t="s">
        <v>513</v>
      </c>
    </row>
    <row r="545" spans="2:5" x14ac:dyDescent="0.3">
      <c r="B545" t="s">
        <v>1350</v>
      </c>
      <c r="C545">
        <v>524332</v>
      </c>
      <c r="D545" t="s">
        <v>496</v>
      </c>
      <c r="E545" t="s">
        <v>745</v>
      </c>
    </row>
    <row r="546" spans="2:5" x14ac:dyDescent="0.3">
      <c r="B546" t="s">
        <v>1351</v>
      </c>
      <c r="C546">
        <v>542057</v>
      </c>
      <c r="D546" t="s">
        <v>496</v>
      </c>
      <c r="E546" t="s">
        <v>894</v>
      </c>
    </row>
    <row r="547" spans="2:5" x14ac:dyDescent="0.3">
      <c r="B547" t="s">
        <v>1352</v>
      </c>
      <c r="C547">
        <v>524828</v>
      </c>
      <c r="D547" t="s">
        <v>496</v>
      </c>
      <c r="E547" t="s">
        <v>534</v>
      </c>
    </row>
    <row r="548" spans="2:5" x14ac:dyDescent="0.3">
      <c r="B548" t="s">
        <v>1353</v>
      </c>
      <c r="C548">
        <v>539447</v>
      </c>
      <c r="D548" t="s">
        <v>1354</v>
      </c>
      <c r="E548" t="s">
        <v>691</v>
      </c>
    </row>
    <row r="549" spans="2:5" x14ac:dyDescent="0.3">
      <c r="B549" t="s">
        <v>1355</v>
      </c>
      <c r="C549">
        <v>533270</v>
      </c>
      <c r="D549" t="s">
        <v>1356</v>
      </c>
      <c r="E549" t="s">
        <v>819</v>
      </c>
    </row>
    <row r="550" spans="2:5" x14ac:dyDescent="0.3">
      <c r="B550" t="s">
        <v>1357</v>
      </c>
      <c r="C550">
        <v>539546</v>
      </c>
      <c r="D550" t="s">
        <v>496</v>
      </c>
      <c r="E550" t="s">
        <v>518</v>
      </c>
    </row>
    <row r="551" spans="2:5" x14ac:dyDescent="0.3">
      <c r="B551" t="s">
        <v>1358</v>
      </c>
      <c r="C551">
        <v>539018</v>
      </c>
      <c r="D551" t="s">
        <v>496</v>
      </c>
      <c r="E551" t="s">
        <v>528</v>
      </c>
    </row>
    <row r="552" spans="2:5" x14ac:dyDescent="0.3">
      <c r="B552" t="s">
        <v>1359</v>
      </c>
      <c r="C552">
        <v>532645</v>
      </c>
      <c r="D552" t="s">
        <v>496</v>
      </c>
      <c r="E552" t="s">
        <v>518</v>
      </c>
    </row>
    <row r="553" spans="2:5" x14ac:dyDescent="0.3">
      <c r="B553" t="s">
        <v>1360</v>
      </c>
      <c r="C553">
        <v>539399</v>
      </c>
      <c r="D553" t="s">
        <v>496</v>
      </c>
      <c r="E553" t="s">
        <v>511</v>
      </c>
    </row>
    <row r="554" spans="2:5" x14ac:dyDescent="0.3">
      <c r="B554" t="s">
        <v>1361</v>
      </c>
      <c r="C554">
        <v>522650</v>
      </c>
      <c r="D554" t="s">
        <v>496</v>
      </c>
      <c r="E554" t="s">
        <v>681</v>
      </c>
    </row>
    <row r="555" spans="2:5" x14ac:dyDescent="0.3">
      <c r="B555" t="s">
        <v>1362</v>
      </c>
      <c r="C555">
        <v>500048</v>
      </c>
      <c r="D555" t="s">
        <v>1363</v>
      </c>
      <c r="E555" t="s">
        <v>574</v>
      </c>
    </row>
    <row r="556" spans="2:5" x14ac:dyDescent="0.3">
      <c r="B556" t="s">
        <v>1364</v>
      </c>
      <c r="C556">
        <v>541178</v>
      </c>
      <c r="D556" t="s">
        <v>496</v>
      </c>
      <c r="E556" t="s">
        <v>681</v>
      </c>
    </row>
    <row r="557" spans="2:5" x14ac:dyDescent="0.3">
      <c r="B557" t="s">
        <v>1365</v>
      </c>
      <c r="C557">
        <v>509438</v>
      </c>
      <c r="D557" t="s">
        <v>496</v>
      </c>
      <c r="E557" t="s">
        <v>697</v>
      </c>
    </row>
    <row r="558" spans="2:5" x14ac:dyDescent="0.3">
      <c r="B558" t="s">
        <v>1366</v>
      </c>
      <c r="C558">
        <v>533095</v>
      </c>
      <c r="D558" t="s">
        <v>496</v>
      </c>
      <c r="E558" t="s">
        <v>513</v>
      </c>
    </row>
    <row r="559" spans="2:5" x14ac:dyDescent="0.3">
      <c r="B559" t="s">
        <v>1367</v>
      </c>
      <c r="C559">
        <v>512404</v>
      </c>
      <c r="D559" t="s">
        <v>496</v>
      </c>
      <c r="E559" t="s">
        <v>528</v>
      </c>
    </row>
    <row r="560" spans="2:5" x14ac:dyDescent="0.3">
      <c r="B560" t="s">
        <v>1368</v>
      </c>
      <c r="C560">
        <v>532230</v>
      </c>
      <c r="D560" t="s">
        <v>496</v>
      </c>
      <c r="E560" t="s">
        <v>511</v>
      </c>
    </row>
    <row r="561" spans="2:5" x14ac:dyDescent="0.3">
      <c r="B561" t="s">
        <v>1369</v>
      </c>
      <c r="C561">
        <v>512195</v>
      </c>
      <c r="D561" t="s">
        <v>496</v>
      </c>
      <c r="E561" t="s">
        <v>917</v>
      </c>
    </row>
    <row r="562" spans="2:5" x14ac:dyDescent="0.3">
      <c r="B562" t="s">
        <v>1370</v>
      </c>
      <c r="C562">
        <v>509480</v>
      </c>
      <c r="D562" t="s">
        <v>1371</v>
      </c>
      <c r="E562" t="s">
        <v>773</v>
      </c>
    </row>
    <row r="563" spans="2:5" x14ac:dyDescent="0.3">
      <c r="B563" t="s">
        <v>1372</v>
      </c>
      <c r="C563">
        <v>531340</v>
      </c>
      <c r="D563" t="s">
        <v>496</v>
      </c>
      <c r="E563" t="s">
        <v>479</v>
      </c>
    </row>
    <row r="564" spans="2:5" x14ac:dyDescent="0.3">
      <c r="B564" t="s">
        <v>1373</v>
      </c>
      <c r="C564">
        <v>524606</v>
      </c>
      <c r="D564" t="s">
        <v>496</v>
      </c>
      <c r="E564" t="s">
        <v>534</v>
      </c>
    </row>
    <row r="565" spans="2:5" x14ac:dyDescent="0.3">
      <c r="B565" t="s">
        <v>1374</v>
      </c>
      <c r="C565">
        <v>531582</v>
      </c>
      <c r="D565" t="s">
        <v>496</v>
      </c>
      <c r="E565" t="s">
        <v>513</v>
      </c>
    </row>
    <row r="566" spans="2:5" x14ac:dyDescent="0.3">
      <c r="B566" t="s">
        <v>1375</v>
      </c>
      <c r="C566">
        <v>508664</v>
      </c>
      <c r="D566" t="s">
        <v>496</v>
      </c>
      <c r="E566" t="s">
        <v>697</v>
      </c>
    </row>
    <row r="567" spans="2:5" x14ac:dyDescent="0.3">
      <c r="B567" t="s">
        <v>1376</v>
      </c>
      <c r="C567" t="s">
        <v>496</v>
      </c>
      <c r="D567" t="s">
        <v>1377</v>
      </c>
      <c r="E567" t="s">
        <v>507</v>
      </c>
    </row>
    <row r="568" spans="2:5" x14ac:dyDescent="0.3">
      <c r="B568" t="s">
        <v>1378</v>
      </c>
      <c r="C568">
        <v>512477</v>
      </c>
      <c r="D568" t="s">
        <v>496</v>
      </c>
      <c r="E568" t="s">
        <v>511</v>
      </c>
    </row>
    <row r="569" spans="2:5" x14ac:dyDescent="0.3">
      <c r="B569" t="s">
        <v>1379</v>
      </c>
      <c r="C569">
        <v>512477</v>
      </c>
      <c r="D569" t="s">
        <v>496</v>
      </c>
      <c r="E569" t="s">
        <v>511</v>
      </c>
    </row>
    <row r="570" spans="2:5" x14ac:dyDescent="0.3">
      <c r="B570" t="s">
        <v>1380</v>
      </c>
      <c r="C570">
        <v>533303</v>
      </c>
      <c r="D570" t="s">
        <v>1381</v>
      </c>
      <c r="E570" t="s">
        <v>662</v>
      </c>
    </row>
    <row r="571" spans="2:5" x14ac:dyDescent="0.3">
      <c r="B571" t="s">
        <v>1382</v>
      </c>
      <c r="C571">
        <v>532430</v>
      </c>
      <c r="D571" t="s">
        <v>1383</v>
      </c>
      <c r="E571" t="s">
        <v>635</v>
      </c>
    </row>
    <row r="572" spans="2:5" x14ac:dyDescent="0.3">
      <c r="B572" t="s">
        <v>1384</v>
      </c>
      <c r="C572">
        <v>539662</v>
      </c>
      <c r="D572" t="s">
        <v>496</v>
      </c>
      <c r="E572" t="s">
        <v>513</v>
      </c>
    </row>
    <row r="573" spans="2:5" x14ac:dyDescent="0.3">
      <c r="B573" t="s">
        <v>1385</v>
      </c>
      <c r="C573">
        <v>511664</v>
      </c>
      <c r="D573" t="s">
        <v>496</v>
      </c>
      <c r="E573" t="s">
        <v>499</v>
      </c>
    </row>
    <row r="574" spans="2:5" x14ac:dyDescent="0.3">
      <c r="B574" t="s">
        <v>1386</v>
      </c>
      <c r="C574">
        <v>532930</v>
      </c>
      <c r="D574" t="s">
        <v>1387</v>
      </c>
      <c r="E574" t="s">
        <v>539</v>
      </c>
    </row>
    <row r="575" spans="2:5" x14ac:dyDescent="0.3">
      <c r="B575" t="s">
        <v>1388</v>
      </c>
      <c r="C575">
        <v>530803</v>
      </c>
      <c r="D575" t="s">
        <v>1389</v>
      </c>
      <c r="E575" t="s">
        <v>544</v>
      </c>
    </row>
    <row r="576" spans="2:5" x14ac:dyDescent="0.3">
      <c r="B576" t="s">
        <v>1390</v>
      </c>
      <c r="C576">
        <v>531719</v>
      </c>
      <c r="D576" t="s">
        <v>496</v>
      </c>
      <c r="E576" t="s">
        <v>640</v>
      </c>
    </row>
    <row r="577" spans="2:5" x14ac:dyDescent="0.3">
      <c r="B577" t="s">
        <v>1391</v>
      </c>
      <c r="C577">
        <v>504646</v>
      </c>
      <c r="D577" t="s">
        <v>496</v>
      </c>
      <c r="E577" t="s">
        <v>851</v>
      </c>
    </row>
    <row r="578" spans="2:5" x14ac:dyDescent="0.3">
      <c r="B578" t="s">
        <v>1392</v>
      </c>
      <c r="C578">
        <v>509449</v>
      </c>
      <c r="D578" t="s">
        <v>496</v>
      </c>
      <c r="E578" t="s">
        <v>544</v>
      </c>
    </row>
    <row r="579" spans="2:5" x14ac:dyDescent="0.3">
      <c r="B579" t="s">
        <v>1393</v>
      </c>
      <c r="C579">
        <v>512296</v>
      </c>
      <c r="D579" t="s">
        <v>1394</v>
      </c>
      <c r="E579" t="s">
        <v>570</v>
      </c>
    </row>
    <row r="580" spans="2:5" x14ac:dyDescent="0.3">
      <c r="B580" t="s">
        <v>1395</v>
      </c>
      <c r="C580">
        <v>512296</v>
      </c>
      <c r="D580" t="s">
        <v>1394</v>
      </c>
      <c r="E580" t="s">
        <v>570</v>
      </c>
    </row>
    <row r="581" spans="2:5" x14ac:dyDescent="0.3">
      <c r="B581" t="s">
        <v>1396</v>
      </c>
      <c r="C581">
        <v>540621</v>
      </c>
      <c r="D581" t="s">
        <v>1397</v>
      </c>
      <c r="E581" t="s">
        <v>582</v>
      </c>
    </row>
    <row r="582" spans="2:5" x14ac:dyDescent="0.3">
      <c r="B582" t="s">
        <v>1398</v>
      </c>
      <c r="C582">
        <v>540545</v>
      </c>
      <c r="D582" t="s">
        <v>496</v>
      </c>
      <c r="E582" t="s">
        <v>610</v>
      </c>
    </row>
    <row r="583" spans="2:5" x14ac:dyDescent="0.3">
      <c r="B583" t="s">
        <v>1399</v>
      </c>
      <c r="C583">
        <v>512608</v>
      </c>
      <c r="D583" t="s">
        <v>1400</v>
      </c>
      <c r="E583" t="s">
        <v>610</v>
      </c>
    </row>
    <row r="584" spans="2:5" x14ac:dyDescent="0.3">
      <c r="B584" t="s">
        <v>1401</v>
      </c>
      <c r="C584">
        <v>538576</v>
      </c>
      <c r="D584" t="s">
        <v>496</v>
      </c>
      <c r="E584" t="s">
        <v>582</v>
      </c>
    </row>
    <row r="585" spans="2:5" x14ac:dyDescent="0.3">
      <c r="B585" t="s">
        <v>1402</v>
      </c>
      <c r="C585">
        <v>500052</v>
      </c>
      <c r="D585" t="s">
        <v>1403</v>
      </c>
      <c r="E585" t="s">
        <v>656</v>
      </c>
    </row>
    <row r="586" spans="2:5" x14ac:dyDescent="0.3">
      <c r="B586" t="s">
        <v>1404</v>
      </c>
      <c r="C586">
        <v>531862</v>
      </c>
      <c r="D586" t="s">
        <v>496</v>
      </c>
      <c r="E586" t="s">
        <v>1004</v>
      </c>
    </row>
    <row r="587" spans="2:5" x14ac:dyDescent="0.3">
      <c r="B587" t="s">
        <v>1405</v>
      </c>
      <c r="C587">
        <v>511501</v>
      </c>
      <c r="D587" t="s">
        <v>496</v>
      </c>
      <c r="E587" t="s">
        <v>479</v>
      </c>
    </row>
    <row r="588" spans="2:5" x14ac:dyDescent="0.3">
      <c r="B588" t="s">
        <v>1406</v>
      </c>
      <c r="C588">
        <v>503960</v>
      </c>
      <c r="D588" t="s">
        <v>1407</v>
      </c>
      <c r="E588" t="s">
        <v>794</v>
      </c>
    </row>
    <row r="589" spans="2:5" x14ac:dyDescent="0.3">
      <c r="B589" t="s">
        <v>1408</v>
      </c>
      <c r="C589">
        <v>541143</v>
      </c>
      <c r="D589" t="s">
        <v>1409</v>
      </c>
      <c r="E589" t="s">
        <v>969</v>
      </c>
    </row>
    <row r="590" spans="2:5" x14ac:dyDescent="0.3">
      <c r="B590" t="s">
        <v>1410</v>
      </c>
      <c r="C590">
        <v>500049</v>
      </c>
      <c r="D590" t="s">
        <v>1411</v>
      </c>
      <c r="E590" t="s">
        <v>969</v>
      </c>
    </row>
    <row r="591" spans="2:5" x14ac:dyDescent="0.3">
      <c r="B591" t="s">
        <v>1412</v>
      </c>
      <c r="C591">
        <v>533228</v>
      </c>
      <c r="D591" t="s">
        <v>1413</v>
      </c>
      <c r="E591" t="s">
        <v>513</v>
      </c>
    </row>
    <row r="592" spans="2:5" x14ac:dyDescent="0.3">
      <c r="B592" t="s">
        <v>1414</v>
      </c>
      <c r="C592">
        <v>500493</v>
      </c>
      <c r="D592" t="s">
        <v>1415</v>
      </c>
      <c r="E592" t="s">
        <v>1416</v>
      </c>
    </row>
    <row r="593" spans="2:5" x14ac:dyDescent="0.3">
      <c r="B593" t="s">
        <v>1417</v>
      </c>
      <c r="C593">
        <v>505688</v>
      </c>
      <c r="D593" t="s">
        <v>1418</v>
      </c>
      <c r="E593" t="s">
        <v>851</v>
      </c>
    </row>
    <row r="594" spans="2:5" x14ac:dyDescent="0.3">
      <c r="B594" t="s">
        <v>1419</v>
      </c>
      <c r="C594">
        <v>500103</v>
      </c>
      <c r="D594" t="s">
        <v>1420</v>
      </c>
      <c r="E594" t="s">
        <v>539</v>
      </c>
    </row>
    <row r="595" spans="2:5" x14ac:dyDescent="0.3">
      <c r="B595" t="s">
        <v>1421</v>
      </c>
      <c r="C595">
        <v>524663</v>
      </c>
      <c r="D595" t="s">
        <v>496</v>
      </c>
      <c r="E595" t="s">
        <v>534</v>
      </c>
    </row>
    <row r="596" spans="2:5" x14ac:dyDescent="0.3">
      <c r="B596" t="s">
        <v>1422</v>
      </c>
      <c r="C596">
        <v>541096</v>
      </c>
      <c r="D596" t="s">
        <v>496</v>
      </c>
      <c r="E596" t="s">
        <v>534</v>
      </c>
    </row>
    <row r="597" spans="2:5" x14ac:dyDescent="0.3">
      <c r="B597" t="s">
        <v>1423</v>
      </c>
      <c r="C597">
        <v>500547</v>
      </c>
      <c r="D597" t="s">
        <v>1424</v>
      </c>
      <c r="E597" t="s">
        <v>1425</v>
      </c>
    </row>
    <row r="598" spans="2:5" x14ac:dyDescent="0.3">
      <c r="B598" t="s">
        <v>1426</v>
      </c>
      <c r="C598">
        <v>590021</v>
      </c>
      <c r="D598" t="s">
        <v>1427</v>
      </c>
      <c r="E598" t="s">
        <v>640</v>
      </c>
    </row>
    <row r="599" spans="2:5" x14ac:dyDescent="0.3">
      <c r="B599" t="s">
        <v>1428</v>
      </c>
      <c r="C599">
        <v>540700</v>
      </c>
      <c r="D599" t="s">
        <v>1429</v>
      </c>
      <c r="E599" t="s">
        <v>1091</v>
      </c>
    </row>
    <row r="600" spans="2:5" x14ac:dyDescent="0.3">
      <c r="B600" t="s">
        <v>1430</v>
      </c>
      <c r="C600">
        <v>523229</v>
      </c>
      <c r="D600" t="s">
        <v>496</v>
      </c>
      <c r="E600" t="s">
        <v>851</v>
      </c>
    </row>
    <row r="601" spans="2:5" x14ac:dyDescent="0.3">
      <c r="B601" t="s">
        <v>1431</v>
      </c>
      <c r="C601">
        <v>531029</v>
      </c>
      <c r="D601" t="s">
        <v>496</v>
      </c>
      <c r="E601" t="s">
        <v>518</v>
      </c>
    </row>
    <row r="602" spans="2:5" x14ac:dyDescent="0.3">
      <c r="B602" t="s">
        <v>1432</v>
      </c>
      <c r="C602">
        <v>539799</v>
      </c>
      <c r="D602" t="s">
        <v>1433</v>
      </c>
      <c r="E602" t="s">
        <v>819</v>
      </c>
    </row>
    <row r="603" spans="2:5" x14ac:dyDescent="0.3">
      <c r="B603" t="s">
        <v>1434</v>
      </c>
      <c r="C603">
        <v>532609</v>
      </c>
      <c r="D603" t="s">
        <v>1435</v>
      </c>
      <c r="E603" t="s">
        <v>574</v>
      </c>
    </row>
    <row r="604" spans="2:5" x14ac:dyDescent="0.3">
      <c r="B604" t="s">
        <v>1436</v>
      </c>
      <c r="C604">
        <v>533499</v>
      </c>
      <c r="D604" t="s">
        <v>1437</v>
      </c>
      <c r="E604" t="s">
        <v>482</v>
      </c>
    </row>
    <row r="605" spans="2:5" x14ac:dyDescent="0.3">
      <c r="B605" t="s">
        <v>1438</v>
      </c>
      <c r="C605">
        <v>532454</v>
      </c>
      <c r="D605" t="s">
        <v>1439</v>
      </c>
      <c r="E605" t="s">
        <v>1440</v>
      </c>
    </row>
    <row r="606" spans="2:5" x14ac:dyDescent="0.3">
      <c r="B606" t="s">
        <v>1441</v>
      </c>
      <c r="C606">
        <v>534816</v>
      </c>
      <c r="D606" t="s">
        <v>1442</v>
      </c>
      <c r="E606" t="s">
        <v>1443</v>
      </c>
    </row>
    <row r="607" spans="2:5" x14ac:dyDescent="0.3">
      <c r="B607" t="s">
        <v>1444</v>
      </c>
      <c r="C607">
        <v>526666</v>
      </c>
      <c r="D607" t="s">
        <v>1445</v>
      </c>
      <c r="E607" t="s">
        <v>610</v>
      </c>
    </row>
    <row r="608" spans="2:5" x14ac:dyDescent="0.3">
      <c r="B608" t="s">
        <v>1446</v>
      </c>
      <c r="C608">
        <v>524534</v>
      </c>
      <c r="D608" t="s">
        <v>496</v>
      </c>
      <c r="E608" t="s">
        <v>640</v>
      </c>
    </row>
    <row r="609" spans="2:5" x14ac:dyDescent="0.3">
      <c r="B609" t="s">
        <v>1447</v>
      </c>
      <c r="C609">
        <v>540956</v>
      </c>
      <c r="D609" t="s">
        <v>496</v>
      </c>
      <c r="E609" t="s">
        <v>497</v>
      </c>
    </row>
    <row r="610" spans="2:5" x14ac:dyDescent="0.3">
      <c r="B610" t="s">
        <v>1448</v>
      </c>
      <c r="C610">
        <v>540956</v>
      </c>
      <c r="D610" t="s">
        <v>496</v>
      </c>
      <c r="E610" t="s">
        <v>497</v>
      </c>
    </row>
    <row r="611" spans="2:5" x14ac:dyDescent="0.3">
      <c r="B611" t="s">
        <v>1449</v>
      </c>
      <c r="C611">
        <v>514272</v>
      </c>
      <c r="D611" t="s">
        <v>496</v>
      </c>
      <c r="E611" t="s">
        <v>511</v>
      </c>
    </row>
    <row r="612" spans="2:5" x14ac:dyDescent="0.3">
      <c r="B612" t="s">
        <v>1450</v>
      </c>
      <c r="C612">
        <v>533108</v>
      </c>
      <c r="D612" t="s">
        <v>496</v>
      </c>
      <c r="E612" t="s">
        <v>511</v>
      </c>
    </row>
    <row r="613" spans="2:5" x14ac:dyDescent="0.3">
      <c r="B613" t="s">
        <v>1451</v>
      </c>
      <c r="C613">
        <v>506027</v>
      </c>
      <c r="D613" t="s">
        <v>496</v>
      </c>
      <c r="E613" t="s">
        <v>801</v>
      </c>
    </row>
    <row r="614" spans="2:5" x14ac:dyDescent="0.3">
      <c r="B614" t="s">
        <v>1452</v>
      </c>
      <c r="C614">
        <v>500055</v>
      </c>
      <c r="D614" t="s">
        <v>1453</v>
      </c>
      <c r="E614" t="s">
        <v>528</v>
      </c>
    </row>
    <row r="615" spans="2:5" x14ac:dyDescent="0.3">
      <c r="B615" t="s">
        <v>1454</v>
      </c>
      <c r="C615">
        <v>540061</v>
      </c>
      <c r="D615" t="s">
        <v>1455</v>
      </c>
      <c r="E615" t="s">
        <v>509</v>
      </c>
    </row>
    <row r="616" spans="2:5" x14ac:dyDescent="0.3">
      <c r="B616" t="s">
        <v>1456</v>
      </c>
      <c r="C616">
        <v>500058</v>
      </c>
      <c r="D616" t="s">
        <v>496</v>
      </c>
      <c r="E616" t="s">
        <v>528</v>
      </c>
    </row>
    <row r="617" spans="2:5" x14ac:dyDescent="0.3">
      <c r="B617" t="s">
        <v>1457</v>
      </c>
      <c r="C617">
        <v>524723</v>
      </c>
      <c r="D617" t="s">
        <v>496</v>
      </c>
      <c r="E617" t="s">
        <v>518</v>
      </c>
    </row>
    <row r="618" spans="2:5" x14ac:dyDescent="0.3">
      <c r="B618" t="s">
        <v>1458</v>
      </c>
      <c r="C618">
        <v>533321</v>
      </c>
      <c r="D618" t="s">
        <v>1459</v>
      </c>
      <c r="E618" t="s">
        <v>794</v>
      </c>
    </row>
    <row r="619" spans="2:5" x14ac:dyDescent="0.3">
      <c r="B619" t="s">
        <v>1460</v>
      </c>
      <c r="C619">
        <v>526853</v>
      </c>
      <c r="D619" t="s">
        <v>496</v>
      </c>
      <c r="E619" t="s">
        <v>1461</v>
      </c>
    </row>
    <row r="620" spans="2:5" x14ac:dyDescent="0.3">
      <c r="B620" t="s">
        <v>1462</v>
      </c>
      <c r="C620">
        <v>505681</v>
      </c>
      <c r="D620" t="s">
        <v>496</v>
      </c>
      <c r="E620" t="s">
        <v>851</v>
      </c>
    </row>
    <row r="621" spans="2:5" x14ac:dyDescent="0.3">
      <c r="B621" t="s">
        <v>1463</v>
      </c>
      <c r="C621">
        <v>500059</v>
      </c>
      <c r="D621" t="s">
        <v>1464</v>
      </c>
      <c r="E621" t="s">
        <v>662</v>
      </c>
    </row>
    <row r="622" spans="2:5" x14ac:dyDescent="0.3">
      <c r="B622" t="s">
        <v>1465</v>
      </c>
      <c r="C622">
        <v>523054</v>
      </c>
      <c r="D622" t="s">
        <v>496</v>
      </c>
      <c r="E622" t="s">
        <v>511</v>
      </c>
    </row>
    <row r="623" spans="2:5" x14ac:dyDescent="0.3">
      <c r="B623" t="s">
        <v>1466</v>
      </c>
      <c r="C623">
        <v>540148</v>
      </c>
      <c r="D623" t="s">
        <v>496</v>
      </c>
      <c r="E623" t="s">
        <v>610</v>
      </c>
    </row>
    <row r="624" spans="2:5" x14ac:dyDescent="0.3">
      <c r="B624" t="s">
        <v>1467</v>
      </c>
      <c r="C624">
        <v>514215</v>
      </c>
      <c r="D624" t="s">
        <v>496</v>
      </c>
      <c r="E624" t="s">
        <v>511</v>
      </c>
    </row>
    <row r="625" spans="2:5" x14ac:dyDescent="0.3">
      <c r="B625" t="s">
        <v>1468</v>
      </c>
      <c r="C625">
        <v>535620</v>
      </c>
      <c r="D625" t="s">
        <v>496</v>
      </c>
      <c r="E625" t="s">
        <v>518</v>
      </c>
    </row>
    <row r="626" spans="2:5" x14ac:dyDescent="0.3">
      <c r="B626" t="s">
        <v>1469</v>
      </c>
      <c r="C626">
        <v>534535</v>
      </c>
      <c r="D626" t="s">
        <v>496</v>
      </c>
      <c r="E626" t="s">
        <v>490</v>
      </c>
    </row>
    <row r="627" spans="2:5" x14ac:dyDescent="0.3">
      <c r="B627" t="s">
        <v>1470</v>
      </c>
      <c r="C627">
        <v>532523</v>
      </c>
      <c r="D627" t="s">
        <v>1471</v>
      </c>
      <c r="E627" t="s">
        <v>834</v>
      </c>
    </row>
    <row r="628" spans="2:5" x14ac:dyDescent="0.3">
      <c r="B628" t="s">
        <v>1472</v>
      </c>
      <c r="C628">
        <v>524396</v>
      </c>
      <c r="D628" t="s">
        <v>1473</v>
      </c>
      <c r="E628" t="s">
        <v>534</v>
      </c>
    </row>
    <row r="629" spans="2:5" x14ac:dyDescent="0.3">
      <c r="B629" t="s">
        <v>1474</v>
      </c>
      <c r="C629">
        <v>532330</v>
      </c>
      <c r="D629" t="s">
        <v>496</v>
      </c>
      <c r="E629" t="s">
        <v>616</v>
      </c>
    </row>
    <row r="630" spans="2:5" x14ac:dyDescent="0.3">
      <c r="B630" t="s">
        <v>1475</v>
      </c>
      <c r="C630">
        <v>538364</v>
      </c>
      <c r="D630" t="s">
        <v>496</v>
      </c>
      <c r="E630" t="s">
        <v>511</v>
      </c>
    </row>
    <row r="631" spans="2:5" x14ac:dyDescent="0.3">
      <c r="B631" t="s">
        <v>1476</v>
      </c>
      <c r="C631">
        <v>500060</v>
      </c>
      <c r="D631" t="s">
        <v>1477</v>
      </c>
      <c r="E631" t="s">
        <v>794</v>
      </c>
    </row>
    <row r="632" spans="2:5" x14ac:dyDescent="0.3">
      <c r="B632" t="s">
        <v>1478</v>
      </c>
      <c r="C632">
        <v>500335</v>
      </c>
      <c r="D632" t="s">
        <v>1479</v>
      </c>
      <c r="E632" t="s">
        <v>509</v>
      </c>
    </row>
    <row r="633" spans="2:5" x14ac:dyDescent="0.3">
      <c r="B633" t="s">
        <v>1480</v>
      </c>
      <c r="C633">
        <v>533006</v>
      </c>
      <c r="D633" t="s">
        <v>496</v>
      </c>
      <c r="E633" t="s">
        <v>511</v>
      </c>
    </row>
    <row r="634" spans="2:5" x14ac:dyDescent="0.3">
      <c r="B634" t="s">
        <v>1481</v>
      </c>
      <c r="C634">
        <v>533006</v>
      </c>
      <c r="D634" t="s">
        <v>496</v>
      </c>
      <c r="E634" t="s">
        <v>511</v>
      </c>
    </row>
    <row r="635" spans="2:5" x14ac:dyDescent="0.3">
      <c r="B635" t="s">
        <v>1482</v>
      </c>
      <c r="C635">
        <v>522105</v>
      </c>
      <c r="D635" t="s">
        <v>496</v>
      </c>
      <c r="E635" t="s">
        <v>504</v>
      </c>
    </row>
    <row r="636" spans="2:5" x14ac:dyDescent="0.3">
      <c r="B636" t="s">
        <v>1483</v>
      </c>
      <c r="C636">
        <v>533408</v>
      </c>
      <c r="D636" t="s">
        <v>1484</v>
      </c>
      <c r="E636" t="s">
        <v>479</v>
      </c>
    </row>
    <row r="637" spans="2:5" x14ac:dyDescent="0.3">
      <c r="B637" t="s">
        <v>1485</v>
      </c>
      <c r="C637" t="s">
        <v>496</v>
      </c>
      <c r="D637" t="s">
        <v>1486</v>
      </c>
      <c r="E637" t="s">
        <v>482</v>
      </c>
    </row>
    <row r="638" spans="2:5" x14ac:dyDescent="0.3">
      <c r="B638" t="s">
        <v>1487</v>
      </c>
      <c r="C638">
        <v>539043</v>
      </c>
      <c r="D638" t="s">
        <v>1488</v>
      </c>
      <c r="E638" t="s">
        <v>691</v>
      </c>
    </row>
    <row r="639" spans="2:5" x14ac:dyDescent="0.3">
      <c r="B639" t="s">
        <v>1489</v>
      </c>
      <c r="C639">
        <v>514183</v>
      </c>
      <c r="D639" t="s">
        <v>496</v>
      </c>
      <c r="E639" t="s">
        <v>656</v>
      </c>
    </row>
    <row r="640" spans="2:5" x14ac:dyDescent="0.3">
      <c r="B640" t="s">
        <v>1490</v>
      </c>
      <c r="C640">
        <v>532290</v>
      </c>
      <c r="D640" t="s">
        <v>1491</v>
      </c>
      <c r="E640" t="s">
        <v>479</v>
      </c>
    </row>
    <row r="641" spans="2:5" x14ac:dyDescent="0.3">
      <c r="B641" t="s">
        <v>1492</v>
      </c>
      <c r="C641">
        <v>506197</v>
      </c>
      <c r="D641" t="s">
        <v>1493</v>
      </c>
      <c r="E641" t="s">
        <v>534</v>
      </c>
    </row>
    <row r="642" spans="2:5" x14ac:dyDescent="0.3">
      <c r="B642" t="s">
        <v>1494</v>
      </c>
      <c r="C642">
        <v>526225</v>
      </c>
      <c r="D642" t="s">
        <v>496</v>
      </c>
      <c r="E642" t="s">
        <v>616</v>
      </c>
    </row>
    <row r="643" spans="2:5" x14ac:dyDescent="0.3">
      <c r="B643" t="s">
        <v>1495</v>
      </c>
      <c r="C643">
        <v>513422</v>
      </c>
      <c r="D643" t="s">
        <v>496</v>
      </c>
      <c r="E643" t="s">
        <v>528</v>
      </c>
    </row>
    <row r="644" spans="2:5" x14ac:dyDescent="0.3">
      <c r="B644" t="s">
        <v>1496</v>
      </c>
      <c r="C644">
        <v>531175</v>
      </c>
      <c r="D644" t="s">
        <v>496</v>
      </c>
      <c r="E644" t="s">
        <v>589</v>
      </c>
    </row>
    <row r="645" spans="2:5" x14ac:dyDescent="0.3">
      <c r="B645" t="s">
        <v>1497</v>
      </c>
      <c r="C645">
        <v>540073</v>
      </c>
      <c r="D645" t="s">
        <v>1498</v>
      </c>
      <c r="E645" t="s">
        <v>1499</v>
      </c>
    </row>
    <row r="646" spans="2:5" x14ac:dyDescent="0.3">
      <c r="B646" t="s">
        <v>1500</v>
      </c>
      <c r="C646">
        <v>502761</v>
      </c>
      <c r="D646" t="s">
        <v>496</v>
      </c>
      <c r="E646" t="s">
        <v>511</v>
      </c>
    </row>
    <row r="647" spans="2:5" x14ac:dyDescent="0.3">
      <c r="B647" t="s">
        <v>1501</v>
      </c>
      <c r="C647" t="s">
        <v>496</v>
      </c>
      <c r="D647" t="s">
        <v>1502</v>
      </c>
      <c r="E647" t="s">
        <v>587</v>
      </c>
    </row>
    <row r="648" spans="2:5" x14ac:dyDescent="0.3">
      <c r="B648" t="s">
        <v>1503</v>
      </c>
      <c r="C648">
        <v>502761</v>
      </c>
      <c r="D648" t="s">
        <v>496</v>
      </c>
      <c r="E648" t="s">
        <v>511</v>
      </c>
    </row>
    <row r="649" spans="2:5" x14ac:dyDescent="0.3">
      <c r="B649" t="s">
        <v>1504</v>
      </c>
      <c r="C649">
        <v>506981</v>
      </c>
      <c r="D649" t="s">
        <v>496</v>
      </c>
      <c r="E649" t="s">
        <v>511</v>
      </c>
    </row>
    <row r="650" spans="2:5" x14ac:dyDescent="0.3">
      <c r="B650" t="s">
        <v>1505</v>
      </c>
      <c r="C650">
        <v>508939</v>
      </c>
      <c r="D650" t="s">
        <v>496</v>
      </c>
      <c r="E650" t="s">
        <v>513</v>
      </c>
    </row>
    <row r="651" spans="2:5" x14ac:dyDescent="0.3">
      <c r="B651" t="s">
        <v>1506</v>
      </c>
      <c r="C651">
        <v>539607</v>
      </c>
      <c r="D651" t="s">
        <v>496</v>
      </c>
      <c r="E651" t="s">
        <v>589</v>
      </c>
    </row>
    <row r="652" spans="2:5" x14ac:dyDescent="0.3">
      <c r="B652" t="s">
        <v>1507</v>
      </c>
      <c r="C652">
        <v>531495</v>
      </c>
      <c r="D652" t="s">
        <v>1508</v>
      </c>
      <c r="E652" t="s">
        <v>697</v>
      </c>
    </row>
    <row r="653" spans="2:5" x14ac:dyDescent="0.3">
      <c r="B653" t="s">
        <v>1509</v>
      </c>
      <c r="C653">
        <v>526612</v>
      </c>
      <c r="D653" t="s">
        <v>1510</v>
      </c>
      <c r="E653" t="s">
        <v>817</v>
      </c>
    </row>
    <row r="654" spans="2:5" x14ac:dyDescent="0.3">
      <c r="B654" t="s">
        <v>1511</v>
      </c>
      <c r="C654">
        <v>514440</v>
      </c>
      <c r="D654" t="s">
        <v>496</v>
      </c>
      <c r="E654" t="s">
        <v>544</v>
      </c>
    </row>
    <row r="655" spans="2:5" x14ac:dyDescent="0.3">
      <c r="B655" t="s">
        <v>1512</v>
      </c>
      <c r="C655">
        <v>500067</v>
      </c>
      <c r="D655" t="s">
        <v>1513</v>
      </c>
      <c r="E655" t="s">
        <v>865</v>
      </c>
    </row>
    <row r="656" spans="2:5" x14ac:dyDescent="0.3">
      <c r="B656" t="s">
        <v>1514</v>
      </c>
      <c r="C656">
        <v>539637</v>
      </c>
      <c r="D656" t="s">
        <v>496</v>
      </c>
      <c r="E656" t="s">
        <v>479</v>
      </c>
    </row>
    <row r="657" spans="2:5" x14ac:dyDescent="0.3">
      <c r="B657" t="s">
        <v>1515</v>
      </c>
      <c r="C657">
        <v>531713</v>
      </c>
      <c r="D657" t="s">
        <v>496</v>
      </c>
      <c r="E657" t="s">
        <v>917</v>
      </c>
    </row>
    <row r="658" spans="2:5" x14ac:dyDescent="0.3">
      <c r="B658" t="s">
        <v>1516</v>
      </c>
      <c r="C658">
        <v>531420</v>
      </c>
      <c r="D658" t="s">
        <v>496</v>
      </c>
      <c r="E658" t="s">
        <v>499</v>
      </c>
    </row>
    <row r="659" spans="2:5" x14ac:dyDescent="0.3">
      <c r="B659" t="s">
        <v>1517</v>
      </c>
      <c r="C659">
        <v>542669</v>
      </c>
      <c r="D659" t="s">
        <v>1518</v>
      </c>
      <c r="E659" t="s">
        <v>614</v>
      </c>
    </row>
    <row r="660" spans="2:5" x14ac:dyDescent="0.3">
      <c r="B660" t="s">
        <v>1519</v>
      </c>
      <c r="C660">
        <v>500069</v>
      </c>
      <c r="D660" t="s">
        <v>496</v>
      </c>
      <c r="E660" t="s">
        <v>479</v>
      </c>
    </row>
    <row r="661" spans="2:5" x14ac:dyDescent="0.3">
      <c r="B661" t="s">
        <v>1520</v>
      </c>
      <c r="C661">
        <v>530809</v>
      </c>
      <c r="D661" t="s">
        <v>496</v>
      </c>
      <c r="E661" t="s">
        <v>826</v>
      </c>
    </row>
    <row r="662" spans="2:5" x14ac:dyDescent="0.3">
      <c r="B662" t="s">
        <v>1521</v>
      </c>
      <c r="C662">
        <v>524370</v>
      </c>
      <c r="D662" t="s">
        <v>1522</v>
      </c>
      <c r="E662" t="s">
        <v>656</v>
      </c>
    </row>
    <row r="663" spans="2:5" x14ac:dyDescent="0.3">
      <c r="B663" t="s">
        <v>1523</v>
      </c>
      <c r="C663">
        <v>539122</v>
      </c>
      <c r="D663" t="s">
        <v>496</v>
      </c>
      <c r="E663" t="s">
        <v>482</v>
      </c>
    </row>
    <row r="664" spans="2:5" x14ac:dyDescent="0.3">
      <c r="B664" t="s">
        <v>1524</v>
      </c>
      <c r="C664" t="s">
        <v>496</v>
      </c>
      <c r="D664" t="s">
        <v>1525</v>
      </c>
      <c r="E664" t="s">
        <v>507</v>
      </c>
    </row>
    <row r="665" spans="2:5" x14ac:dyDescent="0.3">
      <c r="B665" t="s">
        <v>1526</v>
      </c>
      <c r="C665">
        <v>501425</v>
      </c>
      <c r="D665" t="s">
        <v>1527</v>
      </c>
      <c r="E665" t="s">
        <v>903</v>
      </c>
    </row>
    <row r="666" spans="2:5" x14ac:dyDescent="0.3">
      <c r="B666" t="s">
        <v>1528</v>
      </c>
      <c r="C666">
        <v>501430</v>
      </c>
      <c r="D666" t="s">
        <v>496</v>
      </c>
      <c r="E666" t="s">
        <v>518</v>
      </c>
    </row>
    <row r="667" spans="2:5" x14ac:dyDescent="0.3">
      <c r="B667" t="s">
        <v>1529</v>
      </c>
      <c r="C667">
        <v>500020</v>
      </c>
      <c r="D667" t="s">
        <v>1530</v>
      </c>
      <c r="E667" t="s">
        <v>511</v>
      </c>
    </row>
    <row r="668" spans="2:5" x14ac:dyDescent="0.3">
      <c r="B668" t="s">
        <v>1531</v>
      </c>
      <c r="C668">
        <v>509470</v>
      </c>
      <c r="D668" t="s">
        <v>496</v>
      </c>
      <c r="E668" t="s">
        <v>1532</v>
      </c>
    </row>
    <row r="669" spans="2:5" x14ac:dyDescent="0.3">
      <c r="B669" t="s">
        <v>1533</v>
      </c>
      <c r="C669">
        <v>502216</v>
      </c>
      <c r="D669" t="s">
        <v>496</v>
      </c>
      <c r="E669" t="s">
        <v>582</v>
      </c>
    </row>
    <row r="670" spans="2:5" x14ac:dyDescent="0.3">
      <c r="B670" t="s">
        <v>1534</v>
      </c>
      <c r="C670">
        <v>532678</v>
      </c>
      <c r="D670" t="s">
        <v>1535</v>
      </c>
      <c r="E670" t="s">
        <v>511</v>
      </c>
    </row>
    <row r="671" spans="2:5" x14ac:dyDescent="0.3">
      <c r="B671" t="s">
        <v>1536</v>
      </c>
      <c r="C671" t="s">
        <v>496</v>
      </c>
      <c r="D671" t="s">
        <v>1537</v>
      </c>
      <c r="E671" t="s">
        <v>507</v>
      </c>
    </row>
    <row r="672" spans="2:5" x14ac:dyDescent="0.3">
      <c r="B672" t="s">
        <v>1538</v>
      </c>
      <c r="C672">
        <v>504648</v>
      </c>
      <c r="D672" t="s">
        <v>496</v>
      </c>
      <c r="E672" t="s">
        <v>819</v>
      </c>
    </row>
    <row r="673" spans="2:5" x14ac:dyDescent="0.3">
      <c r="B673" t="s">
        <v>1539</v>
      </c>
      <c r="C673">
        <v>523133</v>
      </c>
      <c r="D673" t="s">
        <v>496</v>
      </c>
      <c r="E673" t="s">
        <v>511</v>
      </c>
    </row>
    <row r="674" spans="2:5" x14ac:dyDescent="0.3">
      <c r="B674" t="s">
        <v>1540</v>
      </c>
      <c r="C674">
        <v>502219</v>
      </c>
      <c r="D674" t="s">
        <v>1541</v>
      </c>
      <c r="E674" t="s">
        <v>1542</v>
      </c>
    </row>
    <row r="675" spans="2:5" x14ac:dyDescent="0.3">
      <c r="B675" t="s">
        <v>1543</v>
      </c>
      <c r="C675">
        <v>500530</v>
      </c>
      <c r="D675" t="s">
        <v>1544</v>
      </c>
      <c r="E675" t="s">
        <v>851</v>
      </c>
    </row>
    <row r="676" spans="2:5" x14ac:dyDescent="0.3">
      <c r="B676" t="s">
        <v>1545</v>
      </c>
      <c r="C676">
        <v>536820</v>
      </c>
      <c r="D676" t="s">
        <v>496</v>
      </c>
      <c r="E676" t="s">
        <v>589</v>
      </c>
    </row>
    <row r="677" spans="2:5" x14ac:dyDescent="0.3">
      <c r="B677" t="s">
        <v>1546</v>
      </c>
      <c r="C677">
        <v>536820</v>
      </c>
      <c r="D677" t="s">
        <v>496</v>
      </c>
      <c r="E677" t="s">
        <v>589</v>
      </c>
    </row>
    <row r="678" spans="2:5" x14ac:dyDescent="0.3">
      <c r="B678" t="s">
        <v>1547</v>
      </c>
      <c r="C678">
        <v>535279</v>
      </c>
      <c r="D678" t="s">
        <v>496</v>
      </c>
      <c r="E678" t="s">
        <v>801</v>
      </c>
    </row>
    <row r="679" spans="2:5" x14ac:dyDescent="0.3">
      <c r="B679" t="s">
        <v>1548</v>
      </c>
      <c r="C679">
        <v>500074</v>
      </c>
      <c r="D679" t="s">
        <v>1549</v>
      </c>
      <c r="E679" t="s">
        <v>865</v>
      </c>
    </row>
    <row r="680" spans="2:5" x14ac:dyDescent="0.3">
      <c r="B680" t="s">
        <v>1550</v>
      </c>
      <c r="C680">
        <v>505690</v>
      </c>
      <c r="D680" t="s">
        <v>496</v>
      </c>
      <c r="E680" t="s">
        <v>574</v>
      </c>
    </row>
    <row r="681" spans="2:5" x14ac:dyDescent="0.3">
      <c r="B681" t="s">
        <v>1551</v>
      </c>
      <c r="C681">
        <v>535693</v>
      </c>
      <c r="D681" t="s">
        <v>496</v>
      </c>
      <c r="E681" t="s">
        <v>894</v>
      </c>
    </row>
    <row r="682" spans="2:5" x14ac:dyDescent="0.3">
      <c r="B682" t="s">
        <v>1552</v>
      </c>
      <c r="C682" t="s">
        <v>496</v>
      </c>
      <c r="D682" t="s">
        <v>1553</v>
      </c>
      <c r="E682" t="s">
        <v>507</v>
      </c>
    </row>
    <row r="683" spans="2:5" x14ac:dyDescent="0.3">
      <c r="B683" t="s">
        <v>1554</v>
      </c>
      <c r="C683">
        <v>531203</v>
      </c>
      <c r="D683" t="s">
        <v>496</v>
      </c>
      <c r="E683" t="s">
        <v>580</v>
      </c>
    </row>
    <row r="684" spans="2:5" x14ac:dyDescent="0.3">
      <c r="B684" t="s">
        <v>1555</v>
      </c>
      <c r="C684">
        <v>530207</v>
      </c>
      <c r="D684" t="s">
        <v>496</v>
      </c>
      <c r="E684" t="s">
        <v>534</v>
      </c>
    </row>
    <row r="685" spans="2:5" x14ac:dyDescent="0.3">
      <c r="B685" t="s">
        <v>1556</v>
      </c>
      <c r="C685">
        <v>530249</v>
      </c>
      <c r="D685" t="s">
        <v>496</v>
      </c>
      <c r="E685" t="s">
        <v>479</v>
      </c>
    </row>
    <row r="686" spans="2:5" x14ac:dyDescent="0.3">
      <c r="B686" t="s">
        <v>1557</v>
      </c>
      <c r="C686">
        <v>532929</v>
      </c>
      <c r="D686" t="s">
        <v>1558</v>
      </c>
      <c r="E686" t="s">
        <v>582</v>
      </c>
    </row>
    <row r="687" spans="2:5" x14ac:dyDescent="0.3">
      <c r="B687" t="s">
        <v>1559</v>
      </c>
      <c r="C687">
        <v>526731</v>
      </c>
      <c r="D687" t="s">
        <v>496</v>
      </c>
      <c r="E687" t="s">
        <v>691</v>
      </c>
    </row>
    <row r="688" spans="2:5" x14ac:dyDescent="0.3">
      <c r="B688" t="s">
        <v>1560</v>
      </c>
      <c r="C688" t="s">
        <v>496</v>
      </c>
      <c r="D688" t="s">
        <v>1561</v>
      </c>
      <c r="E688" t="s">
        <v>507</v>
      </c>
    </row>
    <row r="689" spans="2:5" x14ac:dyDescent="0.3">
      <c r="B689" t="s">
        <v>1562</v>
      </c>
      <c r="C689">
        <v>532368</v>
      </c>
      <c r="D689" t="s">
        <v>1563</v>
      </c>
      <c r="E689" t="s">
        <v>589</v>
      </c>
    </row>
    <row r="690" spans="2:5" x14ac:dyDescent="0.3">
      <c r="B690" t="s">
        <v>1564</v>
      </c>
      <c r="C690">
        <v>532113</v>
      </c>
      <c r="D690" t="s">
        <v>1565</v>
      </c>
      <c r="E690" t="s">
        <v>513</v>
      </c>
    </row>
    <row r="691" spans="2:5" x14ac:dyDescent="0.3">
      <c r="B691" t="s">
        <v>1566</v>
      </c>
      <c r="C691">
        <v>539434</v>
      </c>
      <c r="D691" t="s">
        <v>496</v>
      </c>
      <c r="E691" t="s">
        <v>513</v>
      </c>
    </row>
    <row r="692" spans="2:5" x14ac:dyDescent="0.3">
      <c r="B692" t="s">
        <v>1567</v>
      </c>
      <c r="C692">
        <v>500825</v>
      </c>
      <c r="D692" t="s">
        <v>1568</v>
      </c>
      <c r="E692" t="s">
        <v>556</v>
      </c>
    </row>
    <row r="693" spans="2:5" x14ac:dyDescent="0.3">
      <c r="B693" t="s">
        <v>1569</v>
      </c>
      <c r="C693">
        <v>534731</v>
      </c>
      <c r="D693" t="s">
        <v>496</v>
      </c>
      <c r="E693" t="s">
        <v>894</v>
      </c>
    </row>
    <row r="694" spans="2:5" x14ac:dyDescent="0.3">
      <c r="B694" t="s">
        <v>1570</v>
      </c>
      <c r="C694">
        <v>533543</v>
      </c>
      <c r="D694" t="s">
        <v>1571</v>
      </c>
      <c r="E694" t="s">
        <v>534</v>
      </c>
    </row>
    <row r="695" spans="2:5" x14ac:dyDescent="0.3">
      <c r="B695" t="s">
        <v>1572</v>
      </c>
      <c r="C695" t="s">
        <v>496</v>
      </c>
      <c r="D695" t="s">
        <v>471</v>
      </c>
      <c r="E695" t="s">
        <v>587</v>
      </c>
    </row>
    <row r="696" spans="2:5" x14ac:dyDescent="0.3">
      <c r="B696" t="s">
        <v>1573</v>
      </c>
      <c r="C696">
        <v>532123</v>
      </c>
      <c r="D696" t="s">
        <v>1574</v>
      </c>
      <c r="E696" t="s">
        <v>582</v>
      </c>
    </row>
    <row r="697" spans="2:5" x14ac:dyDescent="0.3">
      <c r="B697" t="s">
        <v>1575</v>
      </c>
      <c r="C697">
        <v>514045</v>
      </c>
      <c r="D697" t="s">
        <v>1576</v>
      </c>
      <c r="E697" t="s">
        <v>511</v>
      </c>
    </row>
    <row r="698" spans="2:5" x14ac:dyDescent="0.3">
      <c r="B698" t="s">
        <v>1577</v>
      </c>
      <c r="C698">
        <v>538789</v>
      </c>
      <c r="D698" t="s">
        <v>496</v>
      </c>
      <c r="E698" t="s">
        <v>733</v>
      </c>
    </row>
    <row r="699" spans="2:5" x14ac:dyDescent="0.3">
      <c r="B699" t="s">
        <v>1578</v>
      </c>
      <c r="C699">
        <v>540006</v>
      </c>
      <c r="D699" t="s">
        <v>496</v>
      </c>
      <c r="E699" t="s">
        <v>479</v>
      </c>
    </row>
    <row r="700" spans="2:5" x14ac:dyDescent="0.3">
      <c r="B700" t="s">
        <v>1579</v>
      </c>
      <c r="C700">
        <v>532931</v>
      </c>
      <c r="D700" t="s">
        <v>1580</v>
      </c>
      <c r="E700" t="s">
        <v>509</v>
      </c>
    </row>
    <row r="701" spans="2:5" x14ac:dyDescent="0.3">
      <c r="B701" t="s">
        <v>1581</v>
      </c>
      <c r="C701">
        <v>517421</v>
      </c>
      <c r="D701" t="s">
        <v>1582</v>
      </c>
      <c r="E701" t="s">
        <v>1261</v>
      </c>
    </row>
    <row r="702" spans="2:5" x14ac:dyDescent="0.3">
      <c r="B702" t="s">
        <v>1583</v>
      </c>
      <c r="C702">
        <v>504643</v>
      </c>
      <c r="D702" t="s">
        <v>496</v>
      </c>
      <c r="E702" t="s">
        <v>819</v>
      </c>
    </row>
    <row r="703" spans="2:5" x14ac:dyDescent="0.3">
      <c r="B703" t="s">
        <v>1584</v>
      </c>
      <c r="C703">
        <v>532813</v>
      </c>
      <c r="D703" t="s">
        <v>1585</v>
      </c>
      <c r="E703" t="s">
        <v>894</v>
      </c>
    </row>
    <row r="704" spans="2:5" x14ac:dyDescent="0.3">
      <c r="B704" t="s">
        <v>1586</v>
      </c>
      <c r="C704">
        <v>507515</v>
      </c>
      <c r="D704" t="s">
        <v>496</v>
      </c>
      <c r="E704" t="s">
        <v>656</v>
      </c>
    </row>
    <row r="705" spans="2:5" x14ac:dyDescent="0.3">
      <c r="B705" t="s">
        <v>1587</v>
      </c>
      <c r="C705">
        <v>532321</v>
      </c>
      <c r="D705" t="s">
        <v>1588</v>
      </c>
      <c r="E705" t="s">
        <v>534</v>
      </c>
    </row>
    <row r="706" spans="2:5" x14ac:dyDescent="0.3">
      <c r="B706" t="s">
        <v>1589</v>
      </c>
      <c r="C706" t="s">
        <v>496</v>
      </c>
      <c r="D706" t="s">
        <v>1590</v>
      </c>
      <c r="E706" t="s">
        <v>507</v>
      </c>
    </row>
    <row r="707" spans="2:5" x14ac:dyDescent="0.3">
      <c r="B707" t="s">
        <v>1591</v>
      </c>
      <c r="C707" t="s">
        <v>496</v>
      </c>
      <c r="D707" t="s">
        <v>1590</v>
      </c>
      <c r="E707" t="s">
        <v>507</v>
      </c>
    </row>
    <row r="708" spans="2:5" x14ac:dyDescent="0.3">
      <c r="B708" t="s">
        <v>1592</v>
      </c>
      <c r="C708">
        <v>517236</v>
      </c>
      <c r="D708" t="s">
        <v>496</v>
      </c>
      <c r="E708" t="s">
        <v>865</v>
      </c>
    </row>
    <row r="709" spans="2:5" x14ac:dyDescent="0.3">
      <c r="B709" t="s">
        <v>1593</v>
      </c>
      <c r="C709">
        <v>532386</v>
      </c>
      <c r="D709" t="s">
        <v>1594</v>
      </c>
      <c r="E709" t="s">
        <v>589</v>
      </c>
    </row>
    <row r="710" spans="2:5" x14ac:dyDescent="0.3">
      <c r="B710" t="s">
        <v>1595</v>
      </c>
      <c r="C710">
        <v>532801</v>
      </c>
      <c r="D710" t="s">
        <v>1596</v>
      </c>
      <c r="E710" t="s">
        <v>589</v>
      </c>
    </row>
    <row r="711" spans="2:5" x14ac:dyDescent="0.3">
      <c r="B711" t="s">
        <v>1597</v>
      </c>
      <c r="C711">
        <v>524440</v>
      </c>
      <c r="D711" t="s">
        <v>496</v>
      </c>
      <c r="E711" t="s">
        <v>544</v>
      </c>
    </row>
    <row r="712" spans="2:5" x14ac:dyDescent="0.3">
      <c r="B712" t="s">
        <v>1598</v>
      </c>
      <c r="C712">
        <v>532834</v>
      </c>
      <c r="D712" t="s">
        <v>1599</v>
      </c>
      <c r="E712" t="s">
        <v>656</v>
      </c>
    </row>
    <row r="713" spans="2:5" x14ac:dyDescent="0.3">
      <c r="B713" t="s">
        <v>1600</v>
      </c>
      <c r="C713">
        <v>538858</v>
      </c>
      <c r="D713" t="s">
        <v>496</v>
      </c>
      <c r="E713" t="s">
        <v>834</v>
      </c>
    </row>
    <row r="714" spans="2:5" x14ac:dyDescent="0.3">
      <c r="B714" t="s">
        <v>1601</v>
      </c>
      <c r="C714">
        <v>540071</v>
      </c>
      <c r="D714" t="s">
        <v>496</v>
      </c>
      <c r="E714" t="s">
        <v>694</v>
      </c>
    </row>
    <row r="715" spans="2:5" x14ac:dyDescent="0.3">
      <c r="B715" t="s">
        <v>1602</v>
      </c>
      <c r="C715">
        <v>511196</v>
      </c>
      <c r="D715" t="s">
        <v>1603</v>
      </c>
      <c r="E715" t="s">
        <v>554</v>
      </c>
    </row>
    <row r="716" spans="2:5" x14ac:dyDescent="0.3">
      <c r="B716" t="s">
        <v>1604</v>
      </c>
      <c r="C716">
        <v>532483</v>
      </c>
      <c r="D716" t="s">
        <v>1605</v>
      </c>
      <c r="E716" t="s">
        <v>814</v>
      </c>
    </row>
    <row r="717" spans="2:5" x14ac:dyDescent="0.3">
      <c r="B717" t="s">
        <v>1606</v>
      </c>
      <c r="C717">
        <v>539304</v>
      </c>
      <c r="D717" t="s">
        <v>496</v>
      </c>
      <c r="E717" t="s">
        <v>479</v>
      </c>
    </row>
    <row r="718" spans="2:5" x14ac:dyDescent="0.3">
      <c r="B718" t="s">
        <v>1607</v>
      </c>
      <c r="C718">
        <v>533267</v>
      </c>
      <c r="D718" t="s">
        <v>1608</v>
      </c>
      <c r="E718" t="s">
        <v>610</v>
      </c>
    </row>
    <row r="719" spans="2:5" x14ac:dyDescent="0.3">
      <c r="B719" t="s">
        <v>1609</v>
      </c>
      <c r="C719">
        <v>533267</v>
      </c>
      <c r="D719" t="s">
        <v>1608</v>
      </c>
      <c r="E719" t="s">
        <v>610</v>
      </c>
    </row>
    <row r="720" spans="2:5" x14ac:dyDescent="0.3">
      <c r="B720" t="s">
        <v>1610</v>
      </c>
      <c r="C720">
        <v>540710</v>
      </c>
      <c r="D720" t="s">
        <v>1611</v>
      </c>
      <c r="E720" t="s">
        <v>582</v>
      </c>
    </row>
    <row r="721" spans="2:5" x14ac:dyDescent="0.3">
      <c r="B721" t="s">
        <v>1612</v>
      </c>
      <c r="C721">
        <v>539198</v>
      </c>
      <c r="D721" t="s">
        <v>496</v>
      </c>
      <c r="E721" t="s">
        <v>479</v>
      </c>
    </row>
    <row r="722" spans="2:5" x14ac:dyDescent="0.3">
      <c r="B722" t="s">
        <v>1613</v>
      </c>
      <c r="C722">
        <v>539198</v>
      </c>
      <c r="D722" t="s">
        <v>496</v>
      </c>
      <c r="E722" t="s">
        <v>479</v>
      </c>
    </row>
    <row r="723" spans="2:5" x14ac:dyDescent="0.3">
      <c r="B723" t="s">
        <v>1614</v>
      </c>
      <c r="C723">
        <v>532938</v>
      </c>
      <c r="D723" t="s">
        <v>1615</v>
      </c>
      <c r="E723" t="s">
        <v>479</v>
      </c>
    </row>
    <row r="724" spans="2:5" x14ac:dyDescent="0.3">
      <c r="B724" t="s">
        <v>1616</v>
      </c>
      <c r="C724">
        <v>530879</v>
      </c>
      <c r="D724" t="s">
        <v>496</v>
      </c>
      <c r="E724" t="s">
        <v>479</v>
      </c>
    </row>
    <row r="725" spans="2:5" x14ac:dyDescent="0.3">
      <c r="B725" t="s">
        <v>1617</v>
      </c>
      <c r="C725">
        <v>538476</v>
      </c>
      <c r="D725" t="s">
        <v>496</v>
      </c>
      <c r="E725" t="s">
        <v>513</v>
      </c>
    </row>
    <row r="726" spans="2:5" x14ac:dyDescent="0.3">
      <c r="B726" t="s">
        <v>1618</v>
      </c>
      <c r="C726">
        <v>511505</v>
      </c>
      <c r="D726" t="s">
        <v>1619</v>
      </c>
      <c r="E726" t="s">
        <v>513</v>
      </c>
    </row>
    <row r="727" spans="2:5" x14ac:dyDescent="0.3">
      <c r="B727" t="s">
        <v>1620</v>
      </c>
      <c r="C727">
        <v>524742</v>
      </c>
      <c r="D727" t="s">
        <v>1621</v>
      </c>
      <c r="E727" t="s">
        <v>534</v>
      </c>
    </row>
    <row r="728" spans="2:5" x14ac:dyDescent="0.3">
      <c r="B728" t="s">
        <v>1622</v>
      </c>
      <c r="C728">
        <v>531595</v>
      </c>
      <c r="D728" t="s">
        <v>1623</v>
      </c>
      <c r="E728" t="s">
        <v>513</v>
      </c>
    </row>
    <row r="729" spans="2:5" x14ac:dyDescent="0.3">
      <c r="B729" t="s">
        <v>1624</v>
      </c>
      <c r="C729">
        <v>512169</v>
      </c>
      <c r="D729" t="s">
        <v>496</v>
      </c>
      <c r="E729" t="s">
        <v>917</v>
      </c>
    </row>
    <row r="730" spans="2:5" x14ac:dyDescent="0.3">
      <c r="B730" t="s">
        <v>1625</v>
      </c>
      <c r="C730">
        <v>509486</v>
      </c>
      <c r="D730" t="s">
        <v>496</v>
      </c>
      <c r="E730" t="s">
        <v>616</v>
      </c>
    </row>
    <row r="731" spans="2:5" x14ac:dyDescent="0.3">
      <c r="B731" t="s">
        <v>1626</v>
      </c>
      <c r="C731">
        <v>509486</v>
      </c>
      <c r="D731" t="s">
        <v>496</v>
      </c>
      <c r="E731" t="s">
        <v>616</v>
      </c>
    </row>
    <row r="732" spans="2:5" x14ac:dyDescent="0.3">
      <c r="B732" t="s">
        <v>1627</v>
      </c>
      <c r="C732">
        <v>507486</v>
      </c>
      <c r="D732" t="s">
        <v>496</v>
      </c>
      <c r="E732" t="s">
        <v>544</v>
      </c>
    </row>
    <row r="733" spans="2:5" x14ac:dyDescent="0.3">
      <c r="B733" t="s">
        <v>1628</v>
      </c>
      <c r="C733">
        <v>538817</v>
      </c>
      <c r="D733" t="s">
        <v>496</v>
      </c>
      <c r="E733" t="s">
        <v>616</v>
      </c>
    </row>
    <row r="734" spans="2:5" x14ac:dyDescent="0.3">
      <c r="B734" t="s">
        <v>1629</v>
      </c>
      <c r="C734">
        <v>536974</v>
      </c>
      <c r="D734" t="s">
        <v>496</v>
      </c>
      <c r="E734" t="s">
        <v>616</v>
      </c>
    </row>
    <row r="735" spans="2:5" x14ac:dyDescent="0.3">
      <c r="B735" t="s">
        <v>1630</v>
      </c>
      <c r="C735">
        <v>540652</v>
      </c>
      <c r="D735" t="s">
        <v>496</v>
      </c>
      <c r="E735" t="s">
        <v>681</v>
      </c>
    </row>
    <row r="736" spans="2:5" x14ac:dyDescent="0.3">
      <c r="B736" t="s">
        <v>1631</v>
      </c>
      <c r="C736">
        <v>513375</v>
      </c>
      <c r="D736" t="s">
        <v>1632</v>
      </c>
      <c r="E736" t="s">
        <v>1416</v>
      </c>
    </row>
    <row r="737" spans="2:5" x14ac:dyDescent="0.3">
      <c r="B737" t="s">
        <v>1633</v>
      </c>
      <c r="C737">
        <v>534804</v>
      </c>
      <c r="D737" t="s">
        <v>1634</v>
      </c>
      <c r="E737" t="s">
        <v>479</v>
      </c>
    </row>
    <row r="738" spans="2:5" x14ac:dyDescent="0.3">
      <c r="B738" t="s">
        <v>1635</v>
      </c>
      <c r="C738">
        <v>533260</v>
      </c>
      <c r="D738" t="s">
        <v>1636</v>
      </c>
      <c r="E738" t="s">
        <v>601</v>
      </c>
    </row>
    <row r="739" spans="2:5" x14ac:dyDescent="0.3">
      <c r="B739" t="s">
        <v>1637</v>
      </c>
      <c r="C739">
        <v>530609</v>
      </c>
      <c r="D739" t="s">
        <v>496</v>
      </c>
      <c r="E739" t="s">
        <v>1416</v>
      </c>
    </row>
    <row r="740" spans="2:5" x14ac:dyDescent="0.3">
      <c r="B740" t="s">
        <v>1638</v>
      </c>
      <c r="C740">
        <v>532282</v>
      </c>
      <c r="D740" t="s">
        <v>1639</v>
      </c>
      <c r="E740" t="s">
        <v>851</v>
      </c>
    </row>
    <row r="741" spans="2:5" x14ac:dyDescent="0.3">
      <c r="B741" t="s">
        <v>1640</v>
      </c>
      <c r="C741">
        <v>500870</v>
      </c>
      <c r="D741" t="s">
        <v>1641</v>
      </c>
      <c r="E741" t="s">
        <v>706</v>
      </c>
    </row>
    <row r="742" spans="2:5" x14ac:dyDescent="0.3">
      <c r="B742" t="s">
        <v>1642</v>
      </c>
      <c r="C742">
        <v>500870</v>
      </c>
      <c r="D742" t="s">
        <v>1641</v>
      </c>
      <c r="E742" t="s">
        <v>706</v>
      </c>
    </row>
    <row r="743" spans="2:5" x14ac:dyDescent="0.3">
      <c r="B743" t="s">
        <v>1643</v>
      </c>
      <c r="C743">
        <v>531682</v>
      </c>
      <c r="D743" t="s">
        <v>496</v>
      </c>
      <c r="E743" t="s">
        <v>482</v>
      </c>
    </row>
    <row r="744" spans="2:5" x14ac:dyDescent="0.3">
      <c r="B744" t="s">
        <v>1644</v>
      </c>
      <c r="C744">
        <v>531158</v>
      </c>
      <c r="D744" t="s">
        <v>496</v>
      </c>
      <c r="E744" t="s">
        <v>518</v>
      </c>
    </row>
    <row r="745" spans="2:5" x14ac:dyDescent="0.3">
      <c r="B745" t="s">
        <v>1645</v>
      </c>
      <c r="C745">
        <v>531900</v>
      </c>
      <c r="D745" t="s">
        <v>496</v>
      </c>
      <c r="E745" t="s">
        <v>518</v>
      </c>
    </row>
    <row r="746" spans="2:5" x14ac:dyDescent="0.3">
      <c r="B746" t="s">
        <v>1646</v>
      </c>
      <c r="C746">
        <v>519600</v>
      </c>
      <c r="D746" t="s">
        <v>1647</v>
      </c>
      <c r="E746" t="s">
        <v>903</v>
      </c>
    </row>
    <row r="747" spans="2:5" x14ac:dyDescent="0.3">
      <c r="B747" t="s">
        <v>1648</v>
      </c>
      <c r="C747">
        <v>519600</v>
      </c>
      <c r="D747" t="s">
        <v>1647</v>
      </c>
      <c r="E747" t="s">
        <v>903</v>
      </c>
    </row>
    <row r="748" spans="2:5" x14ac:dyDescent="0.3">
      <c r="B748" t="s">
        <v>1649</v>
      </c>
      <c r="C748">
        <v>500878</v>
      </c>
      <c r="D748" t="s">
        <v>1650</v>
      </c>
      <c r="E748" t="s">
        <v>976</v>
      </c>
    </row>
    <row r="749" spans="2:5" x14ac:dyDescent="0.3">
      <c r="B749" t="s">
        <v>1651</v>
      </c>
      <c r="C749">
        <v>530789</v>
      </c>
      <c r="D749" t="s">
        <v>496</v>
      </c>
      <c r="E749" t="s">
        <v>616</v>
      </c>
    </row>
    <row r="750" spans="2:5" x14ac:dyDescent="0.3">
      <c r="B750" t="s">
        <v>1652</v>
      </c>
      <c r="C750">
        <v>531119</v>
      </c>
      <c r="D750" t="s">
        <v>496</v>
      </c>
      <c r="E750" t="s">
        <v>610</v>
      </c>
    </row>
    <row r="751" spans="2:5" x14ac:dyDescent="0.3">
      <c r="B751" t="s">
        <v>1653</v>
      </c>
      <c r="C751">
        <v>531119</v>
      </c>
      <c r="D751" t="s">
        <v>496</v>
      </c>
      <c r="E751" t="s">
        <v>610</v>
      </c>
    </row>
    <row r="752" spans="2:5" x14ac:dyDescent="0.3">
      <c r="B752" t="s">
        <v>1654</v>
      </c>
      <c r="C752">
        <v>514171</v>
      </c>
      <c r="D752" t="s">
        <v>496</v>
      </c>
      <c r="E752" t="s">
        <v>1024</v>
      </c>
    </row>
    <row r="753" spans="2:5" x14ac:dyDescent="0.3">
      <c r="B753" t="s">
        <v>1655</v>
      </c>
      <c r="C753">
        <v>538734</v>
      </c>
      <c r="D753" t="s">
        <v>496</v>
      </c>
      <c r="E753" t="s">
        <v>482</v>
      </c>
    </row>
    <row r="754" spans="2:5" x14ac:dyDescent="0.3">
      <c r="B754" t="s">
        <v>1656</v>
      </c>
      <c r="C754">
        <v>532695</v>
      </c>
      <c r="D754" t="s">
        <v>1657</v>
      </c>
      <c r="E754" t="s">
        <v>610</v>
      </c>
    </row>
    <row r="755" spans="2:5" x14ac:dyDescent="0.3">
      <c r="B755" t="s">
        <v>1658</v>
      </c>
      <c r="C755">
        <v>532871</v>
      </c>
      <c r="D755" t="s">
        <v>1659</v>
      </c>
      <c r="E755" t="s">
        <v>834</v>
      </c>
    </row>
    <row r="756" spans="2:5" x14ac:dyDescent="0.3">
      <c r="B756" t="s">
        <v>1660</v>
      </c>
      <c r="C756">
        <v>532701</v>
      </c>
      <c r="D756" t="s">
        <v>496</v>
      </c>
      <c r="E756" t="s">
        <v>490</v>
      </c>
    </row>
    <row r="757" spans="2:5" x14ac:dyDescent="0.3">
      <c r="B757" t="s">
        <v>1661</v>
      </c>
      <c r="C757">
        <v>522251</v>
      </c>
      <c r="D757" t="s">
        <v>496</v>
      </c>
      <c r="E757" t="s">
        <v>504</v>
      </c>
    </row>
    <row r="758" spans="2:5" x14ac:dyDescent="0.3">
      <c r="B758" t="s">
        <v>1662</v>
      </c>
      <c r="C758">
        <v>531380</v>
      </c>
      <c r="D758" t="s">
        <v>496</v>
      </c>
      <c r="E758" t="s">
        <v>1663</v>
      </c>
    </row>
    <row r="759" spans="2:5" x14ac:dyDescent="0.3">
      <c r="B759" t="s">
        <v>1664</v>
      </c>
      <c r="C759">
        <v>532885</v>
      </c>
      <c r="D759" t="s">
        <v>1665</v>
      </c>
      <c r="E759" t="s">
        <v>814</v>
      </c>
    </row>
    <row r="760" spans="2:5" x14ac:dyDescent="0.3">
      <c r="B760" t="s">
        <v>1666</v>
      </c>
      <c r="C760" t="s">
        <v>496</v>
      </c>
      <c r="D760" t="s">
        <v>1667</v>
      </c>
      <c r="E760" t="s">
        <v>587</v>
      </c>
    </row>
    <row r="761" spans="2:5" x14ac:dyDescent="0.3">
      <c r="B761" t="s">
        <v>1668</v>
      </c>
      <c r="C761" t="s">
        <v>496</v>
      </c>
      <c r="D761" t="s">
        <v>1667</v>
      </c>
      <c r="E761" t="s">
        <v>587</v>
      </c>
    </row>
    <row r="762" spans="2:5" x14ac:dyDescent="0.3">
      <c r="B762" t="s">
        <v>1669</v>
      </c>
      <c r="C762">
        <v>501827</v>
      </c>
      <c r="D762" t="s">
        <v>496</v>
      </c>
      <c r="E762" t="s">
        <v>568</v>
      </c>
    </row>
    <row r="763" spans="2:5" x14ac:dyDescent="0.3">
      <c r="B763" t="s">
        <v>1670</v>
      </c>
      <c r="C763">
        <v>501150</v>
      </c>
      <c r="D763" t="s">
        <v>1671</v>
      </c>
      <c r="E763" t="s">
        <v>479</v>
      </c>
    </row>
    <row r="764" spans="2:5" x14ac:dyDescent="0.3">
      <c r="B764" t="s">
        <v>1672</v>
      </c>
      <c r="C764">
        <v>517544</v>
      </c>
      <c r="D764" t="s">
        <v>1673</v>
      </c>
      <c r="E764" t="s">
        <v>917</v>
      </c>
    </row>
    <row r="765" spans="2:5" x14ac:dyDescent="0.3">
      <c r="B765" t="s">
        <v>1674</v>
      </c>
      <c r="C765">
        <v>500280</v>
      </c>
      <c r="D765" t="s">
        <v>1675</v>
      </c>
      <c r="E765" t="s">
        <v>511</v>
      </c>
    </row>
    <row r="766" spans="2:5" x14ac:dyDescent="0.3">
      <c r="B766" t="s">
        <v>1676</v>
      </c>
      <c r="C766">
        <v>500083</v>
      </c>
      <c r="D766" t="s">
        <v>1677</v>
      </c>
      <c r="E766" t="s">
        <v>801</v>
      </c>
    </row>
    <row r="767" spans="2:5" x14ac:dyDescent="0.3">
      <c r="B767" t="s">
        <v>1678</v>
      </c>
      <c r="C767">
        <v>532548</v>
      </c>
      <c r="D767" t="s">
        <v>1679</v>
      </c>
      <c r="E767" t="s">
        <v>991</v>
      </c>
    </row>
    <row r="768" spans="2:5" x14ac:dyDescent="0.3">
      <c r="B768" t="s">
        <v>1680</v>
      </c>
      <c r="C768">
        <v>532548</v>
      </c>
      <c r="D768" t="s">
        <v>1679</v>
      </c>
      <c r="E768" t="s">
        <v>991</v>
      </c>
    </row>
    <row r="769" spans="2:5" x14ac:dyDescent="0.3">
      <c r="B769" t="s">
        <v>1681</v>
      </c>
      <c r="C769">
        <v>500040</v>
      </c>
      <c r="D769" t="s">
        <v>1682</v>
      </c>
      <c r="E769" t="s">
        <v>509</v>
      </c>
    </row>
    <row r="770" spans="2:5" x14ac:dyDescent="0.3">
      <c r="B770" t="s">
        <v>1683</v>
      </c>
      <c r="C770">
        <v>530881</v>
      </c>
      <c r="D770" t="s">
        <v>496</v>
      </c>
      <c r="E770" t="s">
        <v>479</v>
      </c>
    </row>
    <row r="771" spans="2:5" x14ac:dyDescent="0.3">
      <c r="B771" t="s">
        <v>1684</v>
      </c>
      <c r="C771">
        <v>532443</v>
      </c>
      <c r="D771" t="s">
        <v>1685</v>
      </c>
      <c r="E771" t="s">
        <v>773</v>
      </c>
    </row>
    <row r="772" spans="2:5" x14ac:dyDescent="0.3">
      <c r="B772" t="s">
        <v>1686</v>
      </c>
      <c r="C772">
        <v>532413</v>
      </c>
      <c r="D772" t="s">
        <v>1687</v>
      </c>
      <c r="E772" t="s">
        <v>821</v>
      </c>
    </row>
    <row r="773" spans="2:5" x14ac:dyDescent="0.3">
      <c r="B773" t="s">
        <v>1688</v>
      </c>
      <c r="C773">
        <v>512341</v>
      </c>
      <c r="D773" t="s">
        <v>496</v>
      </c>
      <c r="E773" t="s">
        <v>826</v>
      </c>
    </row>
    <row r="774" spans="2:5" x14ac:dyDescent="0.3">
      <c r="B774" t="s">
        <v>1689</v>
      </c>
      <c r="C774">
        <v>500084</v>
      </c>
      <c r="D774" t="s">
        <v>1690</v>
      </c>
      <c r="E774" t="s">
        <v>635</v>
      </c>
    </row>
    <row r="775" spans="2:5" x14ac:dyDescent="0.3">
      <c r="B775" t="s">
        <v>1691</v>
      </c>
      <c r="C775" t="s">
        <v>496</v>
      </c>
      <c r="D775" t="s">
        <v>1692</v>
      </c>
      <c r="E775" t="s">
        <v>1693</v>
      </c>
    </row>
    <row r="776" spans="2:5" x14ac:dyDescent="0.3">
      <c r="B776" t="s">
        <v>1694</v>
      </c>
      <c r="C776">
        <v>542333</v>
      </c>
      <c r="D776" t="s">
        <v>1695</v>
      </c>
      <c r="E776" t="s">
        <v>1693</v>
      </c>
    </row>
    <row r="777" spans="2:5" x14ac:dyDescent="0.3">
      <c r="B777" t="s">
        <v>1696</v>
      </c>
      <c r="C777">
        <v>500093</v>
      </c>
      <c r="D777" t="s">
        <v>1697</v>
      </c>
      <c r="E777" t="s">
        <v>539</v>
      </c>
    </row>
    <row r="778" spans="2:5" x14ac:dyDescent="0.3">
      <c r="B778" t="s">
        <v>1698</v>
      </c>
      <c r="C778">
        <v>531489</v>
      </c>
      <c r="D778" t="s">
        <v>496</v>
      </c>
      <c r="E778" t="s">
        <v>589</v>
      </c>
    </row>
    <row r="779" spans="2:5" x14ac:dyDescent="0.3">
      <c r="B779" t="s">
        <v>1699</v>
      </c>
      <c r="C779">
        <v>531946</v>
      </c>
      <c r="D779" t="s">
        <v>496</v>
      </c>
      <c r="E779" t="s">
        <v>490</v>
      </c>
    </row>
    <row r="780" spans="2:5" x14ac:dyDescent="0.3">
      <c r="B780" t="s">
        <v>1700</v>
      </c>
      <c r="C780">
        <v>542399</v>
      </c>
      <c r="D780" t="s">
        <v>1701</v>
      </c>
      <c r="E780" t="s">
        <v>697</v>
      </c>
    </row>
    <row r="781" spans="2:5" x14ac:dyDescent="0.3">
      <c r="B781" t="s">
        <v>1702</v>
      </c>
      <c r="C781">
        <v>539600</v>
      </c>
      <c r="D781" t="s">
        <v>496</v>
      </c>
      <c r="E781" t="s">
        <v>518</v>
      </c>
    </row>
    <row r="782" spans="2:5" x14ac:dyDescent="0.3">
      <c r="B782" t="s">
        <v>1703</v>
      </c>
      <c r="C782">
        <v>530307</v>
      </c>
      <c r="D782" t="s">
        <v>496</v>
      </c>
      <c r="E782" t="s">
        <v>694</v>
      </c>
    </row>
    <row r="783" spans="2:5" x14ac:dyDescent="0.3">
      <c r="B783" t="s">
        <v>1704</v>
      </c>
      <c r="C783">
        <v>512301</v>
      </c>
      <c r="D783" t="s">
        <v>496</v>
      </c>
      <c r="E783" t="s">
        <v>518</v>
      </c>
    </row>
    <row r="784" spans="2:5" x14ac:dyDescent="0.3">
      <c r="B784" t="s">
        <v>1705</v>
      </c>
      <c r="C784">
        <v>500085</v>
      </c>
      <c r="D784" t="s">
        <v>1706</v>
      </c>
      <c r="E784" t="s">
        <v>1004</v>
      </c>
    </row>
    <row r="785" spans="2:5" x14ac:dyDescent="0.3">
      <c r="B785" t="s">
        <v>1707</v>
      </c>
      <c r="C785">
        <v>542627</v>
      </c>
      <c r="D785" t="s">
        <v>1708</v>
      </c>
      <c r="E785" t="s">
        <v>862</v>
      </c>
    </row>
    <row r="786" spans="2:5" x14ac:dyDescent="0.3">
      <c r="B786" t="s">
        <v>1709</v>
      </c>
      <c r="C786">
        <v>522292</v>
      </c>
      <c r="D786" t="s">
        <v>496</v>
      </c>
      <c r="E786" t="s">
        <v>511</v>
      </c>
    </row>
    <row r="787" spans="2:5" x14ac:dyDescent="0.3">
      <c r="B787" t="s">
        <v>1710</v>
      </c>
      <c r="C787">
        <v>530309</v>
      </c>
      <c r="D787" t="s">
        <v>496</v>
      </c>
      <c r="E787" t="s">
        <v>518</v>
      </c>
    </row>
    <row r="788" spans="2:5" x14ac:dyDescent="0.3">
      <c r="B788" t="s">
        <v>1711</v>
      </c>
      <c r="C788">
        <v>540829</v>
      </c>
      <c r="D788" t="s">
        <v>496</v>
      </c>
      <c r="E788" t="s">
        <v>518</v>
      </c>
    </row>
    <row r="789" spans="2:5" x14ac:dyDescent="0.3">
      <c r="B789" t="s">
        <v>1712</v>
      </c>
      <c r="C789">
        <v>535142</v>
      </c>
      <c r="D789" t="s">
        <v>496</v>
      </c>
      <c r="E789" t="s">
        <v>499</v>
      </c>
    </row>
    <row r="790" spans="2:5" x14ac:dyDescent="0.3">
      <c r="B790" t="s">
        <v>1713</v>
      </c>
      <c r="C790">
        <v>531327</v>
      </c>
      <c r="D790" t="s">
        <v>496</v>
      </c>
      <c r="E790" t="s">
        <v>479</v>
      </c>
    </row>
    <row r="791" spans="2:5" x14ac:dyDescent="0.3">
      <c r="B791" t="s">
        <v>1714</v>
      </c>
      <c r="C791">
        <v>511696</v>
      </c>
      <c r="D791" t="s">
        <v>496</v>
      </c>
      <c r="E791" t="s">
        <v>479</v>
      </c>
    </row>
    <row r="792" spans="2:5" x14ac:dyDescent="0.3">
      <c r="B792" t="s">
        <v>1715</v>
      </c>
      <c r="C792">
        <v>531977</v>
      </c>
      <c r="D792" t="s">
        <v>496</v>
      </c>
      <c r="E792" t="s">
        <v>568</v>
      </c>
    </row>
    <row r="793" spans="2:5" x14ac:dyDescent="0.3">
      <c r="B793" t="s">
        <v>1716</v>
      </c>
      <c r="C793">
        <v>504671</v>
      </c>
      <c r="D793" t="s">
        <v>496</v>
      </c>
      <c r="E793" t="s">
        <v>528</v>
      </c>
    </row>
    <row r="794" spans="2:5" x14ac:dyDescent="0.3">
      <c r="B794" t="s">
        <v>1717</v>
      </c>
      <c r="C794">
        <v>539800</v>
      </c>
      <c r="D794" t="s">
        <v>496</v>
      </c>
      <c r="E794" t="s">
        <v>518</v>
      </c>
    </row>
    <row r="795" spans="2:5" x14ac:dyDescent="0.3">
      <c r="B795" t="s">
        <v>1718</v>
      </c>
      <c r="C795">
        <v>526917</v>
      </c>
      <c r="D795" t="s">
        <v>496</v>
      </c>
      <c r="E795" t="s">
        <v>582</v>
      </c>
    </row>
    <row r="796" spans="2:5" x14ac:dyDescent="0.3">
      <c r="B796" t="s">
        <v>1719</v>
      </c>
      <c r="C796">
        <v>530871</v>
      </c>
      <c r="D796" t="s">
        <v>496</v>
      </c>
      <c r="E796" t="s">
        <v>656</v>
      </c>
    </row>
    <row r="797" spans="2:5" x14ac:dyDescent="0.3">
      <c r="B797" t="s">
        <v>1720</v>
      </c>
      <c r="C797">
        <v>540395</v>
      </c>
      <c r="D797" t="s">
        <v>496</v>
      </c>
      <c r="E797" t="s">
        <v>656</v>
      </c>
    </row>
    <row r="798" spans="2:5" x14ac:dyDescent="0.3">
      <c r="B798" t="s">
        <v>1721</v>
      </c>
      <c r="C798">
        <v>541269</v>
      </c>
      <c r="D798" t="s">
        <v>1722</v>
      </c>
      <c r="E798" t="s">
        <v>544</v>
      </c>
    </row>
    <row r="799" spans="2:5" x14ac:dyDescent="0.3">
      <c r="B799" t="s">
        <v>1723</v>
      </c>
      <c r="C799">
        <v>539230</v>
      </c>
      <c r="D799" t="s">
        <v>496</v>
      </c>
      <c r="E799" t="s">
        <v>656</v>
      </c>
    </row>
    <row r="800" spans="2:5" x14ac:dyDescent="0.3">
      <c r="B800" t="s">
        <v>1724</v>
      </c>
      <c r="C800">
        <v>506365</v>
      </c>
      <c r="D800" t="s">
        <v>496</v>
      </c>
      <c r="E800" t="s">
        <v>534</v>
      </c>
    </row>
    <row r="801" spans="2:5" x14ac:dyDescent="0.3">
      <c r="B801" t="s">
        <v>1725</v>
      </c>
      <c r="C801">
        <v>537326</v>
      </c>
      <c r="D801" t="s">
        <v>496</v>
      </c>
      <c r="E801" t="s">
        <v>504</v>
      </c>
    </row>
    <row r="802" spans="2:5" x14ac:dyDescent="0.3">
      <c r="B802" t="s">
        <v>1726</v>
      </c>
      <c r="C802">
        <v>539011</v>
      </c>
      <c r="D802" t="s">
        <v>496</v>
      </c>
      <c r="E802" t="s">
        <v>528</v>
      </c>
    </row>
    <row r="803" spans="2:5" x14ac:dyDescent="0.3">
      <c r="B803" t="s">
        <v>1727</v>
      </c>
      <c r="C803">
        <v>523489</v>
      </c>
      <c r="D803" t="s">
        <v>496</v>
      </c>
      <c r="E803" t="s">
        <v>685</v>
      </c>
    </row>
    <row r="804" spans="2:5" x14ac:dyDescent="0.3">
      <c r="B804" t="s">
        <v>1728</v>
      </c>
      <c r="C804">
        <v>500110</v>
      </c>
      <c r="D804" t="s">
        <v>1729</v>
      </c>
      <c r="E804" t="s">
        <v>1425</v>
      </c>
    </row>
    <row r="805" spans="2:5" x14ac:dyDescent="0.3">
      <c r="B805" t="s">
        <v>1730</v>
      </c>
      <c r="C805">
        <v>526817</v>
      </c>
      <c r="D805" t="s">
        <v>496</v>
      </c>
      <c r="E805" t="s">
        <v>733</v>
      </c>
    </row>
    <row r="806" spans="2:5" x14ac:dyDescent="0.3">
      <c r="B806" t="s">
        <v>1731</v>
      </c>
      <c r="C806">
        <v>521244</v>
      </c>
      <c r="D806" t="s">
        <v>496</v>
      </c>
      <c r="E806" t="s">
        <v>511</v>
      </c>
    </row>
    <row r="807" spans="2:5" x14ac:dyDescent="0.3">
      <c r="B807" t="s">
        <v>1732</v>
      </c>
      <c r="C807">
        <v>532992</v>
      </c>
      <c r="D807" t="s">
        <v>496</v>
      </c>
      <c r="E807" t="s">
        <v>697</v>
      </c>
    </row>
    <row r="808" spans="2:5" x14ac:dyDescent="0.3">
      <c r="B808" t="s">
        <v>1733</v>
      </c>
      <c r="C808">
        <v>531358</v>
      </c>
      <c r="D808" t="s">
        <v>496</v>
      </c>
      <c r="E808" t="s">
        <v>513</v>
      </c>
    </row>
    <row r="809" spans="2:5" x14ac:dyDescent="0.3">
      <c r="B809" t="s">
        <v>1734</v>
      </c>
      <c r="C809">
        <v>530427</v>
      </c>
      <c r="D809" t="s">
        <v>496</v>
      </c>
      <c r="E809" t="s">
        <v>1735</v>
      </c>
    </row>
    <row r="810" spans="2:5" x14ac:dyDescent="0.3">
      <c r="B810" t="s">
        <v>1736</v>
      </c>
      <c r="C810">
        <v>526546</v>
      </c>
      <c r="D810" t="s">
        <v>496</v>
      </c>
      <c r="E810" t="s">
        <v>685</v>
      </c>
    </row>
    <row r="811" spans="2:5" x14ac:dyDescent="0.3">
      <c r="B811" t="s">
        <v>1737</v>
      </c>
      <c r="C811">
        <v>511243</v>
      </c>
      <c r="D811" t="s">
        <v>1738</v>
      </c>
      <c r="E811" t="s">
        <v>513</v>
      </c>
    </row>
    <row r="812" spans="2:5" x14ac:dyDescent="0.3">
      <c r="B812" t="s">
        <v>1739</v>
      </c>
      <c r="C812">
        <v>511243</v>
      </c>
      <c r="D812" t="s">
        <v>1740</v>
      </c>
      <c r="E812" t="s">
        <v>513</v>
      </c>
    </row>
    <row r="813" spans="2:5" x14ac:dyDescent="0.3">
      <c r="B813" t="s">
        <v>1741</v>
      </c>
      <c r="C813">
        <v>519475</v>
      </c>
      <c r="D813" t="s">
        <v>496</v>
      </c>
      <c r="E813" t="s">
        <v>576</v>
      </c>
    </row>
    <row r="814" spans="2:5" x14ac:dyDescent="0.3">
      <c r="B814" t="s">
        <v>1742</v>
      </c>
      <c r="C814">
        <v>540681</v>
      </c>
      <c r="D814" t="s">
        <v>496</v>
      </c>
      <c r="E814" t="s">
        <v>556</v>
      </c>
    </row>
    <row r="815" spans="2:5" x14ac:dyDescent="0.3">
      <c r="B815" t="s">
        <v>1743</v>
      </c>
      <c r="C815">
        <v>501833</v>
      </c>
      <c r="D815" t="s">
        <v>496</v>
      </c>
      <c r="E815" t="s">
        <v>1744</v>
      </c>
    </row>
    <row r="816" spans="2:5" x14ac:dyDescent="0.3">
      <c r="B816" t="s">
        <v>1745</v>
      </c>
      <c r="C816">
        <v>539335</v>
      </c>
      <c r="D816" t="s">
        <v>496</v>
      </c>
      <c r="E816" t="s">
        <v>518</v>
      </c>
    </row>
    <row r="817" spans="2:5" x14ac:dyDescent="0.3">
      <c r="B817" t="s">
        <v>1746</v>
      </c>
      <c r="C817">
        <v>530191</v>
      </c>
      <c r="D817" t="s">
        <v>1747</v>
      </c>
      <c r="E817" t="s">
        <v>656</v>
      </c>
    </row>
    <row r="818" spans="2:5" x14ac:dyDescent="0.3">
      <c r="B818" t="s">
        <v>1748</v>
      </c>
      <c r="C818">
        <v>530191</v>
      </c>
      <c r="D818" t="s">
        <v>1747</v>
      </c>
      <c r="E818" t="s">
        <v>656</v>
      </c>
    </row>
    <row r="819" spans="2:5" x14ac:dyDescent="0.3">
      <c r="B819" t="s">
        <v>1749</v>
      </c>
      <c r="C819">
        <v>519477</v>
      </c>
      <c r="D819" t="s">
        <v>496</v>
      </c>
      <c r="E819" t="s">
        <v>745</v>
      </c>
    </row>
    <row r="820" spans="2:5" x14ac:dyDescent="0.3">
      <c r="B820" t="s">
        <v>1750</v>
      </c>
      <c r="C820">
        <v>542678</v>
      </c>
      <c r="D820" t="s">
        <v>1751</v>
      </c>
      <c r="E820" t="s">
        <v>534</v>
      </c>
    </row>
    <row r="821" spans="2:5" x14ac:dyDescent="0.3">
      <c r="B821" t="s">
        <v>1752</v>
      </c>
      <c r="C821">
        <v>534758</v>
      </c>
      <c r="D821" t="s">
        <v>1753</v>
      </c>
      <c r="E821" t="s">
        <v>482</v>
      </c>
    </row>
    <row r="822" spans="2:5" x14ac:dyDescent="0.3">
      <c r="B822" t="s">
        <v>1754</v>
      </c>
      <c r="C822">
        <v>533407</v>
      </c>
      <c r="D822" t="s">
        <v>1755</v>
      </c>
      <c r="E822" t="s">
        <v>511</v>
      </c>
    </row>
    <row r="823" spans="2:5" x14ac:dyDescent="0.3">
      <c r="B823" t="s">
        <v>1756</v>
      </c>
      <c r="C823">
        <v>530829</v>
      </c>
      <c r="D823" t="s">
        <v>496</v>
      </c>
      <c r="E823" t="s">
        <v>513</v>
      </c>
    </row>
    <row r="824" spans="2:5" x14ac:dyDescent="0.3">
      <c r="B824" t="s">
        <v>1757</v>
      </c>
      <c r="C824">
        <v>505230</v>
      </c>
      <c r="D824" t="s">
        <v>1758</v>
      </c>
      <c r="E824" t="s">
        <v>485</v>
      </c>
    </row>
    <row r="825" spans="2:5" x14ac:dyDescent="0.3">
      <c r="B825" t="s">
        <v>1759</v>
      </c>
      <c r="C825">
        <v>531283</v>
      </c>
      <c r="D825" t="s">
        <v>496</v>
      </c>
      <c r="E825" t="s">
        <v>513</v>
      </c>
    </row>
    <row r="826" spans="2:5" x14ac:dyDescent="0.3">
      <c r="B826" t="s">
        <v>1760</v>
      </c>
      <c r="C826">
        <v>526373</v>
      </c>
      <c r="D826" t="s">
        <v>496</v>
      </c>
      <c r="E826" t="s">
        <v>697</v>
      </c>
    </row>
    <row r="827" spans="2:5" x14ac:dyDescent="0.3">
      <c r="B827" t="s">
        <v>1761</v>
      </c>
      <c r="C827">
        <v>532807</v>
      </c>
      <c r="D827" t="s">
        <v>1762</v>
      </c>
      <c r="E827" t="s">
        <v>497</v>
      </c>
    </row>
    <row r="828" spans="2:5" x14ac:dyDescent="0.3">
      <c r="B828" t="s">
        <v>1763</v>
      </c>
      <c r="C828">
        <v>532807</v>
      </c>
      <c r="D828" t="s">
        <v>1762</v>
      </c>
      <c r="E828" t="s">
        <v>497</v>
      </c>
    </row>
    <row r="829" spans="2:5" x14ac:dyDescent="0.3">
      <c r="B829" t="s">
        <v>1764</v>
      </c>
      <c r="C829">
        <v>530457</v>
      </c>
      <c r="D829" t="s">
        <v>496</v>
      </c>
      <c r="E829" t="s">
        <v>499</v>
      </c>
    </row>
    <row r="830" spans="2:5" x14ac:dyDescent="0.3">
      <c r="B830" t="s">
        <v>1765</v>
      </c>
      <c r="C830">
        <v>532324</v>
      </c>
      <c r="D830" t="s">
        <v>1766</v>
      </c>
      <c r="E830" t="s">
        <v>499</v>
      </c>
    </row>
    <row r="831" spans="2:5" x14ac:dyDescent="0.3">
      <c r="B831" t="s">
        <v>1767</v>
      </c>
      <c r="C831">
        <v>500087</v>
      </c>
      <c r="D831" t="s">
        <v>1768</v>
      </c>
      <c r="E831" t="s">
        <v>534</v>
      </c>
    </row>
    <row r="832" spans="2:5" x14ac:dyDescent="0.3">
      <c r="B832" t="s">
        <v>1769</v>
      </c>
      <c r="C832">
        <v>531775</v>
      </c>
      <c r="D832" t="s">
        <v>496</v>
      </c>
      <c r="E832" t="s">
        <v>518</v>
      </c>
    </row>
    <row r="833" spans="2:5" x14ac:dyDescent="0.3">
      <c r="B833" t="s">
        <v>1770</v>
      </c>
      <c r="C833">
        <v>502445</v>
      </c>
      <c r="D833" t="s">
        <v>496</v>
      </c>
      <c r="E833" t="s">
        <v>582</v>
      </c>
    </row>
    <row r="834" spans="2:5" x14ac:dyDescent="0.3">
      <c r="B834" t="s">
        <v>1771</v>
      </c>
      <c r="C834">
        <v>531235</v>
      </c>
      <c r="D834" t="s">
        <v>496</v>
      </c>
      <c r="E834" t="s">
        <v>513</v>
      </c>
    </row>
    <row r="835" spans="2:5" x14ac:dyDescent="0.3">
      <c r="B835" t="s">
        <v>1772</v>
      </c>
      <c r="C835">
        <v>538786</v>
      </c>
      <c r="D835" t="s">
        <v>496</v>
      </c>
      <c r="E835" t="s">
        <v>1020</v>
      </c>
    </row>
    <row r="836" spans="2:5" x14ac:dyDescent="0.3">
      <c r="B836" t="s">
        <v>1773</v>
      </c>
      <c r="C836">
        <v>538674</v>
      </c>
      <c r="D836" t="s">
        <v>496</v>
      </c>
      <c r="E836" t="s">
        <v>1440</v>
      </c>
    </row>
    <row r="837" spans="2:5" x14ac:dyDescent="0.3">
      <c r="B837" t="s">
        <v>1774</v>
      </c>
      <c r="C837">
        <v>532210</v>
      </c>
      <c r="D837" t="s">
        <v>1775</v>
      </c>
      <c r="E837" t="s">
        <v>814</v>
      </c>
    </row>
    <row r="838" spans="2:5" x14ac:dyDescent="0.3">
      <c r="B838" t="s">
        <v>1776</v>
      </c>
      <c r="C838">
        <v>521210</v>
      </c>
      <c r="D838" t="s">
        <v>496</v>
      </c>
      <c r="E838" t="s">
        <v>610</v>
      </c>
    </row>
    <row r="839" spans="2:5" x14ac:dyDescent="0.3">
      <c r="B839" t="s">
        <v>1777</v>
      </c>
      <c r="C839">
        <v>780013</v>
      </c>
      <c r="D839" t="s">
        <v>496</v>
      </c>
      <c r="E839" t="s">
        <v>587</v>
      </c>
    </row>
    <row r="840" spans="2:5" x14ac:dyDescent="0.3">
      <c r="B840" t="s">
        <v>1778</v>
      </c>
      <c r="C840">
        <v>780013</v>
      </c>
      <c r="D840" t="s">
        <v>496</v>
      </c>
      <c r="E840" t="s">
        <v>587</v>
      </c>
    </row>
    <row r="841" spans="2:5" x14ac:dyDescent="0.3">
      <c r="B841" t="s">
        <v>1779</v>
      </c>
      <c r="C841" t="s">
        <v>496</v>
      </c>
      <c r="D841" t="s">
        <v>1780</v>
      </c>
      <c r="E841" t="s">
        <v>507</v>
      </c>
    </row>
    <row r="842" spans="2:5" x14ac:dyDescent="0.3">
      <c r="B842" t="s">
        <v>1781</v>
      </c>
      <c r="C842" t="s">
        <v>496</v>
      </c>
      <c r="D842" t="s">
        <v>1782</v>
      </c>
      <c r="E842" t="s">
        <v>507</v>
      </c>
    </row>
    <row r="843" spans="2:5" x14ac:dyDescent="0.3">
      <c r="B843" t="s">
        <v>1783</v>
      </c>
      <c r="C843">
        <v>540403</v>
      </c>
      <c r="D843" t="s">
        <v>1784</v>
      </c>
      <c r="E843" t="s">
        <v>601</v>
      </c>
    </row>
    <row r="844" spans="2:5" x14ac:dyDescent="0.3">
      <c r="B844" t="s">
        <v>1785</v>
      </c>
      <c r="C844">
        <v>506390</v>
      </c>
      <c r="D844" t="s">
        <v>1786</v>
      </c>
      <c r="E844" t="s">
        <v>656</v>
      </c>
    </row>
    <row r="845" spans="2:5" x14ac:dyDescent="0.3">
      <c r="B845" t="s">
        <v>1787</v>
      </c>
      <c r="C845">
        <v>506390</v>
      </c>
      <c r="D845" t="s">
        <v>1788</v>
      </c>
      <c r="E845" t="s">
        <v>656</v>
      </c>
    </row>
    <row r="846" spans="2:5" x14ac:dyDescent="0.3">
      <c r="B846" t="s">
        <v>1789</v>
      </c>
      <c r="C846">
        <v>512213</v>
      </c>
      <c r="D846" t="s">
        <v>496</v>
      </c>
      <c r="E846" t="s">
        <v>518</v>
      </c>
    </row>
    <row r="847" spans="2:5" x14ac:dyDescent="0.3">
      <c r="B847" t="s">
        <v>1790</v>
      </c>
      <c r="C847">
        <v>540310</v>
      </c>
      <c r="D847" t="s">
        <v>496</v>
      </c>
      <c r="E847" t="s">
        <v>511</v>
      </c>
    </row>
    <row r="848" spans="2:5" x14ac:dyDescent="0.3">
      <c r="B848" t="s">
        <v>1791</v>
      </c>
      <c r="C848">
        <v>538433</v>
      </c>
      <c r="D848" t="s">
        <v>496</v>
      </c>
      <c r="E848" t="s">
        <v>479</v>
      </c>
    </row>
    <row r="849" spans="2:5" x14ac:dyDescent="0.3">
      <c r="B849" t="s">
        <v>1792</v>
      </c>
      <c r="C849">
        <v>540481</v>
      </c>
      <c r="D849" t="s">
        <v>496</v>
      </c>
      <c r="E849" t="s">
        <v>479</v>
      </c>
    </row>
    <row r="850" spans="2:5" x14ac:dyDescent="0.3">
      <c r="B850" t="s">
        <v>1793</v>
      </c>
      <c r="C850">
        <v>530839</v>
      </c>
      <c r="D850" t="s">
        <v>496</v>
      </c>
      <c r="E850" t="s">
        <v>589</v>
      </c>
    </row>
    <row r="851" spans="2:5" x14ac:dyDescent="0.3">
      <c r="B851" t="s">
        <v>1794</v>
      </c>
      <c r="C851">
        <v>500147</v>
      </c>
      <c r="D851" t="s">
        <v>496</v>
      </c>
      <c r="E851" t="s">
        <v>504</v>
      </c>
    </row>
    <row r="852" spans="2:5" x14ac:dyDescent="0.3">
      <c r="B852" t="s">
        <v>1795</v>
      </c>
      <c r="C852">
        <v>517330</v>
      </c>
      <c r="D852" t="s">
        <v>1796</v>
      </c>
      <c r="E852" t="s">
        <v>794</v>
      </c>
    </row>
    <row r="853" spans="2:5" x14ac:dyDescent="0.3">
      <c r="B853" t="s">
        <v>1797</v>
      </c>
      <c r="C853" t="s">
        <v>496</v>
      </c>
      <c r="D853" t="s">
        <v>1798</v>
      </c>
      <c r="E853" t="s">
        <v>507</v>
      </c>
    </row>
    <row r="854" spans="2:5" x14ac:dyDescent="0.3">
      <c r="B854" t="s">
        <v>1799</v>
      </c>
      <c r="C854">
        <v>512018</v>
      </c>
      <c r="D854" t="s">
        <v>496</v>
      </c>
      <c r="E854" t="s">
        <v>502</v>
      </c>
    </row>
    <row r="855" spans="2:5" x14ac:dyDescent="0.3">
      <c r="B855" t="s">
        <v>1800</v>
      </c>
      <c r="C855">
        <v>533278</v>
      </c>
      <c r="D855" t="s">
        <v>1801</v>
      </c>
      <c r="E855" t="s">
        <v>1174</v>
      </c>
    </row>
    <row r="856" spans="2:5" x14ac:dyDescent="0.3">
      <c r="B856" t="s">
        <v>1802</v>
      </c>
      <c r="C856">
        <v>533278</v>
      </c>
      <c r="D856" t="s">
        <v>1803</v>
      </c>
      <c r="E856" t="s">
        <v>1174</v>
      </c>
    </row>
    <row r="857" spans="2:5" x14ac:dyDescent="0.3">
      <c r="B857" t="s">
        <v>1804</v>
      </c>
      <c r="C857">
        <v>501831</v>
      </c>
      <c r="D857" t="s">
        <v>496</v>
      </c>
      <c r="E857" t="s">
        <v>556</v>
      </c>
    </row>
    <row r="858" spans="2:5" x14ac:dyDescent="0.3">
      <c r="B858" t="s">
        <v>1805</v>
      </c>
      <c r="C858">
        <v>520131</v>
      </c>
      <c r="D858" t="s">
        <v>496</v>
      </c>
      <c r="E858" t="s">
        <v>568</v>
      </c>
    </row>
    <row r="859" spans="2:5" x14ac:dyDescent="0.3">
      <c r="B859" t="s">
        <v>1806</v>
      </c>
      <c r="C859">
        <v>508571</v>
      </c>
      <c r="D859" t="s">
        <v>496</v>
      </c>
      <c r="E859" t="s">
        <v>976</v>
      </c>
    </row>
    <row r="860" spans="2:5" x14ac:dyDescent="0.3">
      <c r="B860" t="s">
        <v>1807</v>
      </c>
      <c r="C860">
        <v>513353</v>
      </c>
      <c r="D860" t="s">
        <v>496</v>
      </c>
      <c r="E860" t="s">
        <v>656</v>
      </c>
    </row>
    <row r="861" spans="2:5" x14ac:dyDescent="0.3">
      <c r="B861" t="s">
        <v>1808</v>
      </c>
      <c r="C861">
        <v>540678</v>
      </c>
      <c r="D861" t="s">
        <v>1809</v>
      </c>
      <c r="E861" t="s">
        <v>1744</v>
      </c>
    </row>
    <row r="862" spans="2:5" x14ac:dyDescent="0.3">
      <c r="B862" t="s">
        <v>1810</v>
      </c>
      <c r="C862">
        <v>539436</v>
      </c>
      <c r="D862" t="s">
        <v>1811</v>
      </c>
      <c r="E862" t="s">
        <v>985</v>
      </c>
    </row>
    <row r="863" spans="2:5" x14ac:dyDescent="0.3">
      <c r="B863" t="s">
        <v>1812</v>
      </c>
      <c r="C863">
        <v>500830</v>
      </c>
      <c r="D863" t="s">
        <v>1813</v>
      </c>
      <c r="E863" t="s">
        <v>678</v>
      </c>
    </row>
    <row r="864" spans="2:5" x14ac:dyDescent="0.3">
      <c r="B864" t="s">
        <v>1814</v>
      </c>
      <c r="C864">
        <v>500830</v>
      </c>
      <c r="D864" t="s">
        <v>1813</v>
      </c>
      <c r="E864" t="s">
        <v>678</v>
      </c>
    </row>
    <row r="865" spans="2:5" x14ac:dyDescent="0.3">
      <c r="B865" t="s">
        <v>1815</v>
      </c>
      <c r="C865">
        <v>531210</v>
      </c>
      <c r="D865" t="s">
        <v>496</v>
      </c>
      <c r="E865" t="s">
        <v>534</v>
      </c>
    </row>
    <row r="866" spans="2:5" x14ac:dyDescent="0.3">
      <c r="B866" t="s">
        <v>1816</v>
      </c>
      <c r="C866">
        <v>540023</v>
      </c>
      <c r="D866" t="s">
        <v>496</v>
      </c>
      <c r="E866" t="s">
        <v>1235</v>
      </c>
    </row>
    <row r="867" spans="2:5" x14ac:dyDescent="0.3">
      <c r="B867" t="s">
        <v>1817</v>
      </c>
      <c r="C867">
        <v>524752</v>
      </c>
      <c r="D867" t="s">
        <v>496</v>
      </c>
      <c r="E867" t="s">
        <v>534</v>
      </c>
    </row>
    <row r="868" spans="2:5" x14ac:dyDescent="0.3">
      <c r="B868" t="s">
        <v>1818</v>
      </c>
      <c r="C868">
        <v>534691</v>
      </c>
      <c r="D868" t="s">
        <v>496</v>
      </c>
      <c r="E868" t="s">
        <v>479</v>
      </c>
    </row>
    <row r="869" spans="2:5" x14ac:dyDescent="0.3">
      <c r="B869" t="s">
        <v>1819</v>
      </c>
      <c r="C869">
        <v>535267</v>
      </c>
      <c r="D869" t="s">
        <v>496</v>
      </c>
      <c r="E869" t="s">
        <v>513</v>
      </c>
    </row>
    <row r="870" spans="2:5" x14ac:dyDescent="0.3">
      <c r="B870" t="s">
        <v>1820</v>
      </c>
      <c r="C870">
        <v>531216</v>
      </c>
      <c r="D870" t="s">
        <v>496</v>
      </c>
      <c r="E870" t="s">
        <v>513</v>
      </c>
    </row>
    <row r="871" spans="2:5" x14ac:dyDescent="0.3">
      <c r="B871" t="s">
        <v>1821</v>
      </c>
      <c r="C871">
        <v>533272</v>
      </c>
      <c r="D871" t="s">
        <v>1822</v>
      </c>
      <c r="E871" t="s">
        <v>574</v>
      </c>
    </row>
    <row r="872" spans="2:5" x14ac:dyDescent="0.3">
      <c r="B872" t="s">
        <v>1823</v>
      </c>
      <c r="C872">
        <v>539986</v>
      </c>
      <c r="D872" t="s">
        <v>496</v>
      </c>
      <c r="E872" t="s">
        <v>691</v>
      </c>
    </row>
    <row r="873" spans="2:5" x14ac:dyDescent="0.3">
      <c r="B873" t="s">
        <v>1824</v>
      </c>
      <c r="C873">
        <v>532342</v>
      </c>
      <c r="D873" t="s">
        <v>496</v>
      </c>
      <c r="E873" t="s">
        <v>482</v>
      </c>
    </row>
    <row r="874" spans="2:5" x14ac:dyDescent="0.3">
      <c r="B874" t="s">
        <v>1825</v>
      </c>
      <c r="C874">
        <v>531041</v>
      </c>
      <c r="D874" t="s">
        <v>496</v>
      </c>
      <c r="E874" t="s">
        <v>518</v>
      </c>
    </row>
    <row r="875" spans="2:5" x14ac:dyDescent="0.3">
      <c r="B875" t="s">
        <v>1826</v>
      </c>
      <c r="C875">
        <v>532456</v>
      </c>
      <c r="D875" t="s">
        <v>1827</v>
      </c>
      <c r="E875" t="s">
        <v>593</v>
      </c>
    </row>
    <row r="876" spans="2:5" x14ac:dyDescent="0.3">
      <c r="B876" t="s">
        <v>1828</v>
      </c>
      <c r="C876">
        <v>532339</v>
      </c>
      <c r="D876" t="s">
        <v>1829</v>
      </c>
      <c r="E876" t="s">
        <v>981</v>
      </c>
    </row>
    <row r="877" spans="2:5" x14ac:dyDescent="0.3">
      <c r="B877" t="s">
        <v>1830</v>
      </c>
      <c r="C877">
        <v>507833</v>
      </c>
      <c r="D877" t="s">
        <v>496</v>
      </c>
      <c r="E877" t="s">
        <v>821</v>
      </c>
    </row>
    <row r="878" spans="2:5" x14ac:dyDescent="0.3">
      <c r="B878" t="s">
        <v>1831</v>
      </c>
      <c r="C878">
        <v>522231</v>
      </c>
      <c r="D878" t="s">
        <v>496</v>
      </c>
      <c r="E878" t="s">
        <v>894</v>
      </c>
    </row>
    <row r="879" spans="2:5" x14ac:dyDescent="0.3">
      <c r="B879" t="s">
        <v>1832</v>
      </c>
      <c r="C879">
        <v>538965</v>
      </c>
      <c r="D879" t="s">
        <v>496</v>
      </c>
      <c r="E879" t="s">
        <v>534</v>
      </c>
    </row>
    <row r="880" spans="2:5" x14ac:dyDescent="0.3">
      <c r="B880" t="s">
        <v>1833</v>
      </c>
      <c r="C880">
        <v>539266</v>
      </c>
      <c r="D880" t="s">
        <v>496</v>
      </c>
      <c r="E880" t="s">
        <v>516</v>
      </c>
    </row>
    <row r="881" spans="2:5" x14ac:dyDescent="0.3">
      <c r="B881" t="s">
        <v>1834</v>
      </c>
      <c r="C881">
        <v>504340</v>
      </c>
      <c r="D881" t="s">
        <v>496</v>
      </c>
      <c r="E881" t="s">
        <v>479</v>
      </c>
    </row>
    <row r="882" spans="2:5" x14ac:dyDescent="0.3">
      <c r="B882" t="s">
        <v>1835</v>
      </c>
      <c r="C882">
        <v>539991</v>
      </c>
      <c r="D882" t="s">
        <v>1836</v>
      </c>
      <c r="E882" t="s">
        <v>862</v>
      </c>
    </row>
    <row r="883" spans="2:5" x14ac:dyDescent="0.3">
      <c r="B883" t="s">
        <v>1837</v>
      </c>
      <c r="C883">
        <v>526829</v>
      </c>
      <c r="D883" t="s">
        <v>496</v>
      </c>
      <c r="E883" t="s">
        <v>706</v>
      </c>
    </row>
    <row r="884" spans="2:5" x14ac:dyDescent="0.3">
      <c r="B884" t="s">
        <v>1838</v>
      </c>
      <c r="C884">
        <v>526829</v>
      </c>
      <c r="D884" t="s">
        <v>1839</v>
      </c>
      <c r="E884" t="s">
        <v>706</v>
      </c>
    </row>
    <row r="885" spans="2:5" x14ac:dyDescent="0.3">
      <c r="B885" t="s">
        <v>1840</v>
      </c>
      <c r="C885">
        <v>526829</v>
      </c>
      <c r="D885" t="s">
        <v>496</v>
      </c>
      <c r="E885" t="s">
        <v>706</v>
      </c>
    </row>
    <row r="886" spans="2:5" x14ac:dyDescent="0.3">
      <c r="B886" t="s">
        <v>1841</v>
      </c>
      <c r="C886">
        <v>539091</v>
      </c>
      <c r="D886" t="s">
        <v>496</v>
      </c>
      <c r="E886" t="s">
        <v>516</v>
      </c>
    </row>
    <row r="887" spans="2:5" x14ac:dyDescent="0.3">
      <c r="B887" t="s">
        <v>1842</v>
      </c>
      <c r="C887">
        <v>532902</v>
      </c>
      <c r="D887" t="s">
        <v>1843</v>
      </c>
      <c r="E887" t="s">
        <v>582</v>
      </c>
    </row>
    <row r="888" spans="2:5" x14ac:dyDescent="0.3">
      <c r="B888" t="s">
        <v>1844</v>
      </c>
      <c r="C888" t="s">
        <v>496</v>
      </c>
      <c r="D888" t="s">
        <v>1845</v>
      </c>
      <c r="E888" t="s">
        <v>587</v>
      </c>
    </row>
    <row r="889" spans="2:5" x14ac:dyDescent="0.3">
      <c r="B889" t="s">
        <v>1846</v>
      </c>
      <c r="C889">
        <v>531344</v>
      </c>
      <c r="D889" t="s">
        <v>1847</v>
      </c>
      <c r="E889" t="s">
        <v>619</v>
      </c>
    </row>
    <row r="890" spans="2:5" x14ac:dyDescent="0.3">
      <c r="B890" t="s">
        <v>1848</v>
      </c>
      <c r="C890">
        <v>531344</v>
      </c>
      <c r="D890" t="s">
        <v>1847</v>
      </c>
      <c r="E890" t="s">
        <v>619</v>
      </c>
    </row>
    <row r="891" spans="2:5" x14ac:dyDescent="0.3">
      <c r="B891" t="s">
        <v>1849</v>
      </c>
      <c r="C891">
        <v>540597</v>
      </c>
      <c r="D891" t="s">
        <v>496</v>
      </c>
      <c r="E891" t="s">
        <v>817</v>
      </c>
    </row>
    <row r="892" spans="2:5" x14ac:dyDescent="0.3">
      <c r="B892" t="s">
        <v>1850</v>
      </c>
      <c r="C892">
        <v>531067</v>
      </c>
      <c r="D892" t="s">
        <v>496</v>
      </c>
      <c r="E892" t="s">
        <v>513</v>
      </c>
    </row>
    <row r="893" spans="2:5" x14ac:dyDescent="0.3">
      <c r="B893" t="s">
        <v>1851</v>
      </c>
      <c r="C893">
        <v>531067</v>
      </c>
      <c r="D893" t="s">
        <v>496</v>
      </c>
      <c r="E893" t="s">
        <v>513</v>
      </c>
    </row>
    <row r="894" spans="2:5" x14ac:dyDescent="0.3">
      <c r="B894" t="s">
        <v>1852</v>
      </c>
      <c r="C894">
        <v>506935</v>
      </c>
      <c r="D894" t="s">
        <v>496</v>
      </c>
      <c r="E894" t="s">
        <v>589</v>
      </c>
    </row>
    <row r="895" spans="2:5" x14ac:dyDescent="0.3">
      <c r="B895" t="s">
        <v>1853</v>
      </c>
      <c r="C895">
        <v>531460</v>
      </c>
      <c r="D895" t="s">
        <v>496</v>
      </c>
      <c r="E895" t="s">
        <v>794</v>
      </c>
    </row>
    <row r="896" spans="2:5" x14ac:dyDescent="0.3">
      <c r="B896" t="s">
        <v>1854</v>
      </c>
      <c r="C896">
        <v>523232</v>
      </c>
      <c r="D896" t="s">
        <v>496</v>
      </c>
      <c r="E896" t="s">
        <v>706</v>
      </c>
    </row>
    <row r="897" spans="2:5" x14ac:dyDescent="0.3">
      <c r="B897" t="s">
        <v>1855</v>
      </c>
      <c r="C897">
        <v>538868</v>
      </c>
      <c r="D897" t="s">
        <v>496</v>
      </c>
      <c r="E897" t="s">
        <v>513</v>
      </c>
    </row>
    <row r="898" spans="2:5" x14ac:dyDescent="0.3">
      <c r="B898" t="s">
        <v>1856</v>
      </c>
      <c r="C898" t="s">
        <v>496</v>
      </c>
      <c r="D898" t="s">
        <v>1857</v>
      </c>
      <c r="E898" t="s">
        <v>507</v>
      </c>
    </row>
    <row r="899" spans="2:5" x14ac:dyDescent="0.3">
      <c r="B899" t="s">
        <v>1858</v>
      </c>
      <c r="C899">
        <v>522295</v>
      </c>
      <c r="D899" t="s">
        <v>1859</v>
      </c>
      <c r="E899" t="s">
        <v>691</v>
      </c>
    </row>
    <row r="900" spans="2:5" x14ac:dyDescent="0.3">
      <c r="B900" t="s">
        <v>1860</v>
      </c>
      <c r="C900">
        <v>531556</v>
      </c>
      <c r="D900" t="s">
        <v>1861</v>
      </c>
      <c r="E900" t="s">
        <v>554</v>
      </c>
    </row>
    <row r="901" spans="2:5" x14ac:dyDescent="0.3">
      <c r="B901" t="s">
        <v>1862</v>
      </c>
      <c r="C901">
        <v>524506</v>
      </c>
      <c r="D901" t="s">
        <v>496</v>
      </c>
      <c r="E901" t="s">
        <v>534</v>
      </c>
    </row>
    <row r="902" spans="2:5" x14ac:dyDescent="0.3">
      <c r="B902" t="s">
        <v>1863</v>
      </c>
      <c r="C902">
        <v>530755</v>
      </c>
      <c r="D902" t="s">
        <v>1864</v>
      </c>
      <c r="E902" t="s">
        <v>1865</v>
      </c>
    </row>
    <row r="903" spans="2:5" x14ac:dyDescent="0.3">
      <c r="B903" t="s">
        <v>1866</v>
      </c>
      <c r="C903">
        <v>532941</v>
      </c>
      <c r="D903" t="s">
        <v>1867</v>
      </c>
      <c r="E903" t="s">
        <v>794</v>
      </c>
    </row>
    <row r="904" spans="2:5" x14ac:dyDescent="0.3">
      <c r="B904" t="s">
        <v>1868</v>
      </c>
      <c r="C904">
        <v>507543</v>
      </c>
      <c r="D904" t="s">
        <v>496</v>
      </c>
      <c r="E904" t="s">
        <v>745</v>
      </c>
    </row>
    <row r="905" spans="2:5" x14ac:dyDescent="0.3">
      <c r="B905" t="s">
        <v>1869</v>
      </c>
      <c r="C905">
        <v>533167</v>
      </c>
      <c r="D905" t="s">
        <v>496</v>
      </c>
      <c r="E905" t="s">
        <v>894</v>
      </c>
    </row>
    <row r="906" spans="2:5" x14ac:dyDescent="0.3">
      <c r="B906" t="s">
        <v>1870</v>
      </c>
      <c r="C906">
        <v>506395</v>
      </c>
      <c r="D906" t="s">
        <v>1871</v>
      </c>
      <c r="E906" t="s">
        <v>1004</v>
      </c>
    </row>
    <row r="907" spans="2:5" x14ac:dyDescent="0.3">
      <c r="B907" t="s">
        <v>1872</v>
      </c>
      <c r="C907">
        <v>526737</v>
      </c>
      <c r="D907" t="s">
        <v>496</v>
      </c>
      <c r="E907" t="s">
        <v>817</v>
      </c>
    </row>
    <row r="908" spans="2:5" x14ac:dyDescent="0.3">
      <c r="B908" t="s">
        <v>1873</v>
      </c>
      <c r="C908">
        <v>540199</v>
      </c>
      <c r="D908" t="s">
        <v>496</v>
      </c>
      <c r="E908" t="s">
        <v>479</v>
      </c>
    </row>
    <row r="909" spans="2:5" x14ac:dyDescent="0.3">
      <c r="B909" t="s">
        <v>1874</v>
      </c>
      <c r="C909">
        <v>532179</v>
      </c>
      <c r="D909" t="s">
        <v>1875</v>
      </c>
      <c r="E909" t="s">
        <v>814</v>
      </c>
    </row>
    <row r="910" spans="2:5" x14ac:dyDescent="0.3">
      <c r="B910" t="s">
        <v>1876</v>
      </c>
      <c r="C910">
        <v>530859</v>
      </c>
      <c r="D910" t="s">
        <v>496</v>
      </c>
      <c r="E910" t="s">
        <v>490</v>
      </c>
    </row>
    <row r="911" spans="2:5" x14ac:dyDescent="0.3">
      <c r="B911" t="s">
        <v>1877</v>
      </c>
      <c r="C911">
        <v>530545</v>
      </c>
      <c r="D911" t="s">
        <v>496</v>
      </c>
      <c r="E911" t="s">
        <v>485</v>
      </c>
    </row>
    <row r="912" spans="2:5" x14ac:dyDescent="0.3">
      <c r="B912" t="s">
        <v>1878</v>
      </c>
      <c r="C912">
        <v>530545</v>
      </c>
      <c r="D912" t="s">
        <v>496</v>
      </c>
      <c r="E912" t="s">
        <v>485</v>
      </c>
    </row>
    <row r="913" spans="2:5" x14ac:dyDescent="0.3">
      <c r="B913" t="s">
        <v>1879</v>
      </c>
      <c r="C913">
        <v>523100</v>
      </c>
      <c r="D913" t="s">
        <v>496</v>
      </c>
      <c r="E913" t="s">
        <v>528</v>
      </c>
    </row>
    <row r="914" spans="2:5" x14ac:dyDescent="0.3">
      <c r="B914" t="s">
        <v>1880</v>
      </c>
      <c r="C914">
        <v>508814</v>
      </c>
      <c r="D914" t="s">
        <v>1881</v>
      </c>
      <c r="E914" t="s">
        <v>544</v>
      </c>
    </row>
    <row r="915" spans="2:5" x14ac:dyDescent="0.3">
      <c r="B915" t="s">
        <v>1882</v>
      </c>
      <c r="C915">
        <v>538922</v>
      </c>
      <c r="D915" t="s">
        <v>496</v>
      </c>
      <c r="E915" t="s">
        <v>589</v>
      </c>
    </row>
    <row r="916" spans="2:5" x14ac:dyDescent="0.3">
      <c r="B916" t="s">
        <v>1883</v>
      </c>
      <c r="C916">
        <v>526550</v>
      </c>
      <c r="D916" t="s">
        <v>1884</v>
      </c>
      <c r="E916" t="s">
        <v>697</v>
      </c>
    </row>
    <row r="917" spans="2:5" x14ac:dyDescent="0.3">
      <c r="B917" t="s">
        <v>1885</v>
      </c>
      <c r="C917">
        <v>531624</v>
      </c>
      <c r="D917" t="s">
        <v>1886</v>
      </c>
      <c r="E917" t="s">
        <v>582</v>
      </c>
    </row>
    <row r="918" spans="2:5" x14ac:dyDescent="0.3">
      <c r="B918" t="s">
        <v>1887</v>
      </c>
      <c r="C918">
        <v>523415</v>
      </c>
      <c r="D918" t="s">
        <v>496</v>
      </c>
      <c r="E918" t="s">
        <v>528</v>
      </c>
    </row>
    <row r="919" spans="2:5" x14ac:dyDescent="0.3">
      <c r="B919" t="s">
        <v>1888</v>
      </c>
      <c r="C919">
        <v>534920</v>
      </c>
      <c r="D919" t="s">
        <v>496</v>
      </c>
      <c r="E919" t="s">
        <v>482</v>
      </c>
    </row>
    <row r="920" spans="2:5" x14ac:dyDescent="0.3">
      <c r="B920" t="s">
        <v>1889</v>
      </c>
      <c r="C920">
        <v>533144</v>
      </c>
      <c r="D920" t="s">
        <v>1890</v>
      </c>
      <c r="E920" t="s">
        <v>1499</v>
      </c>
    </row>
    <row r="921" spans="2:5" x14ac:dyDescent="0.3">
      <c r="B921" t="s">
        <v>1891</v>
      </c>
      <c r="C921">
        <v>542641</v>
      </c>
      <c r="D921" t="s">
        <v>1892</v>
      </c>
      <c r="E921" t="s">
        <v>513</v>
      </c>
    </row>
    <row r="922" spans="2:5" x14ac:dyDescent="0.3">
      <c r="B922" t="s">
        <v>1893</v>
      </c>
      <c r="C922">
        <v>538770</v>
      </c>
      <c r="D922" t="s">
        <v>496</v>
      </c>
      <c r="E922" t="s">
        <v>582</v>
      </c>
    </row>
    <row r="923" spans="2:5" x14ac:dyDescent="0.3">
      <c r="B923" t="s">
        <v>1894</v>
      </c>
      <c r="C923">
        <v>512093</v>
      </c>
      <c r="D923" t="s">
        <v>496</v>
      </c>
      <c r="E923" t="s">
        <v>589</v>
      </c>
    </row>
    <row r="924" spans="2:5" x14ac:dyDescent="0.3">
      <c r="B924" t="s">
        <v>1895</v>
      </c>
      <c r="C924">
        <v>522001</v>
      </c>
      <c r="D924" t="s">
        <v>496</v>
      </c>
      <c r="E924" t="s">
        <v>574</v>
      </c>
    </row>
    <row r="925" spans="2:5" x14ac:dyDescent="0.3">
      <c r="B925" t="s">
        <v>1896</v>
      </c>
      <c r="C925">
        <v>509472</v>
      </c>
      <c r="D925" t="s">
        <v>496</v>
      </c>
      <c r="E925" t="s">
        <v>518</v>
      </c>
    </row>
    <row r="926" spans="2:5" x14ac:dyDescent="0.3">
      <c r="B926" t="s">
        <v>1897</v>
      </c>
      <c r="C926">
        <v>524388</v>
      </c>
      <c r="D926" t="s">
        <v>496</v>
      </c>
      <c r="E926" t="s">
        <v>821</v>
      </c>
    </row>
    <row r="927" spans="2:5" x14ac:dyDescent="0.3">
      <c r="B927" t="s">
        <v>1898</v>
      </c>
      <c r="C927">
        <v>539527</v>
      </c>
      <c r="D927" t="s">
        <v>496</v>
      </c>
      <c r="E927" t="s">
        <v>1416</v>
      </c>
    </row>
    <row r="928" spans="2:5" x14ac:dyDescent="0.3">
      <c r="B928" t="s">
        <v>1899</v>
      </c>
      <c r="C928">
        <v>532392</v>
      </c>
      <c r="D928" t="s">
        <v>1900</v>
      </c>
      <c r="E928" t="s">
        <v>499</v>
      </c>
    </row>
    <row r="929" spans="2:5" x14ac:dyDescent="0.3">
      <c r="B929" t="s">
        <v>1901</v>
      </c>
      <c r="C929" t="s">
        <v>496</v>
      </c>
      <c r="D929" t="s">
        <v>1902</v>
      </c>
      <c r="E929" t="s">
        <v>507</v>
      </c>
    </row>
    <row r="930" spans="2:5" x14ac:dyDescent="0.3">
      <c r="B930" t="s">
        <v>1903</v>
      </c>
      <c r="C930">
        <v>541770</v>
      </c>
      <c r="D930" t="s">
        <v>1904</v>
      </c>
      <c r="E930" t="s">
        <v>513</v>
      </c>
    </row>
    <row r="931" spans="2:5" x14ac:dyDescent="0.3">
      <c r="B931" t="s">
        <v>1905</v>
      </c>
      <c r="C931">
        <v>539131</v>
      </c>
      <c r="D931" t="s">
        <v>496</v>
      </c>
      <c r="E931" t="s">
        <v>516</v>
      </c>
    </row>
    <row r="932" spans="2:5" x14ac:dyDescent="0.3">
      <c r="B932" t="s">
        <v>1906</v>
      </c>
      <c r="C932">
        <v>512379</v>
      </c>
      <c r="D932" t="s">
        <v>496</v>
      </c>
      <c r="E932" t="s">
        <v>589</v>
      </c>
    </row>
    <row r="933" spans="2:5" x14ac:dyDescent="0.3">
      <c r="B933" t="s">
        <v>1907</v>
      </c>
      <c r="C933">
        <v>511413</v>
      </c>
      <c r="D933" t="s">
        <v>1908</v>
      </c>
      <c r="E933" t="s">
        <v>513</v>
      </c>
    </row>
    <row r="934" spans="2:5" x14ac:dyDescent="0.3">
      <c r="B934" t="s">
        <v>1909</v>
      </c>
      <c r="C934">
        <v>526269</v>
      </c>
      <c r="D934" t="s">
        <v>496</v>
      </c>
      <c r="E934" t="s">
        <v>656</v>
      </c>
    </row>
    <row r="935" spans="2:5" x14ac:dyDescent="0.3">
      <c r="B935" t="s">
        <v>1910</v>
      </c>
      <c r="C935">
        <v>526977</v>
      </c>
      <c r="D935" t="s">
        <v>496</v>
      </c>
      <c r="E935" t="s">
        <v>819</v>
      </c>
    </row>
    <row r="936" spans="2:5" x14ac:dyDescent="0.3">
      <c r="B936" t="s">
        <v>1911</v>
      </c>
      <c r="C936">
        <v>500092</v>
      </c>
      <c r="D936" t="s">
        <v>1912</v>
      </c>
      <c r="E936" t="s">
        <v>479</v>
      </c>
    </row>
    <row r="937" spans="2:5" x14ac:dyDescent="0.3">
      <c r="B937" t="s">
        <v>1913</v>
      </c>
      <c r="C937">
        <v>539876</v>
      </c>
      <c r="D937" t="s">
        <v>1914</v>
      </c>
      <c r="E937" t="s">
        <v>1261</v>
      </c>
    </row>
    <row r="938" spans="2:5" x14ac:dyDescent="0.3">
      <c r="B938" t="s">
        <v>1915</v>
      </c>
      <c r="C938" t="s">
        <v>496</v>
      </c>
      <c r="D938" t="s">
        <v>1916</v>
      </c>
      <c r="E938" t="s">
        <v>507</v>
      </c>
    </row>
    <row r="939" spans="2:5" x14ac:dyDescent="0.3">
      <c r="B939" t="s">
        <v>1917</v>
      </c>
      <c r="C939">
        <v>538521</v>
      </c>
      <c r="D939" t="s">
        <v>496</v>
      </c>
      <c r="E939" t="s">
        <v>1499</v>
      </c>
    </row>
    <row r="940" spans="2:5" x14ac:dyDescent="0.3">
      <c r="B940" t="s">
        <v>1918</v>
      </c>
      <c r="C940">
        <v>540903</v>
      </c>
      <c r="D940" t="s">
        <v>496</v>
      </c>
      <c r="E940" t="s">
        <v>580</v>
      </c>
    </row>
    <row r="941" spans="2:5" x14ac:dyDescent="0.3">
      <c r="B941" t="s">
        <v>1919</v>
      </c>
      <c r="C941">
        <v>530067</v>
      </c>
      <c r="D941" t="s">
        <v>496</v>
      </c>
      <c r="E941" t="s">
        <v>513</v>
      </c>
    </row>
    <row r="942" spans="2:5" x14ac:dyDescent="0.3">
      <c r="B942" t="s">
        <v>1920</v>
      </c>
      <c r="C942">
        <v>526027</v>
      </c>
      <c r="D942" t="s">
        <v>1921</v>
      </c>
      <c r="E942" t="s">
        <v>570</v>
      </c>
    </row>
    <row r="943" spans="2:5" x14ac:dyDescent="0.3">
      <c r="B943" t="s">
        <v>1922</v>
      </c>
      <c r="C943">
        <v>511710</v>
      </c>
      <c r="D943" t="s">
        <v>496</v>
      </c>
      <c r="E943" t="s">
        <v>513</v>
      </c>
    </row>
    <row r="944" spans="2:5" x14ac:dyDescent="0.3">
      <c r="B944" t="s">
        <v>1923</v>
      </c>
      <c r="C944">
        <v>500480</v>
      </c>
      <c r="D944" t="s">
        <v>1924</v>
      </c>
      <c r="E944" t="s">
        <v>504</v>
      </c>
    </row>
    <row r="945" spans="2:5" x14ac:dyDescent="0.3">
      <c r="B945" t="s">
        <v>1925</v>
      </c>
      <c r="C945">
        <v>500480</v>
      </c>
      <c r="D945" t="s">
        <v>1924</v>
      </c>
      <c r="E945" t="s">
        <v>504</v>
      </c>
    </row>
    <row r="946" spans="2:5" x14ac:dyDescent="0.3">
      <c r="B946" t="s">
        <v>1926</v>
      </c>
      <c r="C946">
        <v>530843</v>
      </c>
      <c r="D946" t="s">
        <v>1927</v>
      </c>
      <c r="E946" t="s">
        <v>678</v>
      </c>
    </row>
    <row r="947" spans="2:5" x14ac:dyDescent="0.3">
      <c r="B947" t="s">
        <v>1928</v>
      </c>
      <c r="C947">
        <v>532332</v>
      </c>
      <c r="D947" t="s">
        <v>1929</v>
      </c>
      <c r="E947" t="s">
        <v>589</v>
      </c>
    </row>
    <row r="948" spans="2:5" x14ac:dyDescent="0.3">
      <c r="B948" t="s">
        <v>1930</v>
      </c>
      <c r="C948">
        <v>531472</v>
      </c>
      <c r="D948" t="s">
        <v>496</v>
      </c>
      <c r="E948" t="s">
        <v>794</v>
      </c>
    </row>
    <row r="949" spans="2:5" x14ac:dyDescent="0.3">
      <c r="B949" t="s">
        <v>1931</v>
      </c>
      <c r="C949">
        <v>532640</v>
      </c>
      <c r="D949" t="s">
        <v>1932</v>
      </c>
      <c r="E949" t="s">
        <v>1020</v>
      </c>
    </row>
    <row r="950" spans="2:5" x14ac:dyDescent="0.3">
      <c r="B950" t="s">
        <v>1933</v>
      </c>
      <c r="C950">
        <v>532640</v>
      </c>
      <c r="D950" t="s">
        <v>1932</v>
      </c>
      <c r="E950" t="s">
        <v>1020</v>
      </c>
    </row>
    <row r="951" spans="2:5" x14ac:dyDescent="0.3">
      <c r="B951" t="s">
        <v>1934</v>
      </c>
      <c r="C951">
        <v>532271</v>
      </c>
      <c r="D951" t="s">
        <v>496</v>
      </c>
      <c r="E951" t="s">
        <v>589</v>
      </c>
    </row>
    <row r="952" spans="2:5" x14ac:dyDescent="0.3">
      <c r="B952" t="s">
        <v>1935</v>
      </c>
      <c r="C952">
        <v>532173</v>
      </c>
      <c r="D952" t="s">
        <v>1936</v>
      </c>
      <c r="E952" t="s">
        <v>589</v>
      </c>
    </row>
    <row r="953" spans="2:5" x14ac:dyDescent="0.3">
      <c r="B953" t="s">
        <v>1937</v>
      </c>
      <c r="C953">
        <v>532175</v>
      </c>
      <c r="D953" t="s">
        <v>1938</v>
      </c>
      <c r="E953" t="s">
        <v>482</v>
      </c>
    </row>
    <row r="954" spans="2:5" x14ac:dyDescent="0.3">
      <c r="B954" t="s">
        <v>1939</v>
      </c>
      <c r="C954">
        <v>533151</v>
      </c>
      <c r="D954" t="s">
        <v>1940</v>
      </c>
      <c r="E954" t="s">
        <v>1020</v>
      </c>
    </row>
    <row r="955" spans="2:5" x14ac:dyDescent="0.3">
      <c r="B955" t="s">
        <v>1941</v>
      </c>
      <c r="C955">
        <v>533160</v>
      </c>
      <c r="D955" t="s">
        <v>1942</v>
      </c>
      <c r="E955" t="s">
        <v>582</v>
      </c>
    </row>
    <row r="956" spans="2:5" x14ac:dyDescent="0.3">
      <c r="B956" t="s">
        <v>1943</v>
      </c>
      <c r="C956" t="s">
        <v>496</v>
      </c>
      <c r="D956" t="s">
        <v>1944</v>
      </c>
      <c r="E956" t="s">
        <v>507</v>
      </c>
    </row>
    <row r="957" spans="2:5" x14ac:dyDescent="0.3">
      <c r="B957" t="s">
        <v>1945</v>
      </c>
      <c r="C957" t="s">
        <v>496</v>
      </c>
      <c r="D957" t="s">
        <v>1946</v>
      </c>
      <c r="E957" t="s">
        <v>507</v>
      </c>
    </row>
    <row r="958" spans="2:5" x14ac:dyDescent="0.3">
      <c r="B958" t="s">
        <v>1947</v>
      </c>
      <c r="C958">
        <v>517514</v>
      </c>
      <c r="D958" t="s">
        <v>496</v>
      </c>
      <c r="E958" t="s">
        <v>681</v>
      </c>
    </row>
    <row r="959" spans="2:5" x14ac:dyDescent="0.3">
      <c r="B959" t="s">
        <v>1948</v>
      </c>
      <c r="C959">
        <v>517514</v>
      </c>
      <c r="D959" t="s">
        <v>496</v>
      </c>
      <c r="E959" t="s">
        <v>681</v>
      </c>
    </row>
    <row r="960" spans="2:5" x14ac:dyDescent="0.3">
      <c r="B960" t="s">
        <v>1949</v>
      </c>
      <c r="C960">
        <v>500096</v>
      </c>
      <c r="D960" t="s">
        <v>1950</v>
      </c>
      <c r="E960" t="s">
        <v>678</v>
      </c>
    </row>
    <row r="961" spans="2:5" x14ac:dyDescent="0.3">
      <c r="B961" t="s">
        <v>1951</v>
      </c>
      <c r="C961">
        <v>500096</v>
      </c>
      <c r="D961" t="s">
        <v>1950</v>
      </c>
      <c r="E961" t="s">
        <v>678</v>
      </c>
    </row>
    <row r="962" spans="2:5" x14ac:dyDescent="0.3">
      <c r="B962" t="s">
        <v>1952</v>
      </c>
      <c r="C962">
        <v>526821</v>
      </c>
      <c r="D962" t="s">
        <v>496</v>
      </c>
      <c r="E962" t="s">
        <v>656</v>
      </c>
    </row>
    <row r="963" spans="2:5" x14ac:dyDescent="0.3">
      <c r="B963" t="s">
        <v>1953</v>
      </c>
      <c r="C963">
        <v>530825</v>
      </c>
      <c r="D963" t="s">
        <v>496</v>
      </c>
      <c r="E963" t="s">
        <v>656</v>
      </c>
    </row>
    <row r="964" spans="2:5" x14ac:dyDescent="0.3">
      <c r="B964" t="s">
        <v>1954</v>
      </c>
      <c r="C964">
        <v>530825</v>
      </c>
      <c r="D964" t="s">
        <v>496</v>
      </c>
      <c r="E964" t="s">
        <v>656</v>
      </c>
    </row>
    <row r="965" spans="2:5" x14ac:dyDescent="0.3">
      <c r="B965" t="s">
        <v>1955</v>
      </c>
      <c r="C965">
        <v>501148</v>
      </c>
      <c r="D965" t="s">
        <v>496</v>
      </c>
      <c r="E965" t="s">
        <v>516</v>
      </c>
    </row>
    <row r="966" spans="2:5" x14ac:dyDescent="0.3">
      <c r="B966" t="s">
        <v>1956</v>
      </c>
      <c r="C966">
        <v>542216</v>
      </c>
      <c r="D966" t="s">
        <v>1957</v>
      </c>
      <c r="E966" t="s">
        <v>1958</v>
      </c>
    </row>
    <row r="967" spans="2:5" x14ac:dyDescent="0.3">
      <c r="B967" t="s">
        <v>1959</v>
      </c>
      <c r="C967">
        <v>500097</v>
      </c>
      <c r="D967" t="s">
        <v>1960</v>
      </c>
      <c r="E967" t="s">
        <v>1195</v>
      </c>
    </row>
    <row r="968" spans="2:5" x14ac:dyDescent="0.3">
      <c r="B968" t="s">
        <v>1961</v>
      </c>
      <c r="C968">
        <v>539900</v>
      </c>
      <c r="D968" t="s">
        <v>496</v>
      </c>
      <c r="E968" t="s">
        <v>518</v>
      </c>
    </row>
    <row r="969" spans="2:5" x14ac:dyDescent="0.3">
      <c r="B969" t="s">
        <v>1962</v>
      </c>
      <c r="C969">
        <v>521220</v>
      </c>
      <c r="D969" t="s">
        <v>1963</v>
      </c>
      <c r="E969" t="s">
        <v>511</v>
      </c>
    </row>
    <row r="970" spans="2:5" x14ac:dyDescent="0.3">
      <c r="B970" t="s">
        <v>1964</v>
      </c>
      <c r="C970" t="s">
        <v>496</v>
      </c>
      <c r="D970" t="s">
        <v>1965</v>
      </c>
      <c r="E970" t="s">
        <v>507</v>
      </c>
    </row>
    <row r="971" spans="2:5" x14ac:dyDescent="0.3">
      <c r="B971" t="s">
        <v>1966</v>
      </c>
      <c r="C971">
        <v>532329</v>
      </c>
      <c r="D971" t="s">
        <v>496</v>
      </c>
      <c r="E971" t="s">
        <v>589</v>
      </c>
    </row>
    <row r="972" spans="2:5" x14ac:dyDescent="0.3">
      <c r="B972" t="s">
        <v>1967</v>
      </c>
      <c r="C972">
        <v>532329</v>
      </c>
      <c r="D972" t="s">
        <v>496</v>
      </c>
      <c r="E972" t="s">
        <v>589</v>
      </c>
    </row>
    <row r="973" spans="2:5" x14ac:dyDescent="0.3">
      <c r="B973" t="s">
        <v>1968</v>
      </c>
      <c r="C973">
        <v>540361</v>
      </c>
      <c r="D973" t="s">
        <v>496</v>
      </c>
      <c r="E973" t="s">
        <v>518</v>
      </c>
    </row>
    <row r="974" spans="2:5" x14ac:dyDescent="0.3">
      <c r="B974" t="s">
        <v>1969</v>
      </c>
      <c r="C974">
        <v>539770</v>
      </c>
      <c r="D974" t="s">
        <v>496</v>
      </c>
      <c r="E974" t="s">
        <v>479</v>
      </c>
    </row>
    <row r="975" spans="2:5" x14ac:dyDescent="0.3">
      <c r="B975" t="s">
        <v>1970</v>
      </c>
      <c r="C975">
        <v>539884</v>
      </c>
      <c r="D975" t="s">
        <v>496</v>
      </c>
      <c r="E975" t="s">
        <v>610</v>
      </c>
    </row>
    <row r="976" spans="2:5" x14ac:dyDescent="0.3">
      <c r="B976" t="s">
        <v>1971</v>
      </c>
      <c r="C976">
        <v>532528</v>
      </c>
      <c r="D976" t="s">
        <v>1972</v>
      </c>
      <c r="E976" t="s">
        <v>589</v>
      </c>
    </row>
    <row r="977" spans="2:5" x14ac:dyDescent="0.3">
      <c r="B977" t="s">
        <v>1973</v>
      </c>
      <c r="C977">
        <v>530171</v>
      </c>
      <c r="D977" t="s">
        <v>496</v>
      </c>
      <c r="E977" t="s">
        <v>479</v>
      </c>
    </row>
    <row r="978" spans="2:5" x14ac:dyDescent="0.3">
      <c r="B978" t="s">
        <v>1974</v>
      </c>
      <c r="C978">
        <v>530393</v>
      </c>
      <c r="D978" t="s">
        <v>1975</v>
      </c>
      <c r="E978" t="s">
        <v>479</v>
      </c>
    </row>
    <row r="979" spans="2:5" x14ac:dyDescent="0.3">
      <c r="B979" t="s">
        <v>1976</v>
      </c>
      <c r="C979">
        <v>532772</v>
      </c>
      <c r="D979" t="s">
        <v>1977</v>
      </c>
      <c r="E979" t="s">
        <v>814</v>
      </c>
    </row>
    <row r="980" spans="2:5" x14ac:dyDescent="0.3">
      <c r="B980" t="s">
        <v>1978</v>
      </c>
      <c r="C980">
        <v>511611</v>
      </c>
      <c r="D980" t="s">
        <v>1979</v>
      </c>
      <c r="E980" t="s">
        <v>513</v>
      </c>
    </row>
    <row r="981" spans="2:5" x14ac:dyDescent="0.3">
      <c r="B981" t="s">
        <v>1980</v>
      </c>
      <c r="C981">
        <v>502820</v>
      </c>
      <c r="D981" t="s">
        <v>1981</v>
      </c>
      <c r="E981" t="s">
        <v>511</v>
      </c>
    </row>
    <row r="982" spans="2:5" x14ac:dyDescent="0.3">
      <c r="B982" t="s">
        <v>1982</v>
      </c>
      <c r="C982">
        <v>523369</v>
      </c>
      <c r="D982" t="s">
        <v>496</v>
      </c>
      <c r="E982" t="s">
        <v>1195</v>
      </c>
    </row>
    <row r="983" spans="2:5" x14ac:dyDescent="0.3">
      <c r="B983" t="s">
        <v>1983</v>
      </c>
      <c r="C983">
        <v>523367</v>
      </c>
      <c r="D983" t="s">
        <v>1984</v>
      </c>
      <c r="E983" t="s">
        <v>485</v>
      </c>
    </row>
    <row r="984" spans="2:5" x14ac:dyDescent="0.3">
      <c r="B984" t="s">
        <v>1985</v>
      </c>
      <c r="C984">
        <v>500117</v>
      </c>
      <c r="D984" t="s">
        <v>1986</v>
      </c>
      <c r="E984" t="s">
        <v>710</v>
      </c>
    </row>
    <row r="985" spans="2:5" x14ac:dyDescent="0.3">
      <c r="B985" t="s">
        <v>1987</v>
      </c>
      <c r="C985">
        <v>590031</v>
      </c>
      <c r="D985" t="s">
        <v>1988</v>
      </c>
      <c r="E985" t="s">
        <v>681</v>
      </c>
    </row>
    <row r="986" spans="2:5" x14ac:dyDescent="0.3">
      <c r="B986" t="s">
        <v>1989</v>
      </c>
      <c r="C986">
        <v>590031</v>
      </c>
      <c r="D986" t="s">
        <v>1988</v>
      </c>
      <c r="E986" t="s">
        <v>681</v>
      </c>
    </row>
    <row r="987" spans="2:5" x14ac:dyDescent="0.3">
      <c r="B987" t="s">
        <v>1990</v>
      </c>
      <c r="C987" t="s">
        <v>496</v>
      </c>
      <c r="D987" t="s">
        <v>1991</v>
      </c>
      <c r="E987" t="s">
        <v>507</v>
      </c>
    </row>
    <row r="988" spans="2:5" x14ac:dyDescent="0.3">
      <c r="B988" t="s">
        <v>1992</v>
      </c>
      <c r="C988">
        <v>505703</v>
      </c>
      <c r="D988" t="s">
        <v>496</v>
      </c>
      <c r="E988" t="s">
        <v>504</v>
      </c>
    </row>
    <row r="989" spans="2:5" x14ac:dyDescent="0.3">
      <c r="B989" t="s">
        <v>1993</v>
      </c>
      <c r="C989">
        <v>502137</v>
      </c>
      <c r="D989" t="s">
        <v>1994</v>
      </c>
      <c r="E989" t="s">
        <v>509</v>
      </c>
    </row>
    <row r="990" spans="2:5" x14ac:dyDescent="0.3">
      <c r="B990" t="s">
        <v>1995</v>
      </c>
      <c r="C990">
        <v>512068</v>
      </c>
      <c r="D990" t="s">
        <v>496</v>
      </c>
      <c r="E990" t="s">
        <v>476</v>
      </c>
    </row>
    <row r="991" spans="2:5" x14ac:dyDescent="0.3">
      <c r="B991" t="s">
        <v>1996</v>
      </c>
      <c r="C991">
        <v>542248</v>
      </c>
      <c r="D991" t="s">
        <v>1997</v>
      </c>
      <c r="E991" t="s">
        <v>685</v>
      </c>
    </row>
    <row r="992" spans="2:5" x14ac:dyDescent="0.3">
      <c r="B992" t="s">
        <v>1998</v>
      </c>
      <c r="C992">
        <v>531989</v>
      </c>
      <c r="D992" t="s">
        <v>496</v>
      </c>
      <c r="E992" t="s">
        <v>691</v>
      </c>
    </row>
    <row r="993" spans="2:5" x14ac:dyDescent="0.3">
      <c r="B993" t="s">
        <v>1999</v>
      </c>
      <c r="C993">
        <v>539190</v>
      </c>
      <c r="D993" t="s">
        <v>496</v>
      </c>
      <c r="E993" t="s">
        <v>513</v>
      </c>
    </row>
    <row r="994" spans="2:5" x14ac:dyDescent="0.3">
      <c r="B994" t="s">
        <v>2000</v>
      </c>
      <c r="C994">
        <v>531227</v>
      </c>
      <c r="D994" t="s">
        <v>496</v>
      </c>
      <c r="E994" t="s">
        <v>544</v>
      </c>
    </row>
    <row r="995" spans="2:5" x14ac:dyDescent="0.3">
      <c r="B995" t="s">
        <v>2001</v>
      </c>
      <c r="C995">
        <v>539405</v>
      </c>
      <c r="D995" t="s">
        <v>496</v>
      </c>
      <c r="E995" t="s">
        <v>610</v>
      </c>
    </row>
    <row r="996" spans="2:5" x14ac:dyDescent="0.3">
      <c r="B996" t="s">
        <v>2002</v>
      </c>
      <c r="C996">
        <v>539559</v>
      </c>
      <c r="D996" t="s">
        <v>496</v>
      </c>
      <c r="E996" t="s">
        <v>610</v>
      </c>
    </row>
    <row r="997" spans="2:5" x14ac:dyDescent="0.3">
      <c r="B997" t="s">
        <v>2003</v>
      </c>
      <c r="C997">
        <v>539559</v>
      </c>
      <c r="D997" t="s">
        <v>496</v>
      </c>
      <c r="E997" t="s">
        <v>610</v>
      </c>
    </row>
    <row r="998" spans="2:5" x14ac:dyDescent="0.3">
      <c r="B998" t="s">
        <v>2004</v>
      </c>
      <c r="C998">
        <v>532760</v>
      </c>
      <c r="D998" t="s">
        <v>2005</v>
      </c>
      <c r="E998" t="s">
        <v>627</v>
      </c>
    </row>
    <row r="999" spans="2:5" x14ac:dyDescent="0.3">
      <c r="B999" t="s">
        <v>2006</v>
      </c>
      <c r="C999">
        <v>541778</v>
      </c>
      <c r="D999" t="s">
        <v>496</v>
      </c>
      <c r="E999" t="s">
        <v>656</v>
      </c>
    </row>
    <row r="1000" spans="2:5" x14ac:dyDescent="0.3">
      <c r="B1000" t="s">
        <v>2007</v>
      </c>
      <c r="C1000">
        <v>500645</v>
      </c>
      <c r="D1000" t="s">
        <v>2008</v>
      </c>
      <c r="E1000" t="s">
        <v>544</v>
      </c>
    </row>
    <row r="1001" spans="2:5" x14ac:dyDescent="0.3">
      <c r="B1001" t="s">
        <v>2009</v>
      </c>
      <c r="C1001">
        <v>506401</v>
      </c>
      <c r="D1001" t="s">
        <v>2010</v>
      </c>
      <c r="E1001" t="s">
        <v>544</v>
      </c>
    </row>
    <row r="1002" spans="2:5" x14ac:dyDescent="0.3">
      <c r="B1002" t="s">
        <v>2011</v>
      </c>
      <c r="C1002">
        <v>514030</v>
      </c>
      <c r="D1002" t="s">
        <v>496</v>
      </c>
      <c r="E1002" t="s">
        <v>511</v>
      </c>
    </row>
    <row r="1003" spans="2:5" x14ac:dyDescent="0.3">
      <c r="B1003" t="s">
        <v>2012</v>
      </c>
      <c r="C1003">
        <v>539455</v>
      </c>
      <c r="D1003" t="s">
        <v>496</v>
      </c>
      <c r="E1003" t="s">
        <v>528</v>
      </c>
    </row>
    <row r="1004" spans="2:5" x14ac:dyDescent="0.3">
      <c r="B1004" t="s">
        <v>2013</v>
      </c>
      <c r="C1004">
        <v>780006</v>
      </c>
      <c r="D1004" t="s">
        <v>496</v>
      </c>
      <c r="E1004" t="s">
        <v>587</v>
      </c>
    </row>
    <row r="1005" spans="2:5" x14ac:dyDescent="0.3">
      <c r="B1005" t="s">
        <v>2014</v>
      </c>
      <c r="C1005">
        <v>532848</v>
      </c>
      <c r="D1005" t="s">
        <v>2015</v>
      </c>
      <c r="E1005" t="s">
        <v>917</v>
      </c>
    </row>
    <row r="1006" spans="2:5" x14ac:dyDescent="0.3">
      <c r="B1006" t="s">
        <v>2016</v>
      </c>
      <c r="C1006">
        <v>539596</v>
      </c>
      <c r="D1006" t="s">
        <v>496</v>
      </c>
      <c r="E1006" t="s">
        <v>479</v>
      </c>
    </row>
    <row r="1007" spans="2:5" x14ac:dyDescent="0.3">
      <c r="B1007" t="s">
        <v>2017</v>
      </c>
      <c r="C1007">
        <v>504286</v>
      </c>
      <c r="D1007" t="s">
        <v>2018</v>
      </c>
      <c r="E1007" t="s">
        <v>794</v>
      </c>
    </row>
    <row r="1008" spans="2:5" x14ac:dyDescent="0.3">
      <c r="B1008" t="s">
        <v>2019</v>
      </c>
      <c r="C1008">
        <v>504240</v>
      </c>
      <c r="D1008" t="s">
        <v>496</v>
      </c>
      <c r="E1008" t="s">
        <v>794</v>
      </c>
    </row>
    <row r="1009" spans="2:5" x14ac:dyDescent="0.3">
      <c r="B1009" t="s">
        <v>2020</v>
      </c>
      <c r="C1009">
        <v>504256</v>
      </c>
      <c r="D1009" t="s">
        <v>496</v>
      </c>
      <c r="E1009" t="s">
        <v>1038</v>
      </c>
    </row>
    <row r="1010" spans="2:5" x14ac:dyDescent="0.3">
      <c r="B1010" t="s">
        <v>2021</v>
      </c>
      <c r="C1010">
        <v>533137</v>
      </c>
      <c r="D1010" t="s">
        <v>2022</v>
      </c>
      <c r="E1010" t="s">
        <v>1235</v>
      </c>
    </row>
    <row r="1011" spans="2:5" x14ac:dyDescent="0.3">
      <c r="B1011" t="s">
        <v>2023</v>
      </c>
      <c r="C1011">
        <v>532121</v>
      </c>
      <c r="D1011" t="s">
        <v>2024</v>
      </c>
      <c r="E1011" t="s">
        <v>814</v>
      </c>
    </row>
    <row r="1012" spans="2:5" x14ac:dyDescent="0.3">
      <c r="B1012" t="s">
        <v>2025</v>
      </c>
      <c r="C1012">
        <v>537536</v>
      </c>
      <c r="D1012" t="s">
        <v>496</v>
      </c>
      <c r="E1012" t="s">
        <v>534</v>
      </c>
    </row>
    <row r="1013" spans="2:5" x14ac:dyDescent="0.3">
      <c r="B1013" t="s">
        <v>2026</v>
      </c>
      <c r="C1013">
        <v>531521</v>
      </c>
      <c r="D1013" t="s">
        <v>496</v>
      </c>
      <c r="E1013" t="s">
        <v>534</v>
      </c>
    </row>
    <row r="1014" spans="2:5" x14ac:dyDescent="0.3">
      <c r="B1014" t="s">
        <v>2027</v>
      </c>
      <c r="C1014" t="s">
        <v>496</v>
      </c>
      <c r="D1014" t="s">
        <v>2028</v>
      </c>
      <c r="E1014" t="s">
        <v>507</v>
      </c>
    </row>
    <row r="1015" spans="2:5" x14ac:dyDescent="0.3">
      <c r="B1015" t="s">
        <v>2029</v>
      </c>
      <c r="C1015">
        <v>539197</v>
      </c>
      <c r="D1015" t="s">
        <v>496</v>
      </c>
      <c r="E1015" t="s">
        <v>518</v>
      </c>
    </row>
    <row r="1016" spans="2:5" x14ac:dyDescent="0.3">
      <c r="B1016" t="s">
        <v>2030</v>
      </c>
      <c r="C1016">
        <v>539197</v>
      </c>
      <c r="D1016" t="s">
        <v>496</v>
      </c>
      <c r="E1016" t="s">
        <v>518</v>
      </c>
    </row>
    <row r="1017" spans="2:5" x14ac:dyDescent="0.3">
      <c r="B1017" t="s">
        <v>2031</v>
      </c>
      <c r="C1017">
        <v>531585</v>
      </c>
      <c r="D1017" t="s">
        <v>496</v>
      </c>
      <c r="E1017" t="s">
        <v>518</v>
      </c>
    </row>
    <row r="1018" spans="2:5" x14ac:dyDescent="0.3">
      <c r="B1018" t="s">
        <v>2032</v>
      </c>
      <c r="C1018">
        <v>512445</v>
      </c>
      <c r="D1018" t="s">
        <v>496</v>
      </c>
      <c r="E1018" t="s">
        <v>479</v>
      </c>
    </row>
    <row r="1019" spans="2:5" x14ac:dyDescent="0.3">
      <c r="B1019" t="s">
        <v>2033</v>
      </c>
      <c r="C1019">
        <v>530765</v>
      </c>
      <c r="D1019" t="s">
        <v>496</v>
      </c>
      <c r="E1019" t="s">
        <v>513</v>
      </c>
    </row>
    <row r="1020" spans="2:5" x14ac:dyDescent="0.3">
      <c r="B1020" t="s">
        <v>2034</v>
      </c>
      <c r="C1020">
        <v>542002</v>
      </c>
      <c r="D1020" t="s">
        <v>496</v>
      </c>
      <c r="E1020" t="s">
        <v>582</v>
      </c>
    </row>
    <row r="1021" spans="2:5" x14ac:dyDescent="0.3">
      <c r="B1021" t="s">
        <v>2035</v>
      </c>
      <c r="C1021">
        <v>511072</v>
      </c>
      <c r="D1021" t="s">
        <v>2036</v>
      </c>
      <c r="E1021" t="s">
        <v>554</v>
      </c>
    </row>
    <row r="1022" spans="2:5" x14ac:dyDescent="0.3">
      <c r="B1022" t="s">
        <v>2037</v>
      </c>
      <c r="C1022">
        <v>519588</v>
      </c>
      <c r="D1022" t="s">
        <v>2038</v>
      </c>
      <c r="E1022" t="s">
        <v>556</v>
      </c>
    </row>
    <row r="1023" spans="2:5" x14ac:dyDescent="0.3">
      <c r="B1023" t="s">
        <v>2039</v>
      </c>
      <c r="C1023">
        <v>538715</v>
      </c>
      <c r="D1023" t="s">
        <v>496</v>
      </c>
      <c r="E1023" t="s">
        <v>616</v>
      </c>
    </row>
    <row r="1024" spans="2:5" x14ac:dyDescent="0.3">
      <c r="B1024" t="s">
        <v>2040</v>
      </c>
      <c r="C1024">
        <v>500119</v>
      </c>
      <c r="D1024" t="s">
        <v>2041</v>
      </c>
      <c r="E1024" t="s">
        <v>1195</v>
      </c>
    </row>
    <row r="1025" spans="2:5" x14ac:dyDescent="0.3">
      <c r="B1025" t="s">
        <v>2042</v>
      </c>
      <c r="C1025">
        <v>531923</v>
      </c>
      <c r="D1025" t="s">
        <v>496</v>
      </c>
      <c r="E1025" t="s">
        <v>1195</v>
      </c>
    </row>
    <row r="1026" spans="2:5" x14ac:dyDescent="0.3">
      <c r="B1026" t="s">
        <v>2043</v>
      </c>
      <c r="C1026">
        <v>531198</v>
      </c>
      <c r="D1026" t="s">
        <v>496</v>
      </c>
      <c r="E1026" t="s">
        <v>697</v>
      </c>
    </row>
    <row r="1027" spans="2:5" x14ac:dyDescent="0.3">
      <c r="B1027" t="s">
        <v>2044</v>
      </c>
      <c r="C1027">
        <v>521216</v>
      </c>
      <c r="D1027" t="s">
        <v>496</v>
      </c>
      <c r="E1027" t="s">
        <v>511</v>
      </c>
    </row>
    <row r="1028" spans="2:5" x14ac:dyDescent="0.3">
      <c r="B1028" t="s">
        <v>2045</v>
      </c>
      <c r="C1028">
        <v>542679</v>
      </c>
      <c r="D1028" t="s">
        <v>2046</v>
      </c>
      <c r="E1028" t="s">
        <v>794</v>
      </c>
    </row>
    <row r="1029" spans="2:5" x14ac:dyDescent="0.3">
      <c r="B1029" t="s">
        <v>2047</v>
      </c>
      <c r="C1029">
        <v>532180</v>
      </c>
      <c r="D1029" t="s">
        <v>2048</v>
      </c>
      <c r="E1029" t="s">
        <v>814</v>
      </c>
    </row>
    <row r="1030" spans="2:5" x14ac:dyDescent="0.3">
      <c r="B1030" t="s">
        <v>2049</v>
      </c>
      <c r="C1030">
        <v>512485</v>
      </c>
      <c r="D1030" t="s">
        <v>496</v>
      </c>
      <c r="E1030" t="s">
        <v>518</v>
      </c>
    </row>
    <row r="1031" spans="2:5" x14ac:dyDescent="0.3">
      <c r="B1031" t="s">
        <v>2050</v>
      </c>
      <c r="C1031">
        <v>521151</v>
      </c>
      <c r="D1031" t="s">
        <v>496</v>
      </c>
      <c r="E1031" t="s">
        <v>511</v>
      </c>
    </row>
    <row r="1032" spans="2:5" x14ac:dyDescent="0.3">
      <c r="B1032" t="s">
        <v>2051</v>
      </c>
      <c r="C1032">
        <v>503637</v>
      </c>
      <c r="D1032" t="s">
        <v>496</v>
      </c>
      <c r="E1032" t="s">
        <v>479</v>
      </c>
    </row>
    <row r="1033" spans="2:5" x14ac:dyDescent="0.3">
      <c r="B1033" t="s">
        <v>2052</v>
      </c>
      <c r="C1033">
        <v>507717</v>
      </c>
      <c r="D1033" t="s">
        <v>2053</v>
      </c>
      <c r="E1033" t="s">
        <v>640</v>
      </c>
    </row>
    <row r="1034" spans="2:5" x14ac:dyDescent="0.3">
      <c r="B1034" t="s">
        <v>2054</v>
      </c>
      <c r="C1034">
        <v>538446</v>
      </c>
      <c r="D1034" t="s">
        <v>496</v>
      </c>
      <c r="E1034" t="s">
        <v>479</v>
      </c>
    </row>
    <row r="1035" spans="2:5" x14ac:dyDescent="0.3">
      <c r="B1035" t="s">
        <v>2055</v>
      </c>
      <c r="C1035" t="s">
        <v>496</v>
      </c>
      <c r="D1035" t="s">
        <v>2056</v>
      </c>
      <c r="E1035" t="s">
        <v>507</v>
      </c>
    </row>
    <row r="1036" spans="2:5" x14ac:dyDescent="0.3">
      <c r="B1036" t="s">
        <v>2057</v>
      </c>
      <c r="C1036">
        <v>531043</v>
      </c>
      <c r="D1036" t="s">
        <v>496</v>
      </c>
      <c r="E1036" t="s">
        <v>685</v>
      </c>
    </row>
    <row r="1037" spans="2:5" x14ac:dyDescent="0.3">
      <c r="B1037" t="s">
        <v>2058</v>
      </c>
      <c r="C1037">
        <v>540268</v>
      </c>
      <c r="D1037" t="s">
        <v>496</v>
      </c>
      <c r="E1037" t="s">
        <v>479</v>
      </c>
    </row>
    <row r="1038" spans="2:5" x14ac:dyDescent="0.3">
      <c r="B1038" t="s">
        <v>2059</v>
      </c>
      <c r="C1038">
        <v>506405</v>
      </c>
      <c r="D1038" t="s">
        <v>496</v>
      </c>
      <c r="E1038" t="s">
        <v>656</v>
      </c>
    </row>
    <row r="1039" spans="2:5" x14ac:dyDescent="0.3">
      <c r="B1039" t="s">
        <v>2060</v>
      </c>
      <c r="C1039">
        <v>511451</v>
      </c>
      <c r="D1039" t="s">
        <v>496</v>
      </c>
      <c r="E1039" t="s">
        <v>513</v>
      </c>
    </row>
    <row r="1040" spans="2:5" x14ac:dyDescent="0.3">
      <c r="B1040" t="s">
        <v>2061</v>
      </c>
      <c r="C1040">
        <v>507442</v>
      </c>
      <c r="D1040" t="s">
        <v>2062</v>
      </c>
      <c r="E1040" t="s">
        <v>1195</v>
      </c>
    </row>
    <row r="1041" spans="2:5" x14ac:dyDescent="0.3">
      <c r="B1041" t="s">
        <v>2063</v>
      </c>
      <c r="C1041">
        <v>501945</v>
      </c>
      <c r="D1041" t="s">
        <v>496</v>
      </c>
      <c r="E1041" t="s">
        <v>513</v>
      </c>
    </row>
    <row r="1042" spans="2:5" x14ac:dyDescent="0.3">
      <c r="B1042" t="s">
        <v>2064</v>
      </c>
      <c r="C1042">
        <v>526971</v>
      </c>
      <c r="D1042" t="s">
        <v>496</v>
      </c>
      <c r="E1042" t="s">
        <v>518</v>
      </c>
    </row>
    <row r="1043" spans="2:5" x14ac:dyDescent="0.3">
      <c r="B1043" t="s">
        <v>2065</v>
      </c>
      <c r="C1043">
        <v>531306</v>
      </c>
      <c r="D1043" t="s">
        <v>496</v>
      </c>
      <c r="E1043" t="s">
        <v>504</v>
      </c>
    </row>
    <row r="1044" spans="2:5" x14ac:dyDescent="0.3">
      <c r="B1044" t="s">
        <v>2066</v>
      </c>
      <c r="C1044">
        <v>531306</v>
      </c>
      <c r="D1044" t="s">
        <v>496</v>
      </c>
      <c r="E1044" t="s">
        <v>504</v>
      </c>
    </row>
    <row r="1045" spans="2:5" x14ac:dyDescent="0.3">
      <c r="B1045" t="s">
        <v>2067</v>
      </c>
      <c r="C1045">
        <v>541302</v>
      </c>
      <c r="D1045" t="s">
        <v>496</v>
      </c>
      <c r="E1045" t="s">
        <v>894</v>
      </c>
    </row>
    <row r="1046" spans="2:5" x14ac:dyDescent="0.3">
      <c r="B1046" t="s">
        <v>2068</v>
      </c>
      <c r="C1046">
        <v>507886</v>
      </c>
      <c r="D1046" t="s">
        <v>496</v>
      </c>
      <c r="E1046" t="s">
        <v>582</v>
      </c>
    </row>
    <row r="1047" spans="2:5" x14ac:dyDescent="0.3">
      <c r="B1047" t="s">
        <v>2069</v>
      </c>
      <c r="C1047">
        <v>540695</v>
      </c>
      <c r="D1047" t="s">
        <v>496</v>
      </c>
      <c r="E1047" t="s">
        <v>518</v>
      </c>
    </row>
    <row r="1048" spans="2:5" x14ac:dyDescent="0.3">
      <c r="B1048" t="s">
        <v>2070</v>
      </c>
      <c r="C1048">
        <v>531237</v>
      </c>
      <c r="D1048" t="s">
        <v>496</v>
      </c>
      <c r="E1048" t="s">
        <v>513</v>
      </c>
    </row>
    <row r="1049" spans="2:5" x14ac:dyDescent="0.3">
      <c r="B1049" t="s">
        <v>2071</v>
      </c>
      <c r="C1049">
        <v>533336</v>
      </c>
      <c r="D1049" t="s">
        <v>2072</v>
      </c>
      <c r="E1049" t="s">
        <v>516</v>
      </c>
    </row>
    <row r="1050" spans="2:5" x14ac:dyDescent="0.3">
      <c r="B1050" t="s">
        <v>2073</v>
      </c>
      <c r="C1050">
        <v>523736</v>
      </c>
      <c r="D1050" t="s">
        <v>2074</v>
      </c>
      <c r="E1050" t="s">
        <v>873</v>
      </c>
    </row>
    <row r="1051" spans="2:5" x14ac:dyDescent="0.3">
      <c r="B1051" t="s">
        <v>2075</v>
      </c>
      <c r="C1051">
        <v>538902</v>
      </c>
      <c r="D1051" t="s">
        <v>2076</v>
      </c>
      <c r="E1051" t="s">
        <v>903</v>
      </c>
    </row>
    <row r="1052" spans="2:5" x14ac:dyDescent="0.3">
      <c r="B1052" t="s">
        <v>2077</v>
      </c>
      <c r="C1052" t="s">
        <v>496</v>
      </c>
      <c r="D1052" t="s">
        <v>2078</v>
      </c>
      <c r="E1052" t="s">
        <v>903</v>
      </c>
    </row>
    <row r="1053" spans="2:5" x14ac:dyDescent="0.3">
      <c r="B1053" t="s">
        <v>2079</v>
      </c>
      <c r="C1053">
        <v>508860</v>
      </c>
      <c r="D1053" t="s">
        <v>496</v>
      </c>
      <c r="E1053" t="s">
        <v>894</v>
      </c>
    </row>
    <row r="1054" spans="2:5" x14ac:dyDescent="0.3">
      <c r="B1054" t="s">
        <v>2080</v>
      </c>
      <c r="C1054">
        <v>500120</v>
      </c>
      <c r="D1054" t="s">
        <v>496</v>
      </c>
      <c r="E1054" t="s">
        <v>544</v>
      </c>
    </row>
    <row r="1055" spans="2:5" x14ac:dyDescent="0.3">
      <c r="B1055" t="s">
        <v>2081</v>
      </c>
      <c r="C1055">
        <v>522163</v>
      </c>
      <c r="D1055" t="s">
        <v>2082</v>
      </c>
      <c r="E1055" t="s">
        <v>794</v>
      </c>
    </row>
    <row r="1056" spans="2:5" x14ac:dyDescent="0.3">
      <c r="B1056" t="s">
        <v>2083</v>
      </c>
      <c r="C1056">
        <v>530959</v>
      </c>
      <c r="D1056" t="s">
        <v>496</v>
      </c>
      <c r="E1056" t="s">
        <v>903</v>
      </c>
    </row>
    <row r="1057" spans="2:5" x14ac:dyDescent="0.3">
      <c r="B1057" t="s">
        <v>2084</v>
      </c>
      <c r="C1057">
        <v>500089</v>
      </c>
      <c r="D1057" t="s">
        <v>2085</v>
      </c>
      <c r="E1057" t="s">
        <v>656</v>
      </c>
    </row>
    <row r="1058" spans="2:5" x14ac:dyDescent="0.3">
      <c r="B1058" t="s">
        <v>2086</v>
      </c>
      <c r="C1058">
        <v>500089</v>
      </c>
      <c r="D1058" t="s">
        <v>2085</v>
      </c>
      <c r="E1058" t="s">
        <v>656</v>
      </c>
    </row>
    <row r="1059" spans="2:5" x14ac:dyDescent="0.3">
      <c r="B1059" t="s">
        <v>2087</v>
      </c>
      <c r="C1059">
        <v>540811</v>
      </c>
      <c r="D1059" t="s">
        <v>496</v>
      </c>
      <c r="E1059" t="s">
        <v>518</v>
      </c>
    </row>
    <row r="1060" spans="2:5" x14ac:dyDescent="0.3">
      <c r="B1060" t="s">
        <v>2088</v>
      </c>
      <c r="C1060">
        <v>542685</v>
      </c>
      <c r="D1060" t="s">
        <v>2089</v>
      </c>
      <c r="E1060" t="s">
        <v>1020</v>
      </c>
    </row>
    <row r="1061" spans="2:5" x14ac:dyDescent="0.3">
      <c r="B1061" t="s">
        <v>2090</v>
      </c>
      <c r="C1061">
        <v>539979</v>
      </c>
      <c r="D1061" t="s">
        <v>2091</v>
      </c>
      <c r="E1061" t="s">
        <v>511</v>
      </c>
    </row>
    <row r="1062" spans="2:5" x14ac:dyDescent="0.3">
      <c r="B1062" t="s">
        <v>2092</v>
      </c>
      <c r="C1062">
        <v>540151</v>
      </c>
      <c r="D1062" t="s">
        <v>496</v>
      </c>
      <c r="E1062" t="s">
        <v>499</v>
      </c>
    </row>
    <row r="1063" spans="2:5" x14ac:dyDescent="0.3">
      <c r="B1063" t="s">
        <v>2093</v>
      </c>
      <c r="C1063">
        <v>542155</v>
      </c>
      <c r="D1063" t="s">
        <v>2094</v>
      </c>
      <c r="E1063" t="s">
        <v>862</v>
      </c>
    </row>
    <row r="1064" spans="2:5" x14ac:dyDescent="0.3">
      <c r="B1064" t="s">
        <v>2095</v>
      </c>
      <c r="C1064">
        <v>506414</v>
      </c>
      <c r="D1064" t="s">
        <v>496</v>
      </c>
      <c r="E1064" t="s">
        <v>534</v>
      </c>
    </row>
    <row r="1065" spans="2:5" x14ac:dyDescent="0.3">
      <c r="B1065" t="s">
        <v>2096</v>
      </c>
      <c r="C1065">
        <v>531153</v>
      </c>
      <c r="D1065" t="s">
        <v>496</v>
      </c>
      <c r="E1065" t="s">
        <v>745</v>
      </c>
    </row>
    <row r="1066" spans="2:5" x14ac:dyDescent="0.3">
      <c r="B1066" t="s">
        <v>2097</v>
      </c>
      <c r="C1066">
        <v>540789</v>
      </c>
      <c r="D1066" t="s">
        <v>2098</v>
      </c>
      <c r="E1066" t="s">
        <v>2099</v>
      </c>
    </row>
    <row r="1067" spans="2:5" x14ac:dyDescent="0.3">
      <c r="B1067" t="s">
        <v>2100</v>
      </c>
      <c r="C1067">
        <v>540047</v>
      </c>
      <c r="D1067" t="s">
        <v>2101</v>
      </c>
      <c r="E1067" t="s">
        <v>1091</v>
      </c>
    </row>
    <row r="1068" spans="2:5" x14ac:dyDescent="0.3">
      <c r="B1068" t="s">
        <v>2102</v>
      </c>
      <c r="C1068">
        <v>526927</v>
      </c>
      <c r="D1068" t="s">
        <v>496</v>
      </c>
      <c r="E1068" t="s">
        <v>589</v>
      </c>
    </row>
    <row r="1069" spans="2:5" x14ac:dyDescent="0.3">
      <c r="B1069" t="s">
        <v>2103</v>
      </c>
      <c r="C1069">
        <v>500068</v>
      </c>
      <c r="D1069" t="s">
        <v>496</v>
      </c>
      <c r="E1069" t="s">
        <v>504</v>
      </c>
    </row>
    <row r="1070" spans="2:5" x14ac:dyDescent="0.3">
      <c r="B1070" t="s">
        <v>2104</v>
      </c>
      <c r="C1070">
        <v>500068</v>
      </c>
      <c r="D1070" t="s">
        <v>496</v>
      </c>
      <c r="E1070" t="s">
        <v>504</v>
      </c>
    </row>
    <row r="1071" spans="2:5" x14ac:dyDescent="0.3">
      <c r="B1071" t="s">
        <v>2105</v>
      </c>
      <c r="C1071">
        <v>532839</v>
      </c>
      <c r="D1071" t="s">
        <v>2106</v>
      </c>
      <c r="E1071" t="s">
        <v>1235</v>
      </c>
    </row>
    <row r="1072" spans="2:5" x14ac:dyDescent="0.3">
      <c r="B1072" t="s">
        <v>2107</v>
      </c>
      <c r="C1072">
        <v>532839</v>
      </c>
      <c r="D1072" t="s">
        <v>2106</v>
      </c>
      <c r="E1072" t="s">
        <v>1235</v>
      </c>
    </row>
    <row r="1073" spans="2:5" x14ac:dyDescent="0.3">
      <c r="B1073" t="s">
        <v>2108</v>
      </c>
      <c r="C1073">
        <v>531553</v>
      </c>
      <c r="D1073" t="s">
        <v>496</v>
      </c>
      <c r="E1073" t="s">
        <v>917</v>
      </c>
    </row>
    <row r="1074" spans="2:5" x14ac:dyDescent="0.3">
      <c r="B1074" t="s">
        <v>2109</v>
      </c>
      <c r="C1074">
        <v>540701</v>
      </c>
      <c r="D1074" t="s">
        <v>2110</v>
      </c>
      <c r="E1074" t="s">
        <v>534</v>
      </c>
    </row>
    <row r="1075" spans="2:5" x14ac:dyDescent="0.3">
      <c r="B1075" t="s">
        <v>2111</v>
      </c>
      <c r="C1075">
        <v>538432</v>
      </c>
      <c r="D1075" t="s">
        <v>496</v>
      </c>
      <c r="E1075" t="s">
        <v>518</v>
      </c>
    </row>
    <row r="1076" spans="2:5" x14ac:dyDescent="0.3">
      <c r="B1076" t="s">
        <v>2112</v>
      </c>
      <c r="C1076">
        <v>532488</v>
      </c>
      <c r="D1076" t="s">
        <v>2113</v>
      </c>
      <c r="E1076" t="s">
        <v>534</v>
      </c>
    </row>
    <row r="1077" spans="2:5" x14ac:dyDescent="0.3">
      <c r="B1077" t="s">
        <v>2114</v>
      </c>
      <c r="C1077">
        <v>526285</v>
      </c>
      <c r="D1077" t="s">
        <v>496</v>
      </c>
      <c r="E1077" t="s">
        <v>745</v>
      </c>
    </row>
    <row r="1078" spans="2:5" x14ac:dyDescent="0.3">
      <c r="B1078" t="s">
        <v>2115</v>
      </c>
      <c r="C1078">
        <v>526315</v>
      </c>
      <c r="D1078" t="s">
        <v>496</v>
      </c>
      <c r="E1078" t="s">
        <v>1024</v>
      </c>
    </row>
    <row r="1079" spans="2:5" x14ac:dyDescent="0.3">
      <c r="B1079" t="s">
        <v>2116</v>
      </c>
      <c r="C1079">
        <v>540699</v>
      </c>
      <c r="D1079" t="s">
        <v>2117</v>
      </c>
      <c r="E1079" t="s">
        <v>865</v>
      </c>
    </row>
    <row r="1080" spans="2:5" x14ac:dyDescent="0.3">
      <c r="B1080" t="s">
        <v>2118</v>
      </c>
      <c r="C1080">
        <v>540699</v>
      </c>
      <c r="D1080" t="s">
        <v>2117</v>
      </c>
      <c r="E1080" t="s">
        <v>865</v>
      </c>
    </row>
    <row r="1081" spans="2:5" x14ac:dyDescent="0.3">
      <c r="B1081" t="s">
        <v>2119</v>
      </c>
      <c r="C1081">
        <v>532868</v>
      </c>
      <c r="D1081" t="s">
        <v>2120</v>
      </c>
      <c r="E1081" t="s">
        <v>582</v>
      </c>
    </row>
    <row r="1082" spans="2:5" x14ac:dyDescent="0.3">
      <c r="B1082" t="s">
        <v>2121</v>
      </c>
      <c r="C1082">
        <v>533146</v>
      </c>
      <c r="D1082" t="s">
        <v>2122</v>
      </c>
      <c r="E1082" t="s">
        <v>2123</v>
      </c>
    </row>
    <row r="1083" spans="2:5" x14ac:dyDescent="0.3">
      <c r="B1083" t="s">
        <v>2124</v>
      </c>
      <c r="C1083">
        <v>533146</v>
      </c>
      <c r="D1083" t="s">
        <v>2125</v>
      </c>
      <c r="E1083" t="s">
        <v>2123</v>
      </c>
    </row>
    <row r="1084" spans="2:5" x14ac:dyDescent="0.3">
      <c r="B1084" t="s">
        <v>2126</v>
      </c>
      <c r="C1084">
        <v>505526</v>
      </c>
      <c r="D1084" t="s">
        <v>496</v>
      </c>
      <c r="E1084" t="s">
        <v>516</v>
      </c>
    </row>
    <row r="1085" spans="2:5" x14ac:dyDescent="0.3">
      <c r="B1085" t="s">
        <v>2127</v>
      </c>
      <c r="C1085">
        <v>542013</v>
      </c>
      <c r="D1085" t="s">
        <v>496</v>
      </c>
      <c r="E1085" t="s">
        <v>976</v>
      </c>
    </row>
    <row r="1086" spans="2:5" x14ac:dyDescent="0.3">
      <c r="B1086" t="s">
        <v>2128</v>
      </c>
      <c r="C1086">
        <v>541403</v>
      </c>
      <c r="D1086" t="s">
        <v>2129</v>
      </c>
      <c r="E1086" t="s">
        <v>610</v>
      </c>
    </row>
    <row r="1087" spans="2:5" x14ac:dyDescent="0.3">
      <c r="B1087" t="s">
        <v>2130</v>
      </c>
      <c r="C1087">
        <v>526504</v>
      </c>
      <c r="D1087" t="s">
        <v>496</v>
      </c>
      <c r="E1087" t="s">
        <v>685</v>
      </c>
    </row>
    <row r="1088" spans="2:5" x14ac:dyDescent="0.3">
      <c r="B1088" t="s">
        <v>2131</v>
      </c>
      <c r="C1088">
        <v>522261</v>
      </c>
      <c r="D1088" t="s">
        <v>2132</v>
      </c>
      <c r="E1088" t="s">
        <v>837</v>
      </c>
    </row>
    <row r="1089" spans="2:5" x14ac:dyDescent="0.3">
      <c r="B1089" t="s">
        <v>2133</v>
      </c>
      <c r="C1089">
        <v>522261</v>
      </c>
      <c r="D1089" t="s">
        <v>2132</v>
      </c>
      <c r="E1089" t="s">
        <v>837</v>
      </c>
    </row>
    <row r="1090" spans="2:5" x14ac:dyDescent="0.3">
      <c r="B1090" t="s">
        <v>2134</v>
      </c>
      <c r="C1090">
        <v>512519</v>
      </c>
      <c r="D1090" t="s">
        <v>2135</v>
      </c>
      <c r="E1090" t="s">
        <v>511</v>
      </c>
    </row>
    <row r="1091" spans="2:5" x14ac:dyDescent="0.3">
      <c r="B1091" t="s">
        <v>2136</v>
      </c>
      <c r="C1091" t="s">
        <v>496</v>
      </c>
      <c r="D1091" t="s">
        <v>2137</v>
      </c>
      <c r="E1091" t="s">
        <v>587</v>
      </c>
    </row>
    <row r="1092" spans="2:5" x14ac:dyDescent="0.3">
      <c r="B1092" t="s">
        <v>2138</v>
      </c>
      <c r="C1092">
        <v>533176</v>
      </c>
      <c r="D1092" t="s">
        <v>2139</v>
      </c>
      <c r="E1092" t="s">
        <v>499</v>
      </c>
    </row>
    <row r="1093" spans="2:5" x14ac:dyDescent="0.3">
      <c r="B1093" t="s">
        <v>2140</v>
      </c>
      <c r="C1093">
        <v>526783</v>
      </c>
      <c r="D1093" t="s">
        <v>496</v>
      </c>
      <c r="E1093" t="s">
        <v>685</v>
      </c>
    </row>
    <row r="1094" spans="2:5" x14ac:dyDescent="0.3">
      <c r="B1094" t="s">
        <v>2141</v>
      </c>
      <c r="C1094">
        <v>539267</v>
      </c>
      <c r="D1094" t="s">
        <v>496</v>
      </c>
      <c r="E1094" t="s">
        <v>518</v>
      </c>
    </row>
    <row r="1095" spans="2:5" x14ac:dyDescent="0.3">
      <c r="B1095" t="s">
        <v>2142</v>
      </c>
      <c r="C1095">
        <v>539524</v>
      </c>
      <c r="D1095" t="s">
        <v>2143</v>
      </c>
      <c r="E1095" t="s">
        <v>685</v>
      </c>
    </row>
    <row r="1096" spans="2:5" x14ac:dyDescent="0.3">
      <c r="B1096" t="s">
        <v>2144</v>
      </c>
      <c r="C1096">
        <v>541299</v>
      </c>
      <c r="D1096" t="s">
        <v>496</v>
      </c>
      <c r="E1096" t="s">
        <v>685</v>
      </c>
    </row>
    <row r="1097" spans="2:5" x14ac:dyDescent="0.3">
      <c r="B1097" t="s">
        <v>2145</v>
      </c>
      <c r="C1097">
        <v>500124</v>
      </c>
      <c r="D1097" t="s">
        <v>2146</v>
      </c>
      <c r="E1097" t="s">
        <v>534</v>
      </c>
    </row>
    <row r="1098" spans="2:5" x14ac:dyDescent="0.3">
      <c r="B1098" t="s">
        <v>2147</v>
      </c>
      <c r="C1098">
        <v>540144</v>
      </c>
      <c r="D1098" t="s">
        <v>496</v>
      </c>
      <c r="E1098" t="s">
        <v>580</v>
      </c>
    </row>
    <row r="1099" spans="2:5" x14ac:dyDescent="0.3">
      <c r="B1099" t="s">
        <v>2148</v>
      </c>
      <c r="C1099">
        <v>523618</v>
      </c>
      <c r="D1099" t="s">
        <v>2149</v>
      </c>
      <c r="E1099" t="s">
        <v>1744</v>
      </c>
    </row>
    <row r="1100" spans="2:5" x14ac:dyDescent="0.3">
      <c r="B1100" t="s">
        <v>2150</v>
      </c>
      <c r="C1100">
        <v>523618</v>
      </c>
      <c r="D1100" t="s">
        <v>2149</v>
      </c>
      <c r="E1100" t="s">
        <v>1744</v>
      </c>
    </row>
    <row r="1101" spans="2:5" x14ac:dyDescent="0.3">
      <c r="B1101" t="s">
        <v>2151</v>
      </c>
      <c r="C1101">
        <v>534674</v>
      </c>
      <c r="D1101" t="s">
        <v>2152</v>
      </c>
      <c r="E1101" t="s">
        <v>518</v>
      </c>
    </row>
    <row r="1102" spans="2:5" x14ac:dyDescent="0.3">
      <c r="B1102" t="s">
        <v>2153</v>
      </c>
      <c r="C1102">
        <v>511634</v>
      </c>
      <c r="D1102" t="s">
        <v>496</v>
      </c>
      <c r="E1102" t="s">
        <v>894</v>
      </c>
    </row>
    <row r="1103" spans="2:5" x14ac:dyDescent="0.3">
      <c r="B1103" t="s">
        <v>2154</v>
      </c>
      <c r="C1103">
        <v>531471</v>
      </c>
      <c r="D1103" t="s">
        <v>496</v>
      </c>
      <c r="E1103" t="s">
        <v>837</v>
      </c>
    </row>
    <row r="1104" spans="2:5" x14ac:dyDescent="0.3">
      <c r="B1104" t="s">
        <v>2155</v>
      </c>
      <c r="C1104">
        <v>504908</v>
      </c>
      <c r="D1104" t="s">
        <v>496</v>
      </c>
      <c r="E1104" t="s">
        <v>851</v>
      </c>
    </row>
    <row r="1105" spans="2:5" x14ac:dyDescent="0.3">
      <c r="B1105" t="s">
        <v>2156</v>
      </c>
      <c r="C1105">
        <v>526355</v>
      </c>
      <c r="D1105" t="s">
        <v>496</v>
      </c>
      <c r="E1105" t="s">
        <v>616</v>
      </c>
    </row>
    <row r="1106" spans="2:5" x14ac:dyDescent="0.3">
      <c r="B1106" t="s">
        <v>2157</v>
      </c>
      <c r="C1106">
        <v>517437</v>
      </c>
      <c r="D1106" t="s">
        <v>496</v>
      </c>
      <c r="E1106" t="s">
        <v>616</v>
      </c>
    </row>
    <row r="1107" spans="2:5" x14ac:dyDescent="0.3">
      <c r="B1107" t="s">
        <v>2158</v>
      </c>
      <c r="C1107">
        <v>532610</v>
      </c>
      <c r="D1107" t="s">
        <v>2159</v>
      </c>
      <c r="E1107" t="s">
        <v>1195</v>
      </c>
    </row>
    <row r="1108" spans="2:5" x14ac:dyDescent="0.3">
      <c r="B1108" t="s">
        <v>2160</v>
      </c>
      <c r="C1108">
        <v>538608</v>
      </c>
      <c r="D1108" t="s">
        <v>2161</v>
      </c>
      <c r="E1108" t="s">
        <v>862</v>
      </c>
    </row>
    <row r="1109" spans="2:5" x14ac:dyDescent="0.3">
      <c r="B1109" t="s">
        <v>2162</v>
      </c>
      <c r="C1109">
        <v>532365</v>
      </c>
      <c r="D1109" t="s">
        <v>2163</v>
      </c>
      <c r="E1109" t="s">
        <v>482</v>
      </c>
    </row>
    <row r="1110" spans="2:5" x14ac:dyDescent="0.3">
      <c r="B1110" t="s">
        <v>2164</v>
      </c>
      <c r="C1110">
        <v>505242</v>
      </c>
      <c r="D1110" t="s">
        <v>2165</v>
      </c>
      <c r="E1110" t="s">
        <v>504</v>
      </c>
    </row>
    <row r="1111" spans="2:5" x14ac:dyDescent="0.3">
      <c r="B1111" t="s">
        <v>2166</v>
      </c>
      <c r="C1111">
        <v>539681</v>
      </c>
      <c r="D1111" t="s">
        <v>496</v>
      </c>
      <c r="E1111" t="s">
        <v>513</v>
      </c>
    </row>
    <row r="1112" spans="2:5" x14ac:dyDescent="0.3">
      <c r="B1112" t="s">
        <v>2167</v>
      </c>
      <c r="C1112">
        <v>540795</v>
      </c>
      <c r="D1112" t="s">
        <v>496</v>
      </c>
      <c r="E1112" t="s">
        <v>794</v>
      </c>
    </row>
    <row r="1113" spans="2:5" x14ac:dyDescent="0.3">
      <c r="B1113" t="s">
        <v>2168</v>
      </c>
      <c r="C1113">
        <v>524818</v>
      </c>
      <c r="D1113" t="s">
        <v>496</v>
      </c>
      <c r="E1113" t="s">
        <v>656</v>
      </c>
    </row>
    <row r="1114" spans="2:5" x14ac:dyDescent="0.3">
      <c r="B1114" t="s">
        <v>2169</v>
      </c>
      <c r="C1114">
        <v>530779</v>
      </c>
      <c r="D1114" t="s">
        <v>496</v>
      </c>
      <c r="E1114" t="s">
        <v>513</v>
      </c>
    </row>
    <row r="1115" spans="2:5" x14ac:dyDescent="0.3">
      <c r="B1115" t="s">
        <v>2170</v>
      </c>
      <c r="C1115">
        <v>517238</v>
      </c>
      <c r="D1115" t="s">
        <v>496</v>
      </c>
      <c r="E1115" t="s">
        <v>1038</v>
      </c>
    </row>
    <row r="1116" spans="2:5" x14ac:dyDescent="0.3">
      <c r="B1116" t="s">
        <v>2171</v>
      </c>
      <c r="C1116">
        <v>532707</v>
      </c>
      <c r="D1116" t="s">
        <v>2172</v>
      </c>
      <c r="E1116" t="s">
        <v>656</v>
      </c>
    </row>
    <row r="1117" spans="2:5" x14ac:dyDescent="0.3">
      <c r="B1117" t="s">
        <v>2173</v>
      </c>
      <c r="C1117">
        <v>531533</v>
      </c>
      <c r="D1117" t="s">
        <v>496</v>
      </c>
      <c r="E1117" t="s">
        <v>482</v>
      </c>
    </row>
    <row r="1118" spans="2:5" x14ac:dyDescent="0.3">
      <c r="B1118" t="s">
        <v>2174</v>
      </c>
      <c r="C1118" t="s">
        <v>496</v>
      </c>
      <c r="D1118" t="s">
        <v>2175</v>
      </c>
      <c r="E1118" t="s">
        <v>507</v>
      </c>
    </row>
    <row r="1119" spans="2:5" x14ac:dyDescent="0.3">
      <c r="B1119" t="s">
        <v>2176</v>
      </c>
      <c r="C1119">
        <v>507917</v>
      </c>
      <c r="D1119" t="s">
        <v>496</v>
      </c>
      <c r="E1119" t="s">
        <v>582</v>
      </c>
    </row>
    <row r="1120" spans="2:5" x14ac:dyDescent="0.3">
      <c r="B1120" t="s">
        <v>2177</v>
      </c>
      <c r="C1120">
        <v>520081</v>
      </c>
      <c r="D1120" t="s">
        <v>496</v>
      </c>
      <c r="E1120" t="s">
        <v>528</v>
      </c>
    </row>
    <row r="1121" spans="2:5" x14ac:dyDescent="0.3">
      <c r="B1121" t="s">
        <v>2178</v>
      </c>
      <c r="C1121">
        <v>541053</v>
      </c>
      <c r="D1121" t="s">
        <v>496</v>
      </c>
      <c r="E1121" t="s">
        <v>479</v>
      </c>
    </row>
    <row r="1122" spans="2:5" x14ac:dyDescent="0.3">
      <c r="B1122" t="s">
        <v>2179</v>
      </c>
      <c r="C1122">
        <v>590022</v>
      </c>
      <c r="D1122" t="s">
        <v>2180</v>
      </c>
      <c r="E1122" t="s">
        <v>511</v>
      </c>
    </row>
    <row r="1123" spans="2:5" x14ac:dyDescent="0.3">
      <c r="B1123" t="s">
        <v>2181</v>
      </c>
      <c r="C1123">
        <v>531346</v>
      </c>
      <c r="D1123" t="s">
        <v>496</v>
      </c>
      <c r="E1123" t="s">
        <v>976</v>
      </c>
    </row>
    <row r="1124" spans="2:5" x14ac:dyDescent="0.3">
      <c r="B1124" t="s">
        <v>2182</v>
      </c>
      <c r="C1124">
        <v>532751</v>
      </c>
      <c r="D1124" t="s">
        <v>2183</v>
      </c>
      <c r="E1124" t="s">
        <v>794</v>
      </c>
    </row>
    <row r="1125" spans="2:5" x14ac:dyDescent="0.3">
      <c r="B1125" t="s">
        <v>2184</v>
      </c>
      <c r="C1125" t="s">
        <v>496</v>
      </c>
      <c r="D1125" t="s">
        <v>2185</v>
      </c>
      <c r="E1125" t="s">
        <v>587</v>
      </c>
    </row>
    <row r="1126" spans="2:5" x14ac:dyDescent="0.3">
      <c r="B1126" t="s">
        <v>2186</v>
      </c>
      <c r="C1126">
        <v>532927</v>
      </c>
      <c r="D1126" t="s">
        <v>2187</v>
      </c>
      <c r="E1126" t="s">
        <v>826</v>
      </c>
    </row>
    <row r="1127" spans="2:5" x14ac:dyDescent="0.3">
      <c r="B1127" t="s">
        <v>2188</v>
      </c>
      <c r="C1127">
        <v>534839</v>
      </c>
      <c r="D1127" t="s">
        <v>496</v>
      </c>
      <c r="E1127" t="s">
        <v>694</v>
      </c>
    </row>
    <row r="1128" spans="2:5" x14ac:dyDescent="0.3">
      <c r="B1128" t="s">
        <v>2189</v>
      </c>
      <c r="C1128">
        <v>530643</v>
      </c>
      <c r="D1128" t="s">
        <v>496</v>
      </c>
      <c r="E1128" t="s">
        <v>1038</v>
      </c>
    </row>
    <row r="1129" spans="2:5" x14ac:dyDescent="0.3">
      <c r="B1129" t="s">
        <v>2190</v>
      </c>
      <c r="C1129">
        <v>523732</v>
      </c>
      <c r="D1129" t="s">
        <v>496</v>
      </c>
      <c r="E1129" t="s">
        <v>991</v>
      </c>
    </row>
    <row r="1130" spans="2:5" x14ac:dyDescent="0.3">
      <c r="B1130" t="s">
        <v>2191</v>
      </c>
      <c r="C1130">
        <v>538708</v>
      </c>
      <c r="D1130" t="s">
        <v>496</v>
      </c>
      <c r="E1130" t="s">
        <v>513</v>
      </c>
    </row>
    <row r="1131" spans="2:5" x14ac:dyDescent="0.3">
      <c r="B1131" t="s">
        <v>2192</v>
      </c>
      <c r="C1131">
        <v>538708</v>
      </c>
      <c r="D1131" t="s">
        <v>496</v>
      </c>
      <c r="E1131" t="s">
        <v>513</v>
      </c>
    </row>
    <row r="1132" spans="2:5" x14ac:dyDescent="0.3">
      <c r="B1132" t="s">
        <v>2193</v>
      </c>
      <c r="C1132">
        <v>526703</v>
      </c>
      <c r="D1132" t="s">
        <v>496</v>
      </c>
      <c r="E1132" t="s">
        <v>616</v>
      </c>
    </row>
    <row r="1133" spans="2:5" x14ac:dyDescent="0.3">
      <c r="B1133" t="s">
        <v>2194</v>
      </c>
      <c r="C1133">
        <v>540063</v>
      </c>
      <c r="D1133" t="s">
        <v>496</v>
      </c>
      <c r="E1133" t="s">
        <v>482</v>
      </c>
    </row>
    <row r="1134" spans="2:5" x14ac:dyDescent="0.3">
      <c r="B1134" t="s">
        <v>2195</v>
      </c>
      <c r="C1134">
        <v>532922</v>
      </c>
      <c r="D1134" t="s">
        <v>2196</v>
      </c>
      <c r="E1134" t="s">
        <v>479</v>
      </c>
    </row>
    <row r="1135" spans="2:5" x14ac:dyDescent="0.3">
      <c r="B1135" t="s">
        <v>2197</v>
      </c>
      <c r="C1135">
        <v>532696</v>
      </c>
      <c r="D1135" t="s">
        <v>2198</v>
      </c>
      <c r="E1135" t="s">
        <v>601</v>
      </c>
    </row>
    <row r="1136" spans="2:5" x14ac:dyDescent="0.3">
      <c r="B1136" t="s">
        <v>2199</v>
      </c>
      <c r="C1136">
        <v>526483</v>
      </c>
      <c r="D1136" t="s">
        <v>496</v>
      </c>
      <c r="E1136" t="s">
        <v>1735</v>
      </c>
    </row>
    <row r="1137" spans="2:5" x14ac:dyDescent="0.3">
      <c r="B1137" t="s">
        <v>2200</v>
      </c>
      <c r="C1137">
        <v>535694</v>
      </c>
      <c r="D1137" t="s">
        <v>496</v>
      </c>
      <c r="E1137" t="s">
        <v>518</v>
      </c>
    </row>
    <row r="1138" spans="2:5" x14ac:dyDescent="0.3">
      <c r="B1138" t="s">
        <v>2201</v>
      </c>
      <c r="C1138">
        <v>505200</v>
      </c>
      <c r="D1138" t="s">
        <v>2202</v>
      </c>
      <c r="E1138" t="s">
        <v>1154</v>
      </c>
    </row>
    <row r="1139" spans="2:5" x14ac:dyDescent="0.3">
      <c r="B1139" t="s">
        <v>2203</v>
      </c>
      <c r="C1139">
        <v>500125</v>
      </c>
      <c r="D1139" t="s">
        <v>2204</v>
      </c>
      <c r="E1139" t="s">
        <v>1195</v>
      </c>
    </row>
    <row r="1140" spans="2:5" x14ac:dyDescent="0.3">
      <c r="B1140" t="s">
        <v>2205</v>
      </c>
      <c r="C1140">
        <v>500125</v>
      </c>
      <c r="D1140" t="s">
        <v>2204</v>
      </c>
      <c r="E1140" t="s">
        <v>1195</v>
      </c>
    </row>
    <row r="1141" spans="2:5" x14ac:dyDescent="0.3">
      <c r="B1141" t="s">
        <v>2206</v>
      </c>
      <c r="C1141">
        <v>523127</v>
      </c>
      <c r="D1141" t="s">
        <v>2207</v>
      </c>
      <c r="E1141" t="s">
        <v>697</v>
      </c>
    </row>
    <row r="1142" spans="2:5" x14ac:dyDescent="0.3">
      <c r="B1142" t="s">
        <v>2208</v>
      </c>
      <c r="C1142">
        <v>500840</v>
      </c>
      <c r="D1142" t="s">
        <v>2209</v>
      </c>
      <c r="E1142" t="s">
        <v>697</v>
      </c>
    </row>
    <row r="1143" spans="2:5" x14ac:dyDescent="0.3">
      <c r="B1143" t="s">
        <v>2210</v>
      </c>
      <c r="C1143">
        <v>523708</v>
      </c>
      <c r="D1143" t="s">
        <v>2211</v>
      </c>
      <c r="E1143" t="s">
        <v>504</v>
      </c>
    </row>
    <row r="1144" spans="2:5" x14ac:dyDescent="0.3">
      <c r="B1144" t="s">
        <v>2212</v>
      </c>
      <c r="C1144">
        <v>523708</v>
      </c>
      <c r="D1144" t="s">
        <v>2211</v>
      </c>
      <c r="E1144" t="s">
        <v>504</v>
      </c>
    </row>
    <row r="1145" spans="2:5" x14ac:dyDescent="0.3">
      <c r="B1145" t="s">
        <v>2213</v>
      </c>
      <c r="C1145">
        <v>538653</v>
      </c>
      <c r="D1145" t="s">
        <v>2214</v>
      </c>
      <c r="E1145" t="s">
        <v>862</v>
      </c>
    </row>
    <row r="1146" spans="2:5" x14ac:dyDescent="0.3">
      <c r="B1146" t="s">
        <v>2215</v>
      </c>
      <c r="C1146">
        <v>530581</v>
      </c>
      <c r="D1146" t="s">
        <v>496</v>
      </c>
      <c r="E1146" t="s">
        <v>917</v>
      </c>
    </row>
    <row r="1147" spans="2:5" x14ac:dyDescent="0.3">
      <c r="B1147" t="s">
        <v>2216</v>
      </c>
      <c r="C1147">
        <v>532820</v>
      </c>
      <c r="D1147" t="s">
        <v>2217</v>
      </c>
      <c r="E1147" t="s">
        <v>511</v>
      </c>
    </row>
    <row r="1148" spans="2:5" x14ac:dyDescent="0.3">
      <c r="B1148" t="s">
        <v>2218</v>
      </c>
      <c r="C1148">
        <v>513452</v>
      </c>
      <c r="D1148" t="s">
        <v>496</v>
      </c>
      <c r="E1148" t="s">
        <v>528</v>
      </c>
    </row>
    <row r="1149" spans="2:5" x14ac:dyDescent="0.3">
      <c r="B1149" t="s">
        <v>2219</v>
      </c>
      <c r="C1149">
        <v>500123</v>
      </c>
      <c r="D1149" t="s">
        <v>496</v>
      </c>
      <c r="E1149" t="s">
        <v>544</v>
      </c>
    </row>
    <row r="1150" spans="2:5" x14ac:dyDescent="0.3">
      <c r="B1150" t="s">
        <v>2220</v>
      </c>
      <c r="C1150">
        <v>500123</v>
      </c>
      <c r="D1150" t="s">
        <v>496</v>
      </c>
      <c r="E1150" t="s">
        <v>544</v>
      </c>
    </row>
    <row r="1151" spans="2:5" x14ac:dyDescent="0.3">
      <c r="B1151" t="s">
        <v>2221</v>
      </c>
      <c r="C1151">
        <v>503681</v>
      </c>
      <c r="D1151" t="s">
        <v>496</v>
      </c>
      <c r="E1151" t="s">
        <v>917</v>
      </c>
    </row>
    <row r="1152" spans="2:5" x14ac:dyDescent="0.3">
      <c r="B1152" t="s">
        <v>2222</v>
      </c>
      <c r="C1152">
        <v>523329</v>
      </c>
      <c r="D1152" t="s">
        <v>496</v>
      </c>
      <c r="E1152" t="s">
        <v>582</v>
      </c>
    </row>
    <row r="1153" spans="2:5" x14ac:dyDescent="0.3">
      <c r="B1153" t="s">
        <v>2223</v>
      </c>
      <c r="C1153">
        <v>505700</v>
      </c>
      <c r="D1153" t="s">
        <v>2224</v>
      </c>
      <c r="E1153" t="s">
        <v>504</v>
      </c>
    </row>
    <row r="1154" spans="2:5" x14ac:dyDescent="0.3">
      <c r="B1154" t="s">
        <v>2225</v>
      </c>
      <c r="C1154">
        <v>500128</v>
      </c>
      <c r="D1154" t="s">
        <v>2226</v>
      </c>
      <c r="E1154" t="s">
        <v>894</v>
      </c>
    </row>
    <row r="1155" spans="2:5" x14ac:dyDescent="0.3">
      <c r="B1155" t="s">
        <v>2227</v>
      </c>
      <c r="C1155">
        <v>533264</v>
      </c>
      <c r="D1155" t="s">
        <v>2228</v>
      </c>
      <c r="E1155" t="s">
        <v>894</v>
      </c>
    </row>
    <row r="1156" spans="2:5" x14ac:dyDescent="0.3">
      <c r="B1156" t="s">
        <v>2229</v>
      </c>
      <c r="C1156">
        <v>526608</v>
      </c>
      <c r="D1156" t="s">
        <v>2230</v>
      </c>
      <c r="E1156" t="s">
        <v>819</v>
      </c>
    </row>
    <row r="1157" spans="2:5" x14ac:dyDescent="0.3">
      <c r="B1157" t="s">
        <v>2231</v>
      </c>
      <c r="C1157">
        <v>526608</v>
      </c>
      <c r="D1157" t="s">
        <v>2230</v>
      </c>
      <c r="E1157" t="s">
        <v>819</v>
      </c>
    </row>
    <row r="1158" spans="2:5" x14ac:dyDescent="0.3">
      <c r="B1158" t="s">
        <v>2232</v>
      </c>
      <c r="C1158">
        <v>526473</v>
      </c>
      <c r="D1158" t="s">
        <v>496</v>
      </c>
      <c r="E1158" t="s">
        <v>694</v>
      </c>
    </row>
    <row r="1159" spans="2:5" x14ac:dyDescent="0.3">
      <c r="B1159" t="s">
        <v>2233</v>
      </c>
      <c r="C1159">
        <v>526473</v>
      </c>
      <c r="D1159" t="s">
        <v>496</v>
      </c>
      <c r="E1159" t="s">
        <v>694</v>
      </c>
    </row>
    <row r="1160" spans="2:5" x14ac:dyDescent="0.3">
      <c r="B1160" t="s">
        <v>2234</v>
      </c>
      <c r="C1160">
        <v>526705</v>
      </c>
      <c r="D1160" t="s">
        <v>496</v>
      </c>
      <c r="E1160" t="s">
        <v>518</v>
      </c>
    </row>
    <row r="1161" spans="2:5" x14ac:dyDescent="0.3">
      <c r="B1161" t="s">
        <v>2235</v>
      </c>
      <c r="C1161">
        <v>522074</v>
      </c>
      <c r="D1161" t="s">
        <v>2236</v>
      </c>
      <c r="E1161" t="s">
        <v>504</v>
      </c>
    </row>
    <row r="1162" spans="2:5" x14ac:dyDescent="0.3">
      <c r="B1162" t="s">
        <v>2237</v>
      </c>
      <c r="C1162" t="s">
        <v>496</v>
      </c>
      <c r="D1162" t="s">
        <v>2238</v>
      </c>
      <c r="E1162" t="s">
        <v>587</v>
      </c>
    </row>
    <row r="1163" spans="2:5" x14ac:dyDescent="0.3">
      <c r="B1163" t="s">
        <v>2239</v>
      </c>
      <c r="C1163">
        <v>531278</v>
      </c>
      <c r="D1163" t="s">
        <v>496</v>
      </c>
      <c r="E1163" t="s">
        <v>479</v>
      </c>
    </row>
    <row r="1164" spans="2:5" x14ac:dyDescent="0.3">
      <c r="B1164" t="s">
        <v>2240</v>
      </c>
      <c r="C1164">
        <v>517477</v>
      </c>
      <c r="D1164" t="s">
        <v>496</v>
      </c>
      <c r="E1164" t="s">
        <v>589</v>
      </c>
    </row>
    <row r="1165" spans="2:5" x14ac:dyDescent="0.3">
      <c r="B1165" t="s">
        <v>2241</v>
      </c>
      <c r="C1165">
        <v>504000</v>
      </c>
      <c r="D1165" t="s">
        <v>496</v>
      </c>
      <c r="E1165" t="s">
        <v>794</v>
      </c>
    </row>
    <row r="1166" spans="2:5" x14ac:dyDescent="0.3">
      <c r="B1166" t="s">
        <v>2242</v>
      </c>
      <c r="C1166">
        <v>522027</v>
      </c>
      <c r="D1166" t="s">
        <v>496</v>
      </c>
      <c r="E1166" t="s">
        <v>504</v>
      </c>
    </row>
    <row r="1167" spans="2:5" x14ac:dyDescent="0.3">
      <c r="B1167" t="s">
        <v>2243</v>
      </c>
      <c r="C1167">
        <v>522027</v>
      </c>
      <c r="D1167" t="s">
        <v>496</v>
      </c>
      <c r="E1167" t="s">
        <v>504</v>
      </c>
    </row>
    <row r="1168" spans="2:5" x14ac:dyDescent="0.3">
      <c r="B1168" t="s">
        <v>2244</v>
      </c>
      <c r="C1168">
        <v>531162</v>
      </c>
      <c r="D1168" t="s">
        <v>2245</v>
      </c>
      <c r="E1168" t="s">
        <v>678</v>
      </c>
    </row>
    <row r="1169" spans="2:5" x14ac:dyDescent="0.3">
      <c r="B1169" t="s">
        <v>2246</v>
      </c>
      <c r="C1169" t="s">
        <v>496</v>
      </c>
      <c r="D1169" t="s">
        <v>2247</v>
      </c>
      <c r="E1169" t="s">
        <v>678</v>
      </c>
    </row>
    <row r="1170" spans="2:5" x14ac:dyDescent="0.3">
      <c r="B1170" t="s">
        <v>2248</v>
      </c>
      <c r="C1170">
        <v>533208</v>
      </c>
      <c r="D1170" t="s">
        <v>496</v>
      </c>
      <c r="E1170" t="s">
        <v>490</v>
      </c>
    </row>
    <row r="1171" spans="2:5" x14ac:dyDescent="0.3">
      <c r="B1171" t="s">
        <v>2249</v>
      </c>
      <c r="C1171">
        <v>533218</v>
      </c>
      <c r="D1171" t="s">
        <v>2250</v>
      </c>
      <c r="E1171" t="s">
        <v>582</v>
      </c>
    </row>
    <row r="1172" spans="2:5" x14ac:dyDescent="0.3">
      <c r="B1172" t="s">
        <v>2251</v>
      </c>
      <c r="C1172">
        <v>542602</v>
      </c>
      <c r="D1172" t="s">
        <v>2252</v>
      </c>
      <c r="E1172" t="s">
        <v>516</v>
      </c>
    </row>
    <row r="1173" spans="2:5" x14ac:dyDescent="0.3">
      <c r="B1173" t="s">
        <v>2253</v>
      </c>
      <c r="C1173">
        <v>504008</v>
      </c>
      <c r="D1173" t="s">
        <v>2254</v>
      </c>
      <c r="E1173" t="s">
        <v>539</v>
      </c>
    </row>
    <row r="1174" spans="2:5" x14ac:dyDescent="0.3">
      <c r="B1174" t="s">
        <v>2255</v>
      </c>
      <c r="C1174">
        <v>538882</v>
      </c>
      <c r="D1174" t="s">
        <v>496</v>
      </c>
      <c r="E1174" t="s">
        <v>479</v>
      </c>
    </row>
    <row r="1175" spans="2:5" x14ac:dyDescent="0.3">
      <c r="B1175" t="s">
        <v>2256</v>
      </c>
      <c r="C1175">
        <v>507265</v>
      </c>
      <c r="D1175" t="s">
        <v>496</v>
      </c>
      <c r="E1175" t="s">
        <v>674</v>
      </c>
    </row>
    <row r="1176" spans="2:5" x14ac:dyDescent="0.3">
      <c r="B1176" t="s">
        <v>2257</v>
      </c>
      <c r="C1176">
        <v>530333</v>
      </c>
      <c r="D1176" t="s">
        <v>496</v>
      </c>
      <c r="E1176" t="s">
        <v>794</v>
      </c>
    </row>
    <row r="1177" spans="2:5" x14ac:dyDescent="0.3">
      <c r="B1177" t="s">
        <v>2258</v>
      </c>
      <c r="C1177">
        <v>532737</v>
      </c>
      <c r="D1177" t="s">
        <v>2259</v>
      </c>
      <c r="E1177" t="s">
        <v>479</v>
      </c>
    </row>
    <row r="1178" spans="2:5" x14ac:dyDescent="0.3">
      <c r="B1178" t="s">
        <v>2260</v>
      </c>
      <c r="C1178" t="s">
        <v>496</v>
      </c>
      <c r="D1178" t="s">
        <v>2261</v>
      </c>
      <c r="E1178" t="s">
        <v>507</v>
      </c>
    </row>
    <row r="1179" spans="2:5" x14ac:dyDescent="0.3">
      <c r="B1179" t="s">
        <v>2262</v>
      </c>
      <c r="C1179">
        <v>533161</v>
      </c>
      <c r="D1179" t="s">
        <v>2263</v>
      </c>
      <c r="E1179" t="s">
        <v>691</v>
      </c>
    </row>
    <row r="1180" spans="2:5" x14ac:dyDescent="0.3">
      <c r="B1180" t="s">
        <v>2264</v>
      </c>
      <c r="C1180">
        <v>524768</v>
      </c>
      <c r="D1180" t="s">
        <v>496</v>
      </c>
      <c r="E1180" t="s">
        <v>544</v>
      </c>
    </row>
    <row r="1181" spans="2:5" x14ac:dyDescent="0.3">
      <c r="B1181" t="s">
        <v>2265</v>
      </c>
      <c r="C1181">
        <v>532038</v>
      </c>
      <c r="D1181" t="s">
        <v>496</v>
      </c>
      <c r="E1181" t="s">
        <v>518</v>
      </c>
    </row>
    <row r="1182" spans="2:5" x14ac:dyDescent="0.3">
      <c r="B1182" t="s">
        <v>2266</v>
      </c>
      <c r="C1182">
        <v>532920</v>
      </c>
      <c r="D1182" t="s">
        <v>2267</v>
      </c>
      <c r="E1182" t="s">
        <v>1128</v>
      </c>
    </row>
    <row r="1183" spans="2:5" x14ac:dyDescent="0.3">
      <c r="B1183" t="s">
        <v>2268</v>
      </c>
      <c r="C1183">
        <v>500132</v>
      </c>
      <c r="D1183" t="s">
        <v>496</v>
      </c>
      <c r="E1183" t="s">
        <v>1195</v>
      </c>
    </row>
    <row r="1184" spans="2:5" x14ac:dyDescent="0.3">
      <c r="B1184" t="s">
        <v>2269</v>
      </c>
      <c r="C1184">
        <v>509525</v>
      </c>
      <c r="D1184" t="s">
        <v>496</v>
      </c>
      <c r="E1184" t="s">
        <v>485</v>
      </c>
    </row>
    <row r="1185" spans="2:5" x14ac:dyDescent="0.3">
      <c r="B1185" t="s">
        <v>2270</v>
      </c>
      <c r="C1185">
        <v>504351</v>
      </c>
      <c r="D1185" t="s">
        <v>496</v>
      </c>
      <c r="E1185" t="s">
        <v>482</v>
      </c>
    </row>
    <row r="1186" spans="2:5" x14ac:dyDescent="0.3">
      <c r="B1186" t="s">
        <v>2271</v>
      </c>
      <c r="C1186">
        <v>504351</v>
      </c>
      <c r="D1186" t="s">
        <v>496</v>
      </c>
      <c r="E1186" t="s">
        <v>482</v>
      </c>
    </row>
    <row r="1187" spans="2:5" x14ac:dyDescent="0.3">
      <c r="B1187" t="s">
        <v>2272</v>
      </c>
      <c r="C1187">
        <v>512441</v>
      </c>
      <c r="D1187" t="s">
        <v>496</v>
      </c>
      <c r="E1187" t="s">
        <v>917</v>
      </c>
    </row>
    <row r="1188" spans="2:5" x14ac:dyDescent="0.3">
      <c r="B1188" t="s">
        <v>2273</v>
      </c>
      <c r="C1188">
        <v>538684</v>
      </c>
      <c r="D1188" t="s">
        <v>496</v>
      </c>
      <c r="E1188" t="s">
        <v>499</v>
      </c>
    </row>
    <row r="1189" spans="2:5" x14ac:dyDescent="0.3">
      <c r="B1189" t="s">
        <v>2274</v>
      </c>
      <c r="C1189">
        <v>540153</v>
      </c>
      <c r="D1189" t="s">
        <v>2275</v>
      </c>
      <c r="E1189" t="s">
        <v>1154</v>
      </c>
    </row>
    <row r="1190" spans="2:5" x14ac:dyDescent="0.3">
      <c r="B1190" t="s">
        <v>2276</v>
      </c>
      <c r="C1190">
        <v>532219</v>
      </c>
      <c r="D1190" t="s">
        <v>2277</v>
      </c>
      <c r="E1190" t="s">
        <v>635</v>
      </c>
    </row>
    <row r="1191" spans="2:5" x14ac:dyDescent="0.3">
      <c r="B1191" t="s">
        <v>2278</v>
      </c>
      <c r="C1191">
        <v>532178</v>
      </c>
      <c r="D1191" t="s">
        <v>2279</v>
      </c>
      <c r="E1191" t="s">
        <v>580</v>
      </c>
    </row>
    <row r="1192" spans="2:5" x14ac:dyDescent="0.3">
      <c r="B1192" t="s">
        <v>2280</v>
      </c>
      <c r="C1192">
        <v>532178</v>
      </c>
      <c r="D1192" t="s">
        <v>2279</v>
      </c>
      <c r="E1192" t="s">
        <v>580</v>
      </c>
    </row>
    <row r="1193" spans="2:5" x14ac:dyDescent="0.3">
      <c r="B1193" t="s">
        <v>2281</v>
      </c>
      <c r="C1193">
        <v>533477</v>
      </c>
      <c r="D1193" t="s">
        <v>496</v>
      </c>
      <c r="E1193" t="s">
        <v>851</v>
      </c>
    </row>
    <row r="1194" spans="2:5" x14ac:dyDescent="0.3">
      <c r="B1194" t="s">
        <v>2282</v>
      </c>
      <c r="C1194">
        <v>533477</v>
      </c>
      <c r="D1194" t="s">
        <v>496</v>
      </c>
      <c r="E1194" t="s">
        <v>851</v>
      </c>
    </row>
    <row r="1195" spans="2:5" x14ac:dyDescent="0.3">
      <c r="B1195" t="s">
        <v>2283</v>
      </c>
      <c r="C1195">
        <v>526574</v>
      </c>
      <c r="D1195" t="s">
        <v>496</v>
      </c>
      <c r="E1195" t="s">
        <v>518</v>
      </c>
    </row>
    <row r="1196" spans="2:5" x14ac:dyDescent="0.3">
      <c r="B1196" t="s">
        <v>2284</v>
      </c>
      <c r="C1196">
        <v>532700</v>
      </c>
      <c r="D1196" t="s">
        <v>2285</v>
      </c>
      <c r="E1196" t="s">
        <v>1235</v>
      </c>
    </row>
    <row r="1197" spans="2:5" x14ac:dyDescent="0.3">
      <c r="B1197" t="s">
        <v>2286</v>
      </c>
      <c r="C1197">
        <v>532700</v>
      </c>
      <c r="D1197" t="s">
        <v>2285</v>
      </c>
      <c r="E1197" t="s">
        <v>1235</v>
      </c>
    </row>
    <row r="1198" spans="2:5" x14ac:dyDescent="0.3">
      <c r="B1198" t="s">
        <v>2287</v>
      </c>
      <c r="C1198">
        <v>500246</v>
      </c>
      <c r="D1198" t="s">
        <v>496</v>
      </c>
      <c r="E1198" t="s">
        <v>504</v>
      </c>
    </row>
    <row r="1199" spans="2:5" x14ac:dyDescent="0.3">
      <c r="B1199" t="s">
        <v>2288</v>
      </c>
      <c r="C1199">
        <v>532658</v>
      </c>
      <c r="D1199" t="s">
        <v>2289</v>
      </c>
      <c r="E1199" t="s">
        <v>794</v>
      </c>
    </row>
    <row r="1200" spans="2:5" x14ac:dyDescent="0.3">
      <c r="B1200" t="s">
        <v>2290</v>
      </c>
      <c r="C1200">
        <v>523754</v>
      </c>
      <c r="D1200" t="s">
        <v>496</v>
      </c>
      <c r="E1200" t="s">
        <v>616</v>
      </c>
    </row>
    <row r="1201" spans="2:5" x14ac:dyDescent="0.3">
      <c r="B1201" t="s">
        <v>2291</v>
      </c>
      <c r="C1201">
        <v>530407</v>
      </c>
      <c r="D1201" t="s">
        <v>496</v>
      </c>
      <c r="E1201" t="s">
        <v>513</v>
      </c>
    </row>
    <row r="1202" spans="2:5" x14ac:dyDescent="0.3">
      <c r="B1202" t="s">
        <v>2292</v>
      </c>
      <c r="C1202">
        <v>531155</v>
      </c>
      <c r="D1202" t="s">
        <v>496</v>
      </c>
      <c r="E1202" t="s">
        <v>534</v>
      </c>
    </row>
    <row r="1203" spans="2:5" x14ac:dyDescent="0.3">
      <c r="B1203" t="s">
        <v>2293</v>
      </c>
      <c r="C1203">
        <v>539844</v>
      </c>
      <c r="D1203" t="s">
        <v>2294</v>
      </c>
      <c r="E1203" t="s">
        <v>662</v>
      </c>
    </row>
    <row r="1204" spans="2:5" x14ac:dyDescent="0.3">
      <c r="B1204" t="s">
        <v>2295</v>
      </c>
      <c r="C1204">
        <v>540596</v>
      </c>
      <c r="D1204" t="s">
        <v>2296</v>
      </c>
      <c r="E1204" t="s">
        <v>534</v>
      </c>
    </row>
    <row r="1205" spans="2:5" x14ac:dyDescent="0.3">
      <c r="B1205" t="s">
        <v>2297</v>
      </c>
      <c r="C1205">
        <v>533261</v>
      </c>
      <c r="D1205" t="s">
        <v>2298</v>
      </c>
      <c r="E1205" t="s">
        <v>499</v>
      </c>
    </row>
    <row r="1206" spans="2:5" x14ac:dyDescent="0.3">
      <c r="B1206" t="s">
        <v>2299</v>
      </c>
      <c r="C1206">
        <v>530909</v>
      </c>
      <c r="D1206" t="s">
        <v>496</v>
      </c>
      <c r="E1206" t="s">
        <v>917</v>
      </c>
    </row>
    <row r="1207" spans="2:5" x14ac:dyDescent="0.3">
      <c r="B1207" t="s">
        <v>2300</v>
      </c>
      <c r="C1207">
        <v>531502</v>
      </c>
      <c r="D1207" t="s">
        <v>496</v>
      </c>
      <c r="E1207" t="s">
        <v>917</v>
      </c>
    </row>
    <row r="1208" spans="2:5" x14ac:dyDescent="0.3">
      <c r="B1208" t="s">
        <v>2301</v>
      </c>
      <c r="C1208">
        <v>531502</v>
      </c>
      <c r="D1208" t="s">
        <v>496</v>
      </c>
      <c r="E1208" t="s">
        <v>917</v>
      </c>
    </row>
    <row r="1209" spans="2:5" x14ac:dyDescent="0.3">
      <c r="B1209" t="s">
        <v>2302</v>
      </c>
      <c r="C1209">
        <v>500133</v>
      </c>
      <c r="D1209" t="s">
        <v>2303</v>
      </c>
      <c r="E1209" t="s">
        <v>681</v>
      </c>
    </row>
    <row r="1210" spans="2:5" x14ac:dyDescent="0.3">
      <c r="B1210" t="s">
        <v>2304</v>
      </c>
      <c r="C1210">
        <v>500133</v>
      </c>
      <c r="D1210" t="s">
        <v>2305</v>
      </c>
      <c r="E1210" t="s">
        <v>681</v>
      </c>
    </row>
    <row r="1211" spans="2:5" x14ac:dyDescent="0.3">
      <c r="B1211" t="s">
        <v>2306</v>
      </c>
      <c r="C1211">
        <v>540455</v>
      </c>
      <c r="D1211" t="s">
        <v>496</v>
      </c>
      <c r="E1211" t="s">
        <v>479</v>
      </c>
    </row>
    <row r="1212" spans="2:5" x14ac:dyDescent="0.3">
      <c r="B1212" t="s">
        <v>2307</v>
      </c>
      <c r="C1212">
        <v>511716</v>
      </c>
      <c r="D1212" t="s">
        <v>496</v>
      </c>
      <c r="E1212" t="s">
        <v>513</v>
      </c>
    </row>
    <row r="1213" spans="2:5" x14ac:dyDescent="0.3">
      <c r="B1213" t="s">
        <v>2308</v>
      </c>
      <c r="C1213">
        <v>500495</v>
      </c>
      <c r="D1213" t="s">
        <v>2309</v>
      </c>
      <c r="E1213" t="s">
        <v>574</v>
      </c>
    </row>
    <row r="1214" spans="2:5" x14ac:dyDescent="0.3">
      <c r="B1214" t="s">
        <v>2310</v>
      </c>
      <c r="C1214">
        <v>531259</v>
      </c>
      <c r="D1214" t="s">
        <v>496</v>
      </c>
      <c r="E1214" t="s">
        <v>2099</v>
      </c>
    </row>
    <row r="1215" spans="2:5" x14ac:dyDescent="0.3">
      <c r="B1215" t="s">
        <v>2311</v>
      </c>
      <c r="C1215">
        <v>514118</v>
      </c>
      <c r="D1215" t="s">
        <v>496</v>
      </c>
      <c r="E1215" t="s">
        <v>511</v>
      </c>
    </row>
    <row r="1216" spans="2:5" x14ac:dyDescent="0.3">
      <c r="B1216" t="s">
        <v>2312</v>
      </c>
      <c r="C1216">
        <v>514118</v>
      </c>
      <c r="D1216" t="s">
        <v>496</v>
      </c>
      <c r="E1216" t="s">
        <v>511</v>
      </c>
    </row>
    <row r="1217" spans="2:5" x14ac:dyDescent="0.3">
      <c r="B1217" t="s">
        <v>2313</v>
      </c>
      <c r="C1217">
        <v>532787</v>
      </c>
      <c r="D1217" t="s">
        <v>2314</v>
      </c>
      <c r="E1217" t="s">
        <v>2315</v>
      </c>
    </row>
    <row r="1218" spans="2:5" x14ac:dyDescent="0.3">
      <c r="B1218" t="s">
        <v>2316</v>
      </c>
      <c r="C1218">
        <v>533149</v>
      </c>
      <c r="D1218" t="s">
        <v>496</v>
      </c>
      <c r="E1218" t="s">
        <v>479</v>
      </c>
    </row>
    <row r="1219" spans="2:5" x14ac:dyDescent="0.3">
      <c r="B1219" t="s">
        <v>2317</v>
      </c>
      <c r="C1219">
        <v>533704</v>
      </c>
      <c r="D1219" t="s">
        <v>2318</v>
      </c>
      <c r="E1219" t="s">
        <v>1744</v>
      </c>
    </row>
    <row r="1220" spans="2:5" x14ac:dyDescent="0.3">
      <c r="B1220" t="s">
        <v>2319</v>
      </c>
      <c r="C1220">
        <v>500135</v>
      </c>
      <c r="D1220" t="s">
        <v>2320</v>
      </c>
      <c r="E1220" t="s">
        <v>691</v>
      </c>
    </row>
    <row r="1221" spans="2:5" x14ac:dyDescent="0.3">
      <c r="B1221" t="s">
        <v>2321</v>
      </c>
      <c r="C1221">
        <v>534927</v>
      </c>
      <c r="D1221" t="s">
        <v>496</v>
      </c>
      <c r="E1221" t="s">
        <v>694</v>
      </c>
    </row>
    <row r="1222" spans="2:5" x14ac:dyDescent="0.3">
      <c r="B1222" t="s">
        <v>2322</v>
      </c>
      <c r="C1222">
        <v>500136</v>
      </c>
      <c r="D1222" t="s">
        <v>2323</v>
      </c>
      <c r="E1222" t="s">
        <v>544</v>
      </c>
    </row>
    <row r="1223" spans="2:5" x14ac:dyDescent="0.3">
      <c r="B1223" t="s">
        <v>2324</v>
      </c>
      <c r="C1223">
        <v>537707</v>
      </c>
      <c r="D1223" t="s">
        <v>496</v>
      </c>
      <c r="E1223" t="s">
        <v>582</v>
      </c>
    </row>
    <row r="1224" spans="2:5" x14ac:dyDescent="0.3">
      <c r="B1224" t="s">
        <v>2325</v>
      </c>
      <c r="C1224">
        <v>521137</v>
      </c>
      <c r="D1224" t="s">
        <v>496</v>
      </c>
      <c r="E1224" t="s">
        <v>511</v>
      </c>
    </row>
    <row r="1225" spans="2:5" x14ac:dyDescent="0.3">
      <c r="B1225" t="s">
        <v>2326</v>
      </c>
      <c r="C1225">
        <v>530929</v>
      </c>
      <c r="D1225" t="s">
        <v>496</v>
      </c>
      <c r="E1225" t="s">
        <v>518</v>
      </c>
    </row>
    <row r="1226" spans="2:5" x14ac:dyDescent="0.3">
      <c r="B1226" t="s">
        <v>2327</v>
      </c>
      <c r="C1226">
        <v>532823</v>
      </c>
      <c r="D1226" t="s">
        <v>2328</v>
      </c>
      <c r="E1226" t="s">
        <v>773</v>
      </c>
    </row>
    <row r="1227" spans="2:5" x14ac:dyDescent="0.3">
      <c r="B1227" t="s">
        <v>2329</v>
      </c>
      <c r="C1227" t="s">
        <v>496</v>
      </c>
      <c r="D1227" t="s">
        <v>2330</v>
      </c>
      <c r="E1227" t="s">
        <v>507</v>
      </c>
    </row>
    <row r="1228" spans="2:5" x14ac:dyDescent="0.3">
      <c r="B1228" t="s">
        <v>2331</v>
      </c>
      <c r="C1228">
        <v>533109</v>
      </c>
      <c r="D1228" t="s">
        <v>2332</v>
      </c>
      <c r="E1228" t="s">
        <v>593</v>
      </c>
    </row>
    <row r="1229" spans="2:5" x14ac:dyDescent="0.3">
      <c r="B1229" t="s">
        <v>2333</v>
      </c>
      <c r="C1229">
        <v>521014</v>
      </c>
      <c r="D1229" t="s">
        <v>496</v>
      </c>
      <c r="E1229" t="s">
        <v>511</v>
      </c>
    </row>
    <row r="1230" spans="2:5" x14ac:dyDescent="0.3">
      <c r="B1230" t="s">
        <v>2334</v>
      </c>
      <c r="C1230" t="s">
        <v>496</v>
      </c>
      <c r="D1230" t="s">
        <v>2335</v>
      </c>
      <c r="E1230" t="s">
        <v>511</v>
      </c>
    </row>
    <row r="1231" spans="2:5" x14ac:dyDescent="0.3">
      <c r="B1231" t="s">
        <v>2336</v>
      </c>
      <c r="C1231">
        <v>542668</v>
      </c>
      <c r="D1231" t="s">
        <v>2337</v>
      </c>
      <c r="E1231" t="s">
        <v>917</v>
      </c>
    </row>
    <row r="1232" spans="2:5" x14ac:dyDescent="0.3">
      <c r="B1232" t="s">
        <v>2338</v>
      </c>
      <c r="C1232">
        <v>531508</v>
      </c>
      <c r="D1232" t="s">
        <v>2339</v>
      </c>
      <c r="E1232" t="s">
        <v>1042</v>
      </c>
    </row>
    <row r="1233" spans="2:5" x14ac:dyDescent="0.3">
      <c r="B1233" t="s">
        <v>2340</v>
      </c>
      <c r="C1233">
        <v>531508</v>
      </c>
      <c r="D1233" t="s">
        <v>2339</v>
      </c>
      <c r="E1233" t="s">
        <v>1042</v>
      </c>
    </row>
    <row r="1234" spans="2:5" x14ac:dyDescent="0.3">
      <c r="B1234" t="s">
        <v>2341</v>
      </c>
      <c r="C1234">
        <v>508906</v>
      </c>
      <c r="D1234" t="s">
        <v>2342</v>
      </c>
      <c r="E1234" t="s">
        <v>509</v>
      </c>
    </row>
    <row r="1235" spans="2:5" x14ac:dyDescent="0.3">
      <c r="B1235" t="s">
        <v>2343</v>
      </c>
      <c r="C1235">
        <v>532684</v>
      </c>
      <c r="D1235" t="s">
        <v>2344</v>
      </c>
      <c r="E1235" t="s">
        <v>1416</v>
      </c>
    </row>
    <row r="1236" spans="2:5" x14ac:dyDescent="0.3">
      <c r="B1236" t="s">
        <v>2345</v>
      </c>
      <c r="C1236">
        <v>524790</v>
      </c>
      <c r="D1236" t="s">
        <v>496</v>
      </c>
      <c r="E1236" t="s">
        <v>534</v>
      </c>
    </row>
    <row r="1237" spans="2:5" x14ac:dyDescent="0.3">
      <c r="B1237" t="s">
        <v>2346</v>
      </c>
      <c r="C1237">
        <v>514060</v>
      </c>
      <c r="D1237" t="s">
        <v>496</v>
      </c>
      <c r="E1237" t="s">
        <v>511</v>
      </c>
    </row>
    <row r="1238" spans="2:5" x14ac:dyDescent="0.3">
      <c r="B1238" t="s">
        <v>2347</v>
      </c>
      <c r="C1238">
        <v>514358</v>
      </c>
      <c r="D1238" t="s">
        <v>496</v>
      </c>
      <c r="E1238" t="s">
        <v>511</v>
      </c>
    </row>
    <row r="1239" spans="2:5" x14ac:dyDescent="0.3">
      <c r="B1239" t="s">
        <v>2348</v>
      </c>
      <c r="C1239">
        <v>532511</v>
      </c>
      <c r="D1239" t="s">
        <v>2349</v>
      </c>
      <c r="E1239" t="s">
        <v>640</v>
      </c>
    </row>
    <row r="1240" spans="2:5" x14ac:dyDescent="0.3">
      <c r="B1240" t="s">
        <v>2350</v>
      </c>
      <c r="C1240">
        <v>500650</v>
      </c>
      <c r="D1240" t="s">
        <v>2351</v>
      </c>
      <c r="E1240" t="s">
        <v>656</v>
      </c>
    </row>
    <row r="1241" spans="2:5" x14ac:dyDescent="0.3">
      <c r="B1241" t="s">
        <v>2352</v>
      </c>
      <c r="C1241">
        <v>533090</v>
      </c>
      <c r="D1241" t="s">
        <v>2353</v>
      </c>
      <c r="E1241" t="s">
        <v>826</v>
      </c>
    </row>
    <row r="1242" spans="2:5" x14ac:dyDescent="0.3">
      <c r="B1242" t="s">
        <v>2354</v>
      </c>
      <c r="C1242">
        <v>500086</v>
      </c>
      <c r="D1242" t="s">
        <v>2355</v>
      </c>
      <c r="E1242" t="s">
        <v>851</v>
      </c>
    </row>
    <row r="1243" spans="2:5" x14ac:dyDescent="0.3">
      <c r="B1243" t="s">
        <v>2356</v>
      </c>
      <c r="C1243" t="s">
        <v>496</v>
      </c>
      <c r="D1243" t="s">
        <v>2357</v>
      </c>
      <c r="E1243" t="s">
        <v>851</v>
      </c>
    </row>
    <row r="1244" spans="2:5" x14ac:dyDescent="0.3">
      <c r="B1244" t="s">
        <v>2358</v>
      </c>
      <c r="C1244">
        <v>530571</v>
      </c>
      <c r="D1244" t="s">
        <v>496</v>
      </c>
      <c r="E1244" t="s">
        <v>917</v>
      </c>
    </row>
    <row r="1245" spans="2:5" x14ac:dyDescent="0.3">
      <c r="B1245" t="s">
        <v>2359</v>
      </c>
      <c r="C1245">
        <v>526614</v>
      </c>
      <c r="D1245" t="s">
        <v>496</v>
      </c>
      <c r="E1245" t="s">
        <v>1416</v>
      </c>
    </row>
    <row r="1246" spans="2:5" x14ac:dyDescent="0.3">
      <c r="B1246" t="s">
        <v>2360</v>
      </c>
      <c r="C1246">
        <v>539552</v>
      </c>
      <c r="D1246" t="s">
        <v>496</v>
      </c>
      <c r="E1246" t="s">
        <v>513</v>
      </c>
    </row>
    <row r="1247" spans="2:5" x14ac:dyDescent="0.3">
      <c r="B1247" t="s">
        <v>2361</v>
      </c>
      <c r="C1247">
        <v>532656</v>
      </c>
      <c r="D1247" t="s">
        <v>496</v>
      </c>
      <c r="E1247" t="s">
        <v>528</v>
      </c>
    </row>
    <row r="1248" spans="2:5" x14ac:dyDescent="0.3">
      <c r="B1248" t="s">
        <v>2362</v>
      </c>
      <c r="C1248">
        <v>514474</v>
      </c>
      <c r="D1248" t="s">
        <v>496</v>
      </c>
      <c r="E1248" t="s">
        <v>511</v>
      </c>
    </row>
    <row r="1249" spans="2:5" x14ac:dyDescent="0.3">
      <c r="B1249" t="s">
        <v>2363</v>
      </c>
      <c r="C1249">
        <v>530117</v>
      </c>
      <c r="D1249" t="s">
        <v>2364</v>
      </c>
      <c r="E1249" t="s">
        <v>656</v>
      </c>
    </row>
    <row r="1250" spans="2:5" x14ac:dyDescent="0.3">
      <c r="B1250" t="s">
        <v>2365</v>
      </c>
      <c r="C1250">
        <v>530079</v>
      </c>
      <c r="D1250" t="s">
        <v>496</v>
      </c>
      <c r="E1250" t="s">
        <v>511</v>
      </c>
    </row>
    <row r="1251" spans="2:5" x14ac:dyDescent="0.3">
      <c r="B1251" t="s">
        <v>2366</v>
      </c>
      <c r="C1251">
        <v>532666</v>
      </c>
      <c r="D1251" t="s">
        <v>2367</v>
      </c>
      <c r="E1251" t="s">
        <v>482</v>
      </c>
    </row>
    <row r="1252" spans="2:5" x14ac:dyDescent="0.3">
      <c r="B1252" t="s">
        <v>2368</v>
      </c>
      <c r="C1252">
        <v>531599</v>
      </c>
      <c r="D1252" t="s">
        <v>2369</v>
      </c>
      <c r="E1252" t="s">
        <v>534</v>
      </c>
    </row>
    <row r="1253" spans="2:5" x14ac:dyDescent="0.3">
      <c r="B1253" t="s">
        <v>2370</v>
      </c>
      <c r="C1253">
        <v>505744</v>
      </c>
      <c r="D1253" t="s">
        <v>2371</v>
      </c>
      <c r="E1253" t="s">
        <v>851</v>
      </c>
    </row>
    <row r="1254" spans="2:5" x14ac:dyDescent="0.3">
      <c r="B1254" t="s">
        <v>2372</v>
      </c>
      <c r="C1254">
        <v>505744</v>
      </c>
      <c r="D1254" t="s">
        <v>2371</v>
      </c>
      <c r="E1254" t="s">
        <v>851</v>
      </c>
    </row>
    <row r="1255" spans="2:5" x14ac:dyDescent="0.3">
      <c r="B1255" t="s">
        <v>2373</v>
      </c>
      <c r="C1255" t="s">
        <v>496</v>
      </c>
      <c r="D1255" t="s">
        <v>2374</v>
      </c>
      <c r="E1255" t="s">
        <v>507</v>
      </c>
    </row>
    <row r="1256" spans="2:5" x14ac:dyDescent="0.3">
      <c r="B1256" t="s">
        <v>2375</v>
      </c>
      <c r="C1256">
        <v>526689</v>
      </c>
      <c r="D1256" t="s">
        <v>496</v>
      </c>
      <c r="E1256" t="s">
        <v>616</v>
      </c>
    </row>
    <row r="1257" spans="2:5" x14ac:dyDescent="0.3">
      <c r="B1257" t="s">
        <v>2376</v>
      </c>
      <c r="C1257">
        <v>500141</v>
      </c>
      <c r="D1257" t="s">
        <v>496</v>
      </c>
      <c r="E1257" t="s">
        <v>528</v>
      </c>
    </row>
    <row r="1258" spans="2:5" x14ac:dyDescent="0.3">
      <c r="B1258" t="s">
        <v>2377</v>
      </c>
      <c r="C1258">
        <v>590024</v>
      </c>
      <c r="D1258" t="s">
        <v>2378</v>
      </c>
      <c r="E1258" t="s">
        <v>1004</v>
      </c>
    </row>
    <row r="1259" spans="2:5" x14ac:dyDescent="0.3">
      <c r="B1259" t="s">
        <v>2379</v>
      </c>
      <c r="C1259">
        <v>533896</v>
      </c>
      <c r="D1259" t="s">
        <v>496</v>
      </c>
      <c r="E1259" t="s">
        <v>534</v>
      </c>
    </row>
    <row r="1260" spans="2:5" x14ac:dyDescent="0.3">
      <c r="B1260" t="s">
        <v>2380</v>
      </c>
      <c r="C1260">
        <v>500142</v>
      </c>
      <c r="D1260" t="s">
        <v>496</v>
      </c>
      <c r="E1260" t="s">
        <v>513</v>
      </c>
    </row>
    <row r="1261" spans="2:5" x14ac:dyDescent="0.3">
      <c r="B1261" t="s">
        <v>2381</v>
      </c>
      <c r="C1261">
        <v>507910</v>
      </c>
      <c r="D1261" t="s">
        <v>496</v>
      </c>
      <c r="E1261" t="s">
        <v>616</v>
      </c>
    </row>
    <row r="1262" spans="2:5" x14ac:dyDescent="0.3">
      <c r="B1262" t="s">
        <v>2382</v>
      </c>
      <c r="C1262">
        <v>507910</v>
      </c>
      <c r="D1262" t="s">
        <v>496</v>
      </c>
      <c r="E1262" t="s">
        <v>616</v>
      </c>
    </row>
    <row r="1263" spans="2:5" x14ac:dyDescent="0.3">
      <c r="B1263" t="s">
        <v>2383</v>
      </c>
      <c r="C1263">
        <v>532768</v>
      </c>
      <c r="D1263" t="s">
        <v>2384</v>
      </c>
      <c r="E1263" t="s">
        <v>851</v>
      </c>
    </row>
    <row r="1264" spans="2:5" x14ac:dyDescent="0.3">
      <c r="B1264" t="s">
        <v>2385</v>
      </c>
      <c r="C1264">
        <v>526227</v>
      </c>
      <c r="D1264" t="s">
        <v>2386</v>
      </c>
      <c r="E1264" t="s">
        <v>511</v>
      </c>
    </row>
    <row r="1265" spans="2:5" x14ac:dyDescent="0.3">
      <c r="B1265" t="s">
        <v>2387</v>
      </c>
      <c r="C1265">
        <v>532022</v>
      </c>
      <c r="D1265" t="s">
        <v>496</v>
      </c>
      <c r="E1265" t="s">
        <v>511</v>
      </c>
    </row>
    <row r="1266" spans="2:5" x14ac:dyDescent="0.3">
      <c r="B1266" t="s">
        <v>2388</v>
      </c>
      <c r="C1266">
        <v>526227</v>
      </c>
      <c r="D1266" t="s">
        <v>2386</v>
      </c>
      <c r="E1266" t="s">
        <v>511</v>
      </c>
    </row>
    <row r="1267" spans="2:5" x14ac:dyDescent="0.3">
      <c r="B1267" t="s">
        <v>2389</v>
      </c>
      <c r="C1267">
        <v>539098</v>
      </c>
      <c r="D1267" t="s">
        <v>496</v>
      </c>
      <c r="E1267" t="s">
        <v>521</v>
      </c>
    </row>
    <row r="1268" spans="2:5" x14ac:dyDescent="0.3">
      <c r="B1268" t="s">
        <v>2390</v>
      </c>
      <c r="C1268">
        <v>541557</v>
      </c>
      <c r="D1268" t="s">
        <v>2391</v>
      </c>
      <c r="E1268" t="s">
        <v>656</v>
      </c>
    </row>
    <row r="1269" spans="2:5" x14ac:dyDescent="0.3">
      <c r="B1269" t="s">
        <v>2392</v>
      </c>
      <c r="C1269">
        <v>517264</v>
      </c>
      <c r="D1269" t="s">
        <v>2393</v>
      </c>
      <c r="E1269" t="s">
        <v>1038</v>
      </c>
    </row>
    <row r="1270" spans="2:5" x14ac:dyDescent="0.3">
      <c r="B1270" t="s">
        <v>2394</v>
      </c>
      <c r="C1270">
        <v>533333</v>
      </c>
      <c r="D1270" t="s">
        <v>2395</v>
      </c>
      <c r="E1270" t="s">
        <v>656</v>
      </c>
    </row>
    <row r="1271" spans="2:5" x14ac:dyDescent="0.3">
      <c r="B1271" t="s">
        <v>2396</v>
      </c>
      <c r="C1271">
        <v>508954</v>
      </c>
      <c r="D1271" t="s">
        <v>496</v>
      </c>
      <c r="E1271" t="s">
        <v>513</v>
      </c>
    </row>
    <row r="1272" spans="2:5" x14ac:dyDescent="0.3">
      <c r="B1272" t="s">
        <v>2397</v>
      </c>
      <c r="C1272">
        <v>500144</v>
      </c>
      <c r="D1272" t="s">
        <v>2398</v>
      </c>
      <c r="E1272" t="s">
        <v>794</v>
      </c>
    </row>
    <row r="1273" spans="2:5" x14ac:dyDescent="0.3">
      <c r="B1273" t="s">
        <v>2399</v>
      </c>
      <c r="C1273">
        <v>500940</v>
      </c>
      <c r="D1273" t="s">
        <v>2400</v>
      </c>
      <c r="E1273" t="s">
        <v>616</v>
      </c>
    </row>
    <row r="1274" spans="2:5" x14ac:dyDescent="0.3">
      <c r="B1274" t="s">
        <v>2401</v>
      </c>
      <c r="C1274">
        <v>511122</v>
      </c>
      <c r="D1274" t="s">
        <v>496</v>
      </c>
      <c r="E1274" t="s">
        <v>513</v>
      </c>
    </row>
    <row r="1275" spans="2:5" x14ac:dyDescent="0.3">
      <c r="B1275" t="s">
        <v>2402</v>
      </c>
      <c r="C1275">
        <v>511122</v>
      </c>
      <c r="D1275" t="s">
        <v>496</v>
      </c>
      <c r="E1275" t="s">
        <v>513</v>
      </c>
    </row>
    <row r="1276" spans="2:5" x14ac:dyDescent="0.3">
      <c r="B1276" t="s">
        <v>2403</v>
      </c>
      <c r="C1276">
        <v>532379</v>
      </c>
      <c r="D1276" t="s">
        <v>496</v>
      </c>
      <c r="E1276" t="s">
        <v>589</v>
      </c>
    </row>
    <row r="1277" spans="2:5" x14ac:dyDescent="0.3">
      <c r="B1277" t="s">
        <v>2404</v>
      </c>
      <c r="C1277">
        <v>532809</v>
      </c>
      <c r="D1277" t="s">
        <v>2405</v>
      </c>
      <c r="E1277" t="s">
        <v>826</v>
      </c>
    </row>
    <row r="1278" spans="2:5" x14ac:dyDescent="0.3">
      <c r="B1278" t="s">
        <v>2406</v>
      </c>
      <c r="C1278">
        <v>524743</v>
      </c>
      <c r="D1278" t="s">
        <v>496</v>
      </c>
      <c r="E1278" t="s">
        <v>544</v>
      </c>
    </row>
    <row r="1279" spans="2:5" x14ac:dyDescent="0.3">
      <c r="B1279" t="s">
        <v>2407</v>
      </c>
      <c r="C1279" t="s">
        <v>496</v>
      </c>
      <c r="D1279" t="s">
        <v>2408</v>
      </c>
      <c r="E1279" t="s">
        <v>507</v>
      </c>
    </row>
    <row r="1280" spans="2:5" x14ac:dyDescent="0.3">
      <c r="B1280" t="s">
        <v>2409</v>
      </c>
      <c r="C1280">
        <v>530885</v>
      </c>
      <c r="D1280" t="s">
        <v>496</v>
      </c>
      <c r="E1280" t="s">
        <v>482</v>
      </c>
    </row>
    <row r="1281" spans="2:5" x14ac:dyDescent="0.3">
      <c r="B1281" t="s">
        <v>2410</v>
      </c>
      <c r="C1281">
        <v>536751</v>
      </c>
      <c r="D1281" t="s">
        <v>496</v>
      </c>
      <c r="E1281" t="s">
        <v>479</v>
      </c>
    </row>
    <row r="1282" spans="2:5" x14ac:dyDescent="0.3">
      <c r="B1282" t="s">
        <v>2411</v>
      </c>
      <c r="C1282">
        <v>523672</v>
      </c>
      <c r="D1282" t="s">
        <v>496</v>
      </c>
      <c r="E1282" t="s">
        <v>694</v>
      </c>
    </row>
    <row r="1283" spans="2:5" x14ac:dyDescent="0.3">
      <c r="B1283" t="s">
        <v>2412</v>
      </c>
      <c r="C1283">
        <v>533638</v>
      </c>
      <c r="D1283" t="s">
        <v>2413</v>
      </c>
      <c r="E1283" t="s">
        <v>616</v>
      </c>
    </row>
    <row r="1284" spans="2:5" x14ac:dyDescent="0.3">
      <c r="B1284" t="s">
        <v>2414</v>
      </c>
      <c r="C1284">
        <v>540267</v>
      </c>
      <c r="D1284" t="s">
        <v>496</v>
      </c>
      <c r="E1284" t="s">
        <v>518</v>
      </c>
    </row>
    <row r="1285" spans="2:5" x14ac:dyDescent="0.3">
      <c r="B1285" t="s">
        <v>2415</v>
      </c>
      <c r="C1285">
        <v>530705</v>
      </c>
      <c r="D1285" t="s">
        <v>496</v>
      </c>
      <c r="E1285" t="s">
        <v>511</v>
      </c>
    </row>
    <row r="1286" spans="2:5" x14ac:dyDescent="0.3">
      <c r="B1286" t="s">
        <v>2416</v>
      </c>
      <c r="C1286">
        <v>532518</v>
      </c>
      <c r="D1286" t="s">
        <v>496</v>
      </c>
      <c r="E1286" t="s">
        <v>516</v>
      </c>
    </row>
    <row r="1287" spans="2:5" x14ac:dyDescent="0.3">
      <c r="B1287" t="s">
        <v>2417</v>
      </c>
      <c r="C1287">
        <v>522017</v>
      </c>
      <c r="D1287" t="s">
        <v>496</v>
      </c>
      <c r="E1287" t="s">
        <v>794</v>
      </c>
    </row>
    <row r="1288" spans="2:5" x14ac:dyDescent="0.3">
      <c r="B1288" t="s">
        <v>2418</v>
      </c>
      <c r="C1288">
        <v>534757</v>
      </c>
      <c r="D1288" t="s">
        <v>496</v>
      </c>
      <c r="E1288" t="s">
        <v>513</v>
      </c>
    </row>
    <row r="1289" spans="2:5" x14ac:dyDescent="0.3">
      <c r="B1289" t="s">
        <v>2419</v>
      </c>
      <c r="C1289" t="s">
        <v>496</v>
      </c>
      <c r="D1289" t="s">
        <v>2420</v>
      </c>
      <c r="E1289" t="s">
        <v>507</v>
      </c>
    </row>
    <row r="1290" spans="2:5" x14ac:dyDescent="0.3">
      <c r="B1290" t="s">
        <v>2421</v>
      </c>
      <c r="C1290">
        <v>540945</v>
      </c>
      <c r="D1290" t="s">
        <v>496</v>
      </c>
      <c r="E1290" t="s">
        <v>580</v>
      </c>
    </row>
    <row r="1291" spans="2:5" x14ac:dyDescent="0.3">
      <c r="B1291" t="s">
        <v>2422</v>
      </c>
      <c r="C1291">
        <v>503831</v>
      </c>
      <c r="D1291" t="s">
        <v>496</v>
      </c>
      <c r="E1291" t="s">
        <v>697</v>
      </c>
    </row>
    <row r="1292" spans="2:5" x14ac:dyDescent="0.3">
      <c r="B1292" t="s">
        <v>2423</v>
      </c>
      <c r="C1292">
        <v>507552</v>
      </c>
      <c r="D1292" t="s">
        <v>496</v>
      </c>
      <c r="E1292" t="s">
        <v>576</v>
      </c>
    </row>
    <row r="1293" spans="2:5" x14ac:dyDescent="0.3">
      <c r="B1293" t="s">
        <v>2424</v>
      </c>
      <c r="C1293">
        <v>502865</v>
      </c>
      <c r="D1293" t="s">
        <v>496</v>
      </c>
      <c r="E1293" t="s">
        <v>504</v>
      </c>
    </row>
    <row r="1294" spans="2:5" x14ac:dyDescent="0.3">
      <c r="B1294" t="s">
        <v>2425</v>
      </c>
      <c r="C1294">
        <v>500033</v>
      </c>
      <c r="D1294" t="s">
        <v>496</v>
      </c>
      <c r="E1294" t="s">
        <v>2426</v>
      </c>
    </row>
    <row r="1295" spans="2:5" x14ac:dyDescent="0.3">
      <c r="B1295" t="s">
        <v>2427</v>
      </c>
      <c r="C1295">
        <v>532843</v>
      </c>
      <c r="D1295" t="s">
        <v>2428</v>
      </c>
      <c r="E1295" t="s">
        <v>966</v>
      </c>
    </row>
    <row r="1296" spans="2:5" x14ac:dyDescent="0.3">
      <c r="B1296" t="s">
        <v>2429</v>
      </c>
      <c r="C1296">
        <v>523696</v>
      </c>
      <c r="D1296" t="s">
        <v>496</v>
      </c>
      <c r="E1296" t="s">
        <v>685</v>
      </c>
    </row>
    <row r="1297" spans="2:5" x14ac:dyDescent="0.3">
      <c r="B1297" t="s">
        <v>2430</v>
      </c>
      <c r="C1297">
        <v>530213</v>
      </c>
      <c r="D1297" t="s">
        <v>496</v>
      </c>
      <c r="E1297" t="s">
        <v>518</v>
      </c>
    </row>
    <row r="1298" spans="2:5" x14ac:dyDescent="0.3">
      <c r="B1298" t="s">
        <v>2431</v>
      </c>
      <c r="C1298">
        <v>500150</v>
      </c>
      <c r="D1298" t="s">
        <v>2432</v>
      </c>
      <c r="E1298" t="s">
        <v>544</v>
      </c>
    </row>
    <row r="1299" spans="2:5" x14ac:dyDescent="0.3">
      <c r="B1299" t="s">
        <v>2433</v>
      </c>
      <c r="C1299">
        <v>500150</v>
      </c>
      <c r="D1299" t="s">
        <v>2432</v>
      </c>
      <c r="E1299" t="s">
        <v>544</v>
      </c>
    </row>
    <row r="1300" spans="2:5" x14ac:dyDescent="0.3">
      <c r="B1300" t="s">
        <v>2434</v>
      </c>
      <c r="C1300">
        <v>513579</v>
      </c>
      <c r="D1300" t="s">
        <v>496</v>
      </c>
      <c r="E1300" t="s">
        <v>1174</v>
      </c>
    </row>
    <row r="1301" spans="2:5" x14ac:dyDescent="0.3">
      <c r="B1301" t="s">
        <v>2435</v>
      </c>
      <c r="C1301" t="s">
        <v>496</v>
      </c>
      <c r="D1301" t="s">
        <v>2436</v>
      </c>
      <c r="E1301" t="s">
        <v>507</v>
      </c>
    </row>
    <row r="1302" spans="2:5" x14ac:dyDescent="0.3">
      <c r="B1302" t="s">
        <v>2437</v>
      </c>
      <c r="C1302">
        <v>532403</v>
      </c>
      <c r="D1302" t="s">
        <v>496</v>
      </c>
      <c r="E1302" t="s">
        <v>589</v>
      </c>
    </row>
    <row r="1303" spans="2:5" x14ac:dyDescent="0.3">
      <c r="B1303" t="s">
        <v>2438</v>
      </c>
      <c r="C1303">
        <v>540190</v>
      </c>
      <c r="D1303" t="s">
        <v>496</v>
      </c>
      <c r="E1303" t="s">
        <v>518</v>
      </c>
    </row>
    <row r="1304" spans="2:5" x14ac:dyDescent="0.3">
      <c r="B1304" t="s">
        <v>2439</v>
      </c>
      <c r="C1304">
        <v>539839</v>
      </c>
      <c r="D1304" t="s">
        <v>496</v>
      </c>
      <c r="E1304" t="s">
        <v>513</v>
      </c>
    </row>
    <row r="1305" spans="2:5" x14ac:dyDescent="0.3">
      <c r="B1305" t="s">
        <v>2440</v>
      </c>
      <c r="C1305">
        <v>539032</v>
      </c>
      <c r="D1305" t="s">
        <v>2441</v>
      </c>
      <c r="E1305" t="s">
        <v>862</v>
      </c>
    </row>
    <row r="1306" spans="2:5" x14ac:dyDescent="0.3">
      <c r="B1306" t="s">
        <v>2442</v>
      </c>
      <c r="C1306">
        <v>539730</v>
      </c>
      <c r="D1306" t="s">
        <v>496</v>
      </c>
      <c r="E1306" t="s">
        <v>534</v>
      </c>
    </row>
    <row r="1307" spans="2:5" x14ac:dyDescent="0.3">
      <c r="B1307" t="s">
        <v>2443</v>
      </c>
      <c r="C1307">
        <v>530077</v>
      </c>
      <c r="D1307" t="s">
        <v>496</v>
      </c>
      <c r="E1307" t="s">
        <v>694</v>
      </c>
    </row>
    <row r="1308" spans="2:5" x14ac:dyDescent="0.3">
      <c r="B1308" t="s">
        <v>2444</v>
      </c>
      <c r="C1308">
        <v>508980</v>
      </c>
      <c r="D1308" t="s">
        <v>496</v>
      </c>
      <c r="E1308" t="s">
        <v>917</v>
      </c>
    </row>
    <row r="1309" spans="2:5" x14ac:dyDescent="0.3">
      <c r="B1309" t="s">
        <v>2445</v>
      </c>
      <c r="C1309">
        <v>522195</v>
      </c>
      <c r="D1309" t="s">
        <v>496</v>
      </c>
      <c r="E1309" t="s">
        <v>851</v>
      </c>
    </row>
    <row r="1310" spans="2:5" x14ac:dyDescent="0.3">
      <c r="B1310" t="s">
        <v>2446</v>
      </c>
      <c r="C1310">
        <v>521167</v>
      </c>
      <c r="D1310" t="s">
        <v>2447</v>
      </c>
      <c r="E1310" t="s">
        <v>1052</v>
      </c>
    </row>
    <row r="1311" spans="2:5" x14ac:dyDescent="0.3">
      <c r="B1311" t="s">
        <v>2448</v>
      </c>
      <c r="C1311">
        <v>532042</v>
      </c>
      <c r="D1311" t="s">
        <v>496</v>
      </c>
      <c r="E1311" t="s">
        <v>568</v>
      </c>
    </row>
    <row r="1312" spans="2:5" x14ac:dyDescent="0.3">
      <c r="B1312" t="s">
        <v>2449</v>
      </c>
      <c r="C1312">
        <v>533213</v>
      </c>
      <c r="D1312" t="s">
        <v>496</v>
      </c>
      <c r="E1312" t="s">
        <v>479</v>
      </c>
    </row>
    <row r="1313" spans="2:5" x14ac:dyDescent="0.3">
      <c r="B1313" t="s">
        <v>2450</v>
      </c>
      <c r="C1313">
        <v>538568</v>
      </c>
      <c r="D1313" t="s">
        <v>496</v>
      </c>
      <c r="E1313" t="s">
        <v>518</v>
      </c>
    </row>
    <row r="1314" spans="2:5" x14ac:dyDescent="0.3">
      <c r="B1314" t="s">
        <v>2451</v>
      </c>
      <c r="C1314">
        <v>539169</v>
      </c>
      <c r="D1314" t="s">
        <v>496</v>
      </c>
      <c r="E1314" t="s">
        <v>482</v>
      </c>
    </row>
    <row r="1315" spans="2:5" x14ac:dyDescent="0.3">
      <c r="B1315" t="s">
        <v>2452</v>
      </c>
      <c r="C1315">
        <v>533400</v>
      </c>
      <c r="D1315" t="s">
        <v>2453</v>
      </c>
      <c r="E1315" t="s">
        <v>556</v>
      </c>
    </row>
    <row r="1316" spans="2:5" x14ac:dyDescent="0.3">
      <c r="B1316" t="s">
        <v>2454</v>
      </c>
      <c r="C1316">
        <v>523574</v>
      </c>
      <c r="D1316" t="s">
        <v>2455</v>
      </c>
      <c r="E1316" t="s">
        <v>665</v>
      </c>
    </row>
    <row r="1317" spans="2:5" x14ac:dyDescent="0.3">
      <c r="B1317" t="s">
        <v>2454</v>
      </c>
      <c r="C1317">
        <v>570002</v>
      </c>
      <c r="D1317" t="s">
        <v>2456</v>
      </c>
      <c r="E1317" t="s">
        <v>665</v>
      </c>
    </row>
    <row r="1318" spans="2:5" x14ac:dyDescent="0.3">
      <c r="B1318" t="s">
        <v>2457</v>
      </c>
      <c r="C1318">
        <v>536507</v>
      </c>
      <c r="D1318" t="s">
        <v>2458</v>
      </c>
      <c r="E1318" t="s">
        <v>665</v>
      </c>
    </row>
    <row r="1319" spans="2:5" x14ac:dyDescent="0.3">
      <c r="B1319" t="s">
        <v>2459</v>
      </c>
      <c r="C1319">
        <v>533296</v>
      </c>
      <c r="D1319" t="s">
        <v>2460</v>
      </c>
      <c r="E1319" t="s">
        <v>665</v>
      </c>
    </row>
    <row r="1320" spans="2:5" x14ac:dyDescent="0.3">
      <c r="B1320" t="s">
        <v>2461</v>
      </c>
      <c r="C1320">
        <v>540064</v>
      </c>
      <c r="D1320" t="s">
        <v>2462</v>
      </c>
      <c r="E1320" t="s">
        <v>665</v>
      </c>
    </row>
    <row r="1321" spans="2:5" x14ac:dyDescent="0.3">
      <c r="B1321" t="s">
        <v>2463</v>
      </c>
      <c r="C1321">
        <v>540798</v>
      </c>
      <c r="D1321" t="s">
        <v>2464</v>
      </c>
      <c r="E1321" t="s">
        <v>817</v>
      </c>
    </row>
    <row r="1322" spans="2:5" x14ac:dyDescent="0.3">
      <c r="B1322" t="s">
        <v>2465</v>
      </c>
      <c r="C1322">
        <v>523113</v>
      </c>
      <c r="D1322" t="s">
        <v>496</v>
      </c>
      <c r="E1322" t="s">
        <v>513</v>
      </c>
    </row>
    <row r="1323" spans="2:5" x14ac:dyDescent="0.3">
      <c r="B1323" t="s">
        <v>2466</v>
      </c>
      <c r="C1323">
        <v>534063</v>
      </c>
      <c r="D1323" t="s">
        <v>496</v>
      </c>
      <c r="E1323" t="s">
        <v>479</v>
      </c>
    </row>
    <row r="1324" spans="2:5" x14ac:dyDescent="0.3">
      <c r="B1324" t="s">
        <v>2467</v>
      </c>
      <c r="C1324">
        <v>504346</v>
      </c>
      <c r="D1324" t="s">
        <v>496</v>
      </c>
      <c r="E1324" t="s">
        <v>479</v>
      </c>
    </row>
    <row r="1325" spans="2:5" x14ac:dyDescent="0.3">
      <c r="B1325" t="s">
        <v>2468</v>
      </c>
      <c r="C1325">
        <v>505250</v>
      </c>
      <c r="D1325" t="s">
        <v>496</v>
      </c>
      <c r="E1325" t="s">
        <v>504</v>
      </c>
    </row>
    <row r="1326" spans="2:5" x14ac:dyDescent="0.3">
      <c r="B1326" t="s">
        <v>2469</v>
      </c>
      <c r="C1326">
        <v>540614</v>
      </c>
      <c r="D1326" t="s">
        <v>496</v>
      </c>
      <c r="E1326" t="s">
        <v>539</v>
      </c>
    </row>
    <row r="1327" spans="2:5" x14ac:dyDescent="0.3">
      <c r="B1327" t="s">
        <v>2470</v>
      </c>
      <c r="C1327">
        <v>531758</v>
      </c>
      <c r="D1327" t="s">
        <v>496</v>
      </c>
      <c r="E1327" t="s">
        <v>513</v>
      </c>
    </row>
    <row r="1328" spans="2:5" x14ac:dyDescent="0.3">
      <c r="B1328" t="s">
        <v>2471</v>
      </c>
      <c r="C1328">
        <v>513059</v>
      </c>
      <c r="D1328" t="s">
        <v>496</v>
      </c>
      <c r="E1328" t="s">
        <v>851</v>
      </c>
    </row>
    <row r="1329" spans="2:5" x14ac:dyDescent="0.3">
      <c r="B1329" t="s">
        <v>2472</v>
      </c>
      <c r="C1329">
        <v>542666</v>
      </c>
      <c r="D1329" t="s">
        <v>2473</v>
      </c>
      <c r="E1329" t="s">
        <v>2474</v>
      </c>
    </row>
    <row r="1330" spans="2:5" x14ac:dyDescent="0.3">
      <c r="B1330" t="s">
        <v>2475</v>
      </c>
      <c r="C1330">
        <v>505714</v>
      </c>
      <c r="D1330" t="s">
        <v>2476</v>
      </c>
      <c r="E1330" t="s">
        <v>851</v>
      </c>
    </row>
    <row r="1331" spans="2:5" x14ac:dyDescent="0.3">
      <c r="B1331" t="s">
        <v>2477</v>
      </c>
      <c r="C1331">
        <v>505714</v>
      </c>
      <c r="D1331" t="s">
        <v>2476</v>
      </c>
      <c r="E1331" t="s">
        <v>851</v>
      </c>
    </row>
    <row r="1332" spans="2:5" x14ac:dyDescent="0.3">
      <c r="B1332" t="s">
        <v>2478</v>
      </c>
      <c r="C1332">
        <v>524624</v>
      </c>
      <c r="D1332" t="s">
        <v>2479</v>
      </c>
      <c r="E1332" t="s">
        <v>2480</v>
      </c>
    </row>
    <row r="1333" spans="2:5" x14ac:dyDescent="0.3">
      <c r="B1333" t="s">
        <v>2481</v>
      </c>
      <c r="C1333">
        <v>531196</v>
      </c>
      <c r="D1333" t="s">
        <v>496</v>
      </c>
      <c r="E1333" t="s">
        <v>518</v>
      </c>
    </row>
    <row r="1334" spans="2:5" x14ac:dyDescent="0.3">
      <c r="B1334" t="s">
        <v>2482</v>
      </c>
      <c r="C1334">
        <v>531196</v>
      </c>
      <c r="D1334" t="s">
        <v>496</v>
      </c>
      <c r="E1334" t="s">
        <v>518</v>
      </c>
    </row>
    <row r="1335" spans="2:5" x14ac:dyDescent="0.3">
      <c r="B1335" t="s">
        <v>2483</v>
      </c>
      <c r="C1335">
        <v>532155</v>
      </c>
      <c r="D1335" t="s">
        <v>2484</v>
      </c>
      <c r="E1335" t="s">
        <v>521</v>
      </c>
    </row>
    <row r="1336" spans="2:5" x14ac:dyDescent="0.3">
      <c r="B1336" t="s">
        <v>2485</v>
      </c>
      <c r="C1336">
        <v>532155</v>
      </c>
      <c r="D1336" t="s">
        <v>2484</v>
      </c>
      <c r="E1336" t="s">
        <v>521</v>
      </c>
    </row>
    <row r="1337" spans="2:5" x14ac:dyDescent="0.3">
      <c r="B1337" t="s">
        <v>2486</v>
      </c>
      <c r="C1337">
        <v>538609</v>
      </c>
      <c r="D1337" t="s">
        <v>496</v>
      </c>
      <c r="E1337" t="s">
        <v>479</v>
      </c>
    </row>
    <row r="1338" spans="2:5" x14ac:dyDescent="0.3">
      <c r="B1338" t="s">
        <v>2487</v>
      </c>
      <c r="C1338">
        <v>505711</v>
      </c>
      <c r="D1338" t="s">
        <v>496</v>
      </c>
      <c r="E1338" t="s">
        <v>851</v>
      </c>
    </row>
    <row r="1339" spans="2:5" x14ac:dyDescent="0.3">
      <c r="B1339" t="s">
        <v>2488</v>
      </c>
      <c r="C1339">
        <v>539228</v>
      </c>
      <c r="D1339" t="s">
        <v>496</v>
      </c>
      <c r="E1339" t="s">
        <v>2489</v>
      </c>
    </row>
    <row r="1340" spans="2:5" x14ac:dyDescent="0.3">
      <c r="B1340" t="s">
        <v>2490</v>
      </c>
      <c r="C1340">
        <v>538881</v>
      </c>
      <c r="D1340" t="s">
        <v>496</v>
      </c>
      <c r="E1340" t="s">
        <v>513</v>
      </c>
    </row>
    <row r="1341" spans="2:5" x14ac:dyDescent="0.3">
      <c r="B1341" t="s">
        <v>2491</v>
      </c>
      <c r="C1341">
        <v>504697</v>
      </c>
      <c r="D1341" t="s">
        <v>496</v>
      </c>
      <c r="E1341" t="s">
        <v>794</v>
      </c>
    </row>
    <row r="1342" spans="2:5" x14ac:dyDescent="0.3">
      <c r="B1342" t="s">
        <v>2492</v>
      </c>
      <c r="C1342">
        <v>531911</v>
      </c>
      <c r="D1342" t="s">
        <v>496</v>
      </c>
      <c r="E1342" t="s">
        <v>504</v>
      </c>
    </row>
    <row r="1343" spans="2:5" x14ac:dyDescent="0.3">
      <c r="B1343" t="s">
        <v>2493</v>
      </c>
      <c r="C1343">
        <v>526073</v>
      </c>
      <c r="D1343" t="s">
        <v>496</v>
      </c>
      <c r="E1343" t="s">
        <v>681</v>
      </c>
    </row>
    <row r="1344" spans="2:5" x14ac:dyDescent="0.3">
      <c r="B1344" t="s">
        <v>2494</v>
      </c>
      <c r="C1344">
        <v>506186</v>
      </c>
      <c r="D1344" t="s">
        <v>496</v>
      </c>
      <c r="E1344" t="s">
        <v>499</v>
      </c>
    </row>
    <row r="1345" spans="2:5" x14ac:dyDescent="0.3">
      <c r="B1345" t="s">
        <v>2495</v>
      </c>
      <c r="C1345">
        <v>540935</v>
      </c>
      <c r="D1345" t="s">
        <v>2496</v>
      </c>
      <c r="E1345" t="s">
        <v>656</v>
      </c>
    </row>
    <row r="1346" spans="2:5" x14ac:dyDescent="0.3">
      <c r="B1346" t="s">
        <v>2497</v>
      </c>
      <c r="C1346">
        <v>533265</v>
      </c>
      <c r="D1346" t="s">
        <v>2498</v>
      </c>
      <c r="E1346" t="s">
        <v>528</v>
      </c>
    </row>
    <row r="1347" spans="2:5" x14ac:dyDescent="0.3">
      <c r="B1347" t="s">
        <v>2499</v>
      </c>
      <c r="C1347">
        <v>532726</v>
      </c>
      <c r="D1347" t="s">
        <v>2500</v>
      </c>
      <c r="E1347" t="s">
        <v>528</v>
      </c>
    </row>
    <row r="1348" spans="2:5" x14ac:dyDescent="0.3">
      <c r="B1348" t="s">
        <v>2501</v>
      </c>
      <c r="C1348">
        <v>531902</v>
      </c>
      <c r="D1348" t="s">
        <v>2502</v>
      </c>
      <c r="E1348" t="s">
        <v>582</v>
      </c>
    </row>
    <row r="1349" spans="2:5" x14ac:dyDescent="0.3">
      <c r="B1349" t="s">
        <v>2503</v>
      </c>
      <c r="C1349">
        <v>532959</v>
      </c>
      <c r="D1349" t="s">
        <v>2504</v>
      </c>
      <c r="E1349" t="s">
        <v>894</v>
      </c>
    </row>
    <row r="1350" spans="2:5" x14ac:dyDescent="0.3">
      <c r="B1350" t="s">
        <v>2505</v>
      </c>
      <c r="C1350">
        <v>513108</v>
      </c>
      <c r="D1350" t="s">
        <v>2506</v>
      </c>
      <c r="E1350" t="s">
        <v>819</v>
      </c>
    </row>
    <row r="1351" spans="2:5" x14ac:dyDescent="0.3">
      <c r="B1351" t="s">
        <v>2507</v>
      </c>
      <c r="C1351">
        <v>500153</v>
      </c>
      <c r="D1351" t="s">
        <v>496</v>
      </c>
      <c r="E1351" t="s">
        <v>544</v>
      </c>
    </row>
    <row r="1352" spans="2:5" x14ac:dyDescent="0.3">
      <c r="B1352" t="s">
        <v>2508</v>
      </c>
      <c r="C1352">
        <v>541703</v>
      </c>
      <c r="D1352" t="s">
        <v>496</v>
      </c>
      <c r="E1352" t="s">
        <v>497</v>
      </c>
    </row>
    <row r="1353" spans="2:5" x14ac:dyDescent="0.3">
      <c r="B1353" t="s">
        <v>2509</v>
      </c>
      <c r="C1353">
        <v>541703</v>
      </c>
      <c r="D1353" t="s">
        <v>496</v>
      </c>
      <c r="E1353" t="s">
        <v>497</v>
      </c>
    </row>
    <row r="1354" spans="2:5" x14ac:dyDescent="0.3">
      <c r="B1354" t="s">
        <v>2510</v>
      </c>
      <c r="C1354">
        <v>504397</v>
      </c>
      <c r="D1354" t="s">
        <v>496</v>
      </c>
      <c r="E1354" t="s">
        <v>917</v>
      </c>
    </row>
    <row r="1355" spans="2:5" x14ac:dyDescent="0.3">
      <c r="B1355" t="s">
        <v>2511</v>
      </c>
      <c r="C1355">
        <v>526367</v>
      </c>
      <c r="D1355" t="s">
        <v>2512</v>
      </c>
      <c r="E1355" t="s">
        <v>582</v>
      </c>
    </row>
    <row r="1356" spans="2:5" x14ac:dyDescent="0.3">
      <c r="B1356" t="s">
        <v>2513</v>
      </c>
      <c r="C1356">
        <v>514167</v>
      </c>
      <c r="D1356" t="s">
        <v>2514</v>
      </c>
      <c r="E1356" t="s">
        <v>917</v>
      </c>
    </row>
    <row r="1357" spans="2:5" x14ac:dyDescent="0.3">
      <c r="B1357" t="s">
        <v>2515</v>
      </c>
      <c r="C1357" t="s">
        <v>496</v>
      </c>
      <c r="D1357" t="s">
        <v>2516</v>
      </c>
      <c r="E1357" t="s">
        <v>507</v>
      </c>
    </row>
    <row r="1358" spans="2:5" x14ac:dyDescent="0.3">
      <c r="B1358" t="s">
        <v>2517</v>
      </c>
      <c r="C1358">
        <v>531813</v>
      </c>
      <c r="D1358" t="s">
        <v>496</v>
      </c>
      <c r="E1358" t="s">
        <v>490</v>
      </c>
    </row>
    <row r="1359" spans="2:5" x14ac:dyDescent="0.3">
      <c r="B1359" t="s">
        <v>2518</v>
      </c>
      <c r="C1359">
        <v>531813</v>
      </c>
      <c r="D1359" t="s">
        <v>496</v>
      </c>
      <c r="E1359" t="s">
        <v>490</v>
      </c>
    </row>
    <row r="1360" spans="2:5" x14ac:dyDescent="0.3">
      <c r="B1360" t="s">
        <v>2519</v>
      </c>
      <c r="C1360">
        <v>539680</v>
      </c>
      <c r="D1360" t="s">
        <v>496</v>
      </c>
      <c r="E1360" t="s">
        <v>534</v>
      </c>
    </row>
    <row r="1361" spans="2:5" x14ac:dyDescent="0.3">
      <c r="B1361" t="s">
        <v>2520</v>
      </c>
      <c r="C1361">
        <v>540647</v>
      </c>
      <c r="D1361" t="s">
        <v>2521</v>
      </c>
      <c r="E1361" t="s">
        <v>516</v>
      </c>
    </row>
    <row r="1362" spans="2:5" x14ac:dyDescent="0.3">
      <c r="B1362" t="s">
        <v>2522</v>
      </c>
      <c r="C1362">
        <v>521176</v>
      </c>
      <c r="D1362" t="s">
        <v>2523</v>
      </c>
      <c r="E1362" t="s">
        <v>511</v>
      </c>
    </row>
    <row r="1363" spans="2:5" x14ac:dyDescent="0.3">
      <c r="B1363" t="s">
        <v>2524</v>
      </c>
      <c r="C1363">
        <v>512443</v>
      </c>
      <c r="D1363" t="s">
        <v>496</v>
      </c>
      <c r="E1363" t="s">
        <v>518</v>
      </c>
    </row>
    <row r="1364" spans="2:5" x14ac:dyDescent="0.3">
      <c r="B1364" t="s">
        <v>2525</v>
      </c>
      <c r="C1364">
        <v>539492</v>
      </c>
      <c r="D1364" t="s">
        <v>496</v>
      </c>
      <c r="E1364" t="s">
        <v>513</v>
      </c>
    </row>
    <row r="1365" spans="2:5" x14ac:dyDescent="0.3">
      <c r="B1365" t="s">
        <v>2526</v>
      </c>
      <c r="C1365">
        <v>542011</v>
      </c>
      <c r="D1365" t="s">
        <v>2527</v>
      </c>
      <c r="E1365" t="s">
        <v>574</v>
      </c>
    </row>
    <row r="1366" spans="2:5" x14ac:dyDescent="0.3">
      <c r="B1366" t="s">
        <v>2528</v>
      </c>
      <c r="C1366">
        <v>500155</v>
      </c>
      <c r="D1366" t="s">
        <v>2529</v>
      </c>
      <c r="E1366" t="s">
        <v>511</v>
      </c>
    </row>
    <row r="1367" spans="2:5" x14ac:dyDescent="0.3">
      <c r="B1367" t="s">
        <v>2530</v>
      </c>
      <c r="C1367">
        <v>530615</v>
      </c>
      <c r="D1367" t="s">
        <v>496</v>
      </c>
      <c r="E1367" t="s">
        <v>528</v>
      </c>
    </row>
    <row r="1368" spans="2:5" x14ac:dyDescent="0.3">
      <c r="B1368" t="s">
        <v>2531</v>
      </c>
      <c r="C1368">
        <v>526727</v>
      </c>
      <c r="D1368" t="s">
        <v>496</v>
      </c>
      <c r="E1368" t="s">
        <v>894</v>
      </c>
    </row>
    <row r="1369" spans="2:5" x14ac:dyDescent="0.3">
      <c r="B1369" t="s">
        <v>2532</v>
      </c>
      <c r="C1369">
        <v>512493</v>
      </c>
      <c r="D1369" t="s">
        <v>496</v>
      </c>
      <c r="E1369" t="s">
        <v>479</v>
      </c>
    </row>
    <row r="1370" spans="2:5" x14ac:dyDescent="0.3">
      <c r="B1370" t="s">
        <v>2533</v>
      </c>
      <c r="C1370">
        <v>530161</v>
      </c>
      <c r="D1370" t="s">
        <v>496</v>
      </c>
      <c r="E1370" t="s">
        <v>518</v>
      </c>
    </row>
    <row r="1371" spans="2:5" x14ac:dyDescent="0.3">
      <c r="B1371" t="s">
        <v>2534</v>
      </c>
      <c r="C1371">
        <v>541276</v>
      </c>
      <c r="D1371" t="s">
        <v>496</v>
      </c>
      <c r="E1371" t="s">
        <v>518</v>
      </c>
    </row>
    <row r="1372" spans="2:5" x14ac:dyDescent="0.3">
      <c r="B1372" t="s">
        <v>2535</v>
      </c>
      <c r="C1372">
        <v>509563</v>
      </c>
      <c r="D1372" t="s">
        <v>496</v>
      </c>
      <c r="E1372" t="s">
        <v>511</v>
      </c>
    </row>
    <row r="1373" spans="2:5" x14ac:dyDescent="0.3">
      <c r="B1373" t="s">
        <v>2536</v>
      </c>
      <c r="C1373">
        <v>500655</v>
      </c>
      <c r="D1373" t="s">
        <v>496</v>
      </c>
      <c r="E1373" t="s">
        <v>544</v>
      </c>
    </row>
    <row r="1374" spans="2:5" x14ac:dyDescent="0.3">
      <c r="B1374" t="s">
        <v>2537</v>
      </c>
      <c r="C1374">
        <v>514400</v>
      </c>
      <c r="D1374" t="s">
        <v>496</v>
      </c>
      <c r="E1374" t="s">
        <v>518</v>
      </c>
    </row>
    <row r="1375" spans="2:5" x14ac:dyDescent="0.3">
      <c r="B1375" t="s">
        <v>2538</v>
      </c>
      <c r="C1375">
        <v>509557</v>
      </c>
      <c r="D1375" t="s">
        <v>2539</v>
      </c>
      <c r="E1375" t="s">
        <v>511</v>
      </c>
    </row>
    <row r="1376" spans="2:5" x14ac:dyDescent="0.3">
      <c r="B1376" t="s">
        <v>2540</v>
      </c>
      <c r="C1376">
        <v>532622</v>
      </c>
      <c r="D1376" t="s">
        <v>2541</v>
      </c>
      <c r="E1376" t="s">
        <v>817</v>
      </c>
    </row>
    <row r="1377" spans="2:5" x14ac:dyDescent="0.3">
      <c r="B1377" t="s">
        <v>2542</v>
      </c>
      <c r="C1377">
        <v>532345</v>
      </c>
      <c r="D1377" t="s">
        <v>2543</v>
      </c>
      <c r="E1377" t="s">
        <v>817</v>
      </c>
    </row>
    <row r="1378" spans="2:5" x14ac:dyDescent="0.3">
      <c r="B1378" t="s">
        <v>2544</v>
      </c>
      <c r="C1378">
        <v>539515</v>
      </c>
      <c r="D1378" t="s">
        <v>496</v>
      </c>
      <c r="E1378" t="s">
        <v>518</v>
      </c>
    </row>
    <row r="1379" spans="2:5" x14ac:dyDescent="0.3">
      <c r="B1379" t="s">
        <v>2545</v>
      </c>
      <c r="C1379">
        <v>540613</v>
      </c>
      <c r="D1379" t="s">
        <v>496</v>
      </c>
      <c r="E1379" t="s">
        <v>518</v>
      </c>
    </row>
    <row r="1380" spans="2:5" x14ac:dyDescent="0.3">
      <c r="B1380" t="s">
        <v>2546</v>
      </c>
      <c r="C1380">
        <v>540936</v>
      </c>
      <c r="D1380" t="s">
        <v>496</v>
      </c>
      <c r="E1380" t="s">
        <v>518</v>
      </c>
    </row>
    <row r="1381" spans="2:5" x14ac:dyDescent="0.3">
      <c r="B1381" t="s">
        <v>2547</v>
      </c>
      <c r="C1381">
        <v>524564</v>
      </c>
      <c r="D1381" t="s">
        <v>496</v>
      </c>
      <c r="E1381" t="s">
        <v>544</v>
      </c>
    </row>
    <row r="1382" spans="2:5" x14ac:dyDescent="0.3">
      <c r="B1382" t="s">
        <v>2548</v>
      </c>
      <c r="C1382">
        <v>541546</v>
      </c>
      <c r="D1382" t="s">
        <v>2549</v>
      </c>
      <c r="E1382" t="s">
        <v>894</v>
      </c>
    </row>
    <row r="1383" spans="2:5" x14ac:dyDescent="0.3">
      <c r="B1383" t="s">
        <v>2550</v>
      </c>
      <c r="C1383">
        <v>532767</v>
      </c>
      <c r="D1383" t="s">
        <v>2551</v>
      </c>
      <c r="E1383" t="s">
        <v>894</v>
      </c>
    </row>
    <row r="1384" spans="2:5" x14ac:dyDescent="0.3">
      <c r="B1384" t="s">
        <v>2552</v>
      </c>
      <c r="C1384">
        <v>532183</v>
      </c>
      <c r="D1384" t="s">
        <v>496</v>
      </c>
      <c r="E1384" t="s">
        <v>1195</v>
      </c>
    </row>
    <row r="1385" spans="2:5" x14ac:dyDescent="0.3">
      <c r="B1385" t="s">
        <v>2553</v>
      </c>
      <c r="C1385">
        <v>539009</v>
      </c>
      <c r="D1385" t="s">
        <v>496</v>
      </c>
      <c r="E1385" t="s">
        <v>894</v>
      </c>
    </row>
    <row r="1386" spans="2:5" x14ac:dyDescent="0.3">
      <c r="B1386" t="s">
        <v>2554</v>
      </c>
      <c r="C1386">
        <v>538319</v>
      </c>
      <c r="D1386" t="s">
        <v>496</v>
      </c>
      <c r="E1386" t="s">
        <v>479</v>
      </c>
    </row>
    <row r="1387" spans="2:5" x14ac:dyDescent="0.3">
      <c r="B1387" t="s">
        <v>2555</v>
      </c>
      <c r="C1387">
        <v>535917</v>
      </c>
      <c r="D1387" t="s">
        <v>496</v>
      </c>
      <c r="E1387" t="s">
        <v>479</v>
      </c>
    </row>
    <row r="1388" spans="2:5" x14ac:dyDescent="0.3">
      <c r="B1388" t="s">
        <v>2556</v>
      </c>
      <c r="C1388">
        <v>535431</v>
      </c>
      <c r="D1388" t="s">
        <v>496</v>
      </c>
      <c r="E1388" t="s">
        <v>479</v>
      </c>
    </row>
    <row r="1389" spans="2:5" x14ac:dyDescent="0.3">
      <c r="B1389" t="s">
        <v>2557</v>
      </c>
      <c r="C1389">
        <v>530855</v>
      </c>
      <c r="D1389" t="s">
        <v>496</v>
      </c>
      <c r="E1389" t="s">
        <v>513</v>
      </c>
    </row>
    <row r="1390" spans="2:5" x14ac:dyDescent="0.3">
      <c r="B1390" t="s">
        <v>2558</v>
      </c>
      <c r="C1390">
        <v>532309</v>
      </c>
      <c r="D1390" t="s">
        <v>2559</v>
      </c>
      <c r="E1390" t="s">
        <v>539</v>
      </c>
    </row>
    <row r="1391" spans="2:5" x14ac:dyDescent="0.3">
      <c r="B1391" t="s">
        <v>2560</v>
      </c>
      <c r="C1391">
        <v>532309</v>
      </c>
      <c r="D1391" t="s">
        <v>2559</v>
      </c>
      <c r="E1391" t="s">
        <v>539</v>
      </c>
    </row>
    <row r="1392" spans="2:5" x14ac:dyDescent="0.3">
      <c r="B1392" t="s">
        <v>2561</v>
      </c>
      <c r="C1392">
        <v>522275</v>
      </c>
      <c r="D1392" t="s">
        <v>2562</v>
      </c>
      <c r="E1392" t="s">
        <v>635</v>
      </c>
    </row>
    <row r="1393" spans="2:5" x14ac:dyDescent="0.3">
      <c r="B1393" t="s">
        <v>2563</v>
      </c>
      <c r="C1393">
        <v>522275</v>
      </c>
      <c r="D1393" t="s">
        <v>2562</v>
      </c>
      <c r="E1393" t="s">
        <v>635</v>
      </c>
    </row>
    <row r="1394" spans="2:5" x14ac:dyDescent="0.3">
      <c r="B1394" t="s">
        <v>2564</v>
      </c>
      <c r="C1394">
        <v>504028</v>
      </c>
      <c r="D1394" t="s">
        <v>496</v>
      </c>
      <c r="E1394" t="s">
        <v>681</v>
      </c>
    </row>
    <row r="1395" spans="2:5" x14ac:dyDescent="0.3">
      <c r="B1395" t="s">
        <v>2565</v>
      </c>
      <c r="C1395">
        <v>532764</v>
      </c>
      <c r="D1395" t="s">
        <v>2566</v>
      </c>
      <c r="E1395" t="s">
        <v>582</v>
      </c>
    </row>
    <row r="1396" spans="2:5" x14ac:dyDescent="0.3">
      <c r="B1396" t="s">
        <v>2567</v>
      </c>
      <c r="C1396">
        <v>530389</v>
      </c>
      <c r="D1396" t="s">
        <v>496</v>
      </c>
      <c r="E1396" t="s">
        <v>516</v>
      </c>
    </row>
    <row r="1397" spans="2:5" x14ac:dyDescent="0.3">
      <c r="B1397" t="s">
        <v>2568</v>
      </c>
      <c r="C1397" t="s">
        <v>496</v>
      </c>
      <c r="D1397" t="s">
        <v>2569</v>
      </c>
      <c r="E1397" t="s">
        <v>507</v>
      </c>
    </row>
    <row r="1398" spans="2:5" x14ac:dyDescent="0.3">
      <c r="B1398" t="s">
        <v>2570</v>
      </c>
      <c r="C1398">
        <v>539486</v>
      </c>
      <c r="D1398" t="s">
        <v>496</v>
      </c>
      <c r="E1398" t="s">
        <v>513</v>
      </c>
    </row>
    <row r="1399" spans="2:5" x14ac:dyDescent="0.3">
      <c r="B1399" t="s">
        <v>2571</v>
      </c>
      <c r="C1399">
        <v>521133</v>
      </c>
      <c r="D1399" t="s">
        <v>496</v>
      </c>
      <c r="E1399" t="s">
        <v>511</v>
      </c>
    </row>
    <row r="1400" spans="2:5" x14ac:dyDescent="0.3">
      <c r="B1400" t="s">
        <v>2572</v>
      </c>
      <c r="C1400">
        <v>521133</v>
      </c>
      <c r="D1400" t="s">
        <v>496</v>
      </c>
      <c r="E1400" t="s">
        <v>511</v>
      </c>
    </row>
    <row r="1401" spans="2:5" x14ac:dyDescent="0.3">
      <c r="B1401" t="s">
        <v>2573</v>
      </c>
      <c r="C1401">
        <v>532318</v>
      </c>
      <c r="D1401" t="s">
        <v>2574</v>
      </c>
      <c r="E1401" t="s">
        <v>2123</v>
      </c>
    </row>
    <row r="1402" spans="2:5" x14ac:dyDescent="0.3">
      <c r="B1402" t="s">
        <v>2575</v>
      </c>
      <c r="C1402">
        <v>531137</v>
      </c>
      <c r="D1402" t="s">
        <v>496</v>
      </c>
      <c r="E1402" t="s">
        <v>917</v>
      </c>
    </row>
    <row r="1403" spans="2:5" x14ac:dyDescent="0.3">
      <c r="B1403" t="s">
        <v>2576</v>
      </c>
      <c r="C1403">
        <v>541999</v>
      </c>
      <c r="D1403" t="s">
        <v>496</v>
      </c>
      <c r="E1403" t="s">
        <v>694</v>
      </c>
    </row>
    <row r="1404" spans="2:5" x14ac:dyDescent="0.3">
      <c r="B1404" t="s">
        <v>2577</v>
      </c>
      <c r="C1404">
        <v>540755</v>
      </c>
      <c r="D1404" t="s">
        <v>2578</v>
      </c>
      <c r="E1404" t="s">
        <v>2579</v>
      </c>
    </row>
    <row r="1405" spans="2:5" x14ac:dyDescent="0.3">
      <c r="B1405" t="s">
        <v>2580</v>
      </c>
      <c r="C1405">
        <v>539407</v>
      </c>
      <c r="D1405" t="s">
        <v>496</v>
      </c>
      <c r="E1405" t="s">
        <v>894</v>
      </c>
    </row>
    <row r="1406" spans="2:5" x14ac:dyDescent="0.3">
      <c r="B1406" t="s">
        <v>2581</v>
      </c>
      <c r="C1406">
        <v>514336</v>
      </c>
      <c r="D1406" t="s">
        <v>496</v>
      </c>
      <c r="E1406" t="s">
        <v>834</v>
      </c>
    </row>
    <row r="1407" spans="2:5" x14ac:dyDescent="0.3">
      <c r="B1407" t="s">
        <v>2582</v>
      </c>
      <c r="C1407">
        <v>514336</v>
      </c>
      <c r="D1407" t="s">
        <v>496</v>
      </c>
      <c r="E1407" t="s">
        <v>834</v>
      </c>
    </row>
    <row r="1408" spans="2:5" x14ac:dyDescent="0.3">
      <c r="B1408" t="s">
        <v>2583</v>
      </c>
      <c r="C1408">
        <v>506109</v>
      </c>
      <c r="D1408" t="s">
        <v>2584</v>
      </c>
      <c r="E1408" t="s">
        <v>589</v>
      </c>
    </row>
    <row r="1409" spans="2:5" x14ac:dyDescent="0.3">
      <c r="B1409" t="s">
        <v>2585</v>
      </c>
      <c r="C1409">
        <v>531739</v>
      </c>
      <c r="D1409" t="s">
        <v>496</v>
      </c>
      <c r="E1409" t="s">
        <v>534</v>
      </c>
    </row>
    <row r="1410" spans="2:5" x14ac:dyDescent="0.3">
      <c r="B1410" t="s">
        <v>2586</v>
      </c>
      <c r="C1410">
        <v>539206</v>
      </c>
      <c r="D1410" t="s">
        <v>496</v>
      </c>
      <c r="E1410" t="s">
        <v>834</v>
      </c>
    </row>
    <row r="1411" spans="2:5" x14ac:dyDescent="0.3">
      <c r="B1411" t="s">
        <v>2587</v>
      </c>
      <c r="C1411">
        <v>538961</v>
      </c>
      <c r="D1411" t="s">
        <v>2588</v>
      </c>
      <c r="E1411" t="s">
        <v>490</v>
      </c>
    </row>
    <row r="1412" spans="2:5" x14ac:dyDescent="0.3">
      <c r="B1412" t="s">
        <v>2589</v>
      </c>
      <c r="C1412">
        <v>530343</v>
      </c>
      <c r="D1412" t="s">
        <v>2590</v>
      </c>
      <c r="E1412" t="s">
        <v>794</v>
      </c>
    </row>
    <row r="1413" spans="2:5" x14ac:dyDescent="0.3">
      <c r="B1413" t="s">
        <v>2591</v>
      </c>
      <c r="C1413">
        <v>532285</v>
      </c>
      <c r="D1413" t="s">
        <v>2592</v>
      </c>
      <c r="E1413" t="s">
        <v>479</v>
      </c>
    </row>
    <row r="1414" spans="2:5" x14ac:dyDescent="0.3">
      <c r="B1414" t="s">
        <v>2593</v>
      </c>
      <c r="C1414">
        <v>500171</v>
      </c>
      <c r="D1414" t="s">
        <v>2594</v>
      </c>
      <c r="E1414" t="s">
        <v>544</v>
      </c>
    </row>
    <row r="1415" spans="2:5" x14ac:dyDescent="0.3">
      <c r="B1415" t="s">
        <v>2595</v>
      </c>
      <c r="C1415">
        <v>533048</v>
      </c>
      <c r="D1415" t="s">
        <v>2596</v>
      </c>
      <c r="E1415" t="s">
        <v>894</v>
      </c>
    </row>
    <row r="1416" spans="2:5" x14ac:dyDescent="0.3">
      <c r="B1416" t="s">
        <v>2597</v>
      </c>
      <c r="C1416">
        <v>511676</v>
      </c>
      <c r="D1416" t="s">
        <v>2598</v>
      </c>
      <c r="E1416" t="s">
        <v>554</v>
      </c>
    </row>
    <row r="1417" spans="2:5" x14ac:dyDescent="0.3">
      <c r="B1417" t="s">
        <v>2599</v>
      </c>
      <c r="C1417">
        <v>538788</v>
      </c>
      <c r="D1417" t="s">
        <v>496</v>
      </c>
      <c r="E1417" t="s">
        <v>513</v>
      </c>
    </row>
    <row r="1418" spans="2:5" x14ac:dyDescent="0.3">
      <c r="B1418" t="s">
        <v>2600</v>
      </c>
      <c r="C1418">
        <v>532716</v>
      </c>
      <c r="D1418" t="s">
        <v>2601</v>
      </c>
      <c r="E1418" t="s">
        <v>485</v>
      </c>
    </row>
    <row r="1419" spans="2:5" x14ac:dyDescent="0.3">
      <c r="B1419" t="s">
        <v>2602</v>
      </c>
      <c r="C1419">
        <v>507815</v>
      </c>
      <c r="D1419" t="s">
        <v>2603</v>
      </c>
      <c r="E1419" t="s">
        <v>678</v>
      </c>
    </row>
    <row r="1420" spans="2:5" x14ac:dyDescent="0.3">
      <c r="B1420" t="s">
        <v>2604</v>
      </c>
      <c r="C1420">
        <v>507815</v>
      </c>
      <c r="D1420" t="s">
        <v>2603</v>
      </c>
      <c r="E1420" t="s">
        <v>678</v>
      </c>
    </row>
    <row r="1421" spans="2:5" x14ac:dyDescent="0.3">
      <c r="B1421" t="s">
        <v>2605</v>
      </c>
      <c r="C1421">
        <v>531744</v>
      </c>
      <c r="D1421" t="s">
        <v>496</v>
      </c>
      <c r="E1421" t="s">
        <v>518</v>
      </c>
    </row>
    <row r="1422" spans="2:5" x14ac:dyDescent="0.3">
      <c r="B1422" t="s">
        <v>2606</v>
      </c>
      <c r="C1422">
        <v>590025</v>
      </c>
      <c r="D1422" t="s">
        <v>2607</v>
      </c>
      <c r="E1422" t="s">
        <v>511</v>
      </c>
    </row>
    <row r="1423" spans="2:5" x14ac:dyDescent="0.3">
      <c r="B1423" t="s">
        <v>2608</v>
      </c>
      <c r="C1423">
        <v>507506</v>
      </c>
      <c r="D1423" t="s">
        <v>496</v>
      </c>
      <c r="E1423" t="s">
        <v>1195</v>
      </c>
    </row>
    <row r="1424" spans="2:5" x14ac:dyDescent="0.3">
      <c r="B1424" t="s">
        <v>2609</v>
      </c>
      <c r="C1424" t="s">
        <v>496</v>
      </c>
      <c r="D1424" t="s">
        <v>2610</v>
      </c>
      <c r="E1424" t="s">
        <v>507</v>
      </c>
    </row>
    <row r="1425" spans="2:5" x14ac:dyDescent="0.3">
      <c r="B1425" t="s">
        <v>2611</v>
      </c>
      <c r="C1425">
        <v>539013</v>
      </c>
      <c r="D1425" t="s">
        <v>496</v>
      </c>
      <c r="E1425" t="s">
        <v>635</v>
      </c>
    </row>
    <row r="1426" spans="2:5" x14ac:dyDescent="0.3">
      <c r="B1426" t="s">
        <v>2612</v>
      </c>
      <c r="C1426">
        <v>533212</v>
      </c>
      <c r="D1426" t="s">
        <v>496</v>
      </c>
      <c r="E1426" t="s">
        <v>685</v>
      </c>
    </row>
    <row r="1427" spans="2:5" x14ac:dyDescent="0.3">
      <c r="B1427" t="s">
        <v>2613</v>
      </c>
      <c r="C1427" t="s">
        <v>496</v>
      </c>
      <c r="D1427" t="s">
        <v>2614</v>
      </c>
      <c r="E1427" t="s">
        <v>587</v>
      </c>
    </row>
    <row r="1428" spans="2:5" x14ac:dyDescent="0.3">
      <c r="B1428" t="s">
        <v>2615</v>
      </c>
      <c r="C1428">
        <v>531199</v>
      </c>
      <c r="D1428" t="s">
        <v>496</v>
      </c>
      <c r="E1428" t="s">
        <v>513</v>
      </c>
    </row>
    <row r="1429" spans="2:5" x14ac:dyDescent="0.3">
      <c r="B1429" t="s">
        <v>2616</v>
      </c>
      <c r="C1429">
        <v>500676</v>
      </c>
      <c r="D1429" t="s">
        <v>2617</v>
      </c>
      <c r="E1429" t="s">
        <v>556</v>
      </c>
    </row>
    <row r="1430" spans="2:5" x14ac:dyDescent="0.3">
      <c r="B1430" t="s">
        <v>2618</v>
      </c>
      <c r="C1430">
        <v>500660</v>
      </c>
      <c r="D1430" t="s">
        <v>2619</v>
      </c>
      <c r="E1430" t="s">
        <v>534</v>
      </c>
    </row>
    <row r="1431" spans="2:5" x14ac:dyDescent="0.3">
      <c r="B1431" t="s">
        <v>2620</v>
      </c>
      <c r="C1431">
        <v>542477</v>
      </c>
      <c r="D1431" t="s">
        <v>2621</v>
      </c>
      <c r="E1431" t="s">
        <v>862</v>
      </c>
    </row>
    <row r="1432" spans="2:5" x14ac:dyDescent="0.3">
      <c r="B1432" t="s">
        <v>2622</v>
      </c>
      <c r="C1432">
        <v>532296</v>
      </c>
      <c r="D1432" t="s">
        <v>2623</v>
      </c>
      <c r="E1432" t="s">
        <v>534</v>
      </c>
    </row>
    <row r="1433" spans="2:5" x14ac:dyDescent="0.3">
      <c r="B1433" t="s">
        <v>2624</v>
      </c>
      <c r="C1433">
        <v>513528</v>
      </c>
      <c r="D1433" t="s">
        <v>496</v>
      </c>
      <c r="E1433" t="s">
        <v>1024</v>
      </c>
    </row>
    <row r="1434" spans="2:5" x14ac:dyDescent="0.3">
      <c r="B1434" t="s">
        <v>2625</v>
      </c>
      <c r="C1434">
        <v>530263</v>
      </c>
      <c r="D1434" t="s">
        <v>496</v>
      </c>
      <c r="E1434" t="s">
        <v>513</v>
      </c>
    </row>
    <row r="1435" spans="2:5" x14ac:dyDescent="0.3">
      <c r="B1435" t="s">
        <v>2626</v>
      </c>
      <c r="C1435" t="s">
        <v>496</v>
      </c>
      <c r="D1435" t="s">
        <v>2627</v>
      </c>
      <c r="E1435" t="s">
        <v>507</v>
      </c>
    </row>
    <row r="1436" spans="2:5" x14ac:dyDescent="0.3">
      <c r="B1436" t="s">
        <v>2628</v>
      </c>
      <c r="C1436">
        <v>531463</v>
      </c>
      <c r="D1436" t="s">
        <v>496</v>
      </c>
      <c r="E1436" t="s">
        <v>917</v>
      </c>
    </row>
    <row r="1437" spans="2:5" x14ac:dyDescent="0.3">
      <c r="B1437" t="s">
        <v>2629</v>
      </c>
      <c r="C1437">
        <v>531479</v>
      </c>
      <c r="D1437" t="s">
        <v>496</v>
      </c>
      <c r="E1437" t="s">
        <v>582</v>
      </c>
    </row>
    <row r="1438" spans="2:5" x14ac:dyDescent="0.3">
      <c r="B1438" t="s">
        <v>2630</v>
      </c>
      <c r="C1438">
        <v>501848</v>
      </c>
      <c r="D1438" t="s">
        <v>2631</v>
      </c>
      <c r="E1438" t="s">
        <v>1744</v>
      </c>
    </row>
    <row r="1439" spans="2:5" x14ac:dyDescent="0.3">
      <c r="B1439" t="s">
        <v>2632</v>
      </c>
      <c r="C1439">
        <v>532773</v>
      </c>
      <c r="D1439" t="s">
        <v>2633</v>
      </c>
      <c r="E1439" t="s">
        <v>2634</v>
      </c>
    </row>
    <row r="1440" spans="2:5" x14ac:dyDescent="0.3">
      <c r="B1440" t="s">
        <v>2635</v>
      </c>
      <c r="C1440">
        <v>540654</v>
      </c>
      <c r="D1440" t="s">
        <v>496</v>
      </c>
      <c r="E1440" t="s">
        <v>482</v>
      </c>
    </row>
    <row r="1441" spans="2:5" x14ac:dyDescent="0.3">
      <c r="B1441" t="s">
        <v>2636</v>
      </c>
      <c r="C1441">
        <v>540266</v>
      </c>
      <c r="D1441" t="s">
        <v>496</v>
      </c>
      <c r="E1441" t="s">
        <v>518</v>
      </c>
    </row>
    <row r="1442" spans="2:5" x14ac:dyDescent="0.3">
      <c r="B1442" t="s">
        <v>2637</v>
      </c>
      <c r="C1442" t="s">
        <v>496</v>
      </c>
      <c r="D1442" t="s">
        <v>2638</v>
      </c>
      <c r="E1442" t="s">
        <v>507</v>
      </c>
    </row>
    <row r="1443" spans="2:5" x14ac:dyDescent="0.3">
      <c r="B1443" t="s">
        <v>2639</v>
      </c>
      <c r="C1443" t="s">
        <v>496</v>
      </c>
      <c r="D1443" t="s">
        <v>2640</v>
      </c>
      <c r="E1443" t="s">
        <v>507</v>
      </c>
    </row>
    <row r="1444" spans="2:5" x14ac:dyDescent="0.3">
      <c r="B1444" t="s">
        <v>2641</v>
      </c>
      <c r="C1444" t="s">
        <v>496</v>
      </c>
      <c r="D1444" t="s">
        <v>2640</v>
      </c>
      <c r="E1444" t="s">
        <v>507</v>
      </c>
    </row>
    <row r="1445" spans="2:5" x14ac:dyDescent="0.3">
      <c r="B1445" t="s">
        <v>2642</v>
      </c>
      <c r="C1445">
        <v>526025</v>
      </c>
      <c r="D1445" t="s">
        <v>496</v>
      </c>
      <c r="E1445" t="s">
        <v>511</v>
      </c>
    </row>
    <row r="1446" spans="2:5" x14ac:dyDescent="0.3">
      <c r="B1446" t="s">
        <v>2643</v>
      </c>
      <c r="C1446">
        <v>531904</v>
      </c>
      <c r="D1446" t="s">
        <v>2644</v>
      </c>
      <c r="E1446" t="s">
        <v>862</v>
      </c>
    </row>
    <row r="1447" spans="2:5" x14ac:dyDescent="0.3">
      <c r="B1447" t="s">
        <v>2645</v>
      </c>
      <c r="C1447">
        <v>533104</v>
      </c>
      <c r="D1447" t="s">
        <v>2646</v>
      </c>
      <c r="E1447" t="s">
        <v>1128</v>
      </c>
    </row>
    <row r="1448" spans="2:5" x14ac:dyDescent="0.3">
      <c r="B1448" t="s">
        <v>2647</v>
      </c>
      <c r="C1448">
        <v>542351</v>
      </c>
      <c r="D1448" t="s">
        <v>2648</v>
      </c>
      <c r="E1448" t="s">
        <v>2649</v>
      </c>
    </row>
    <row r="1449" spans="2:5" x14ac:dyDescent="0.3">
      <c r="B1449" t="s">
        <v>2650</v>
      </c>
      <c r="C1449">
        <v>507488</v>
      </c>
      <c r="D1449" t="s">
        <v>2651</v>
      </c>
      <c r="E1449" t="s">
        <v>1128</v>
      </c>
    </row>
    <row r="1450" spans="2:5" x14ac:dyDescent="0.3">
      <c r="B1450" t="s">
        <v>2652</v>
      </c>
      <c r="C1450">
        <v>505255</v>
      </c>
      <c r="D1450" t="s">
        <v>2653</v>
      </c>
      <c r="E1450" t="s">
        <v>504</v>
      </c>
    </row>
    <row r="1451" spans="2:5" x14ac:dyDescent="0.3">
      <c r="B1451" t="s">
        <v>2654</v>
      </c>
      <c r="C1451">
        <v>532754</v>
      </c>
      <c r="D1451" t="s">
        <v>2655</v>
      </c>
      <c r="E1451" t="s">
        <v>635</v>
      </c>
    </row>
    <row r="1452" spans="2:5" x14ac:dyDescent="0.3">
      <c r="B1452" t="s">
        <v>2656</v>
      </c>
      <c r="C1452">
        <v>540124</v>
      </c>
      <c r="D1452" t="s">
        <v>2657</v>
      </c>
      <c r="E1452" t="s">
        <v>851</v>
      </c>
    </row>
    <row r="1453" spans="2:5" x14ac:dyDescent="0.3">
      <c r="B1453" t="s">
        <v>2658</v>
      </c>
      <c r="C1453">
        <v>509567</v>
      </c>
      <c r="D1453" t="s">
        <v>2659</v>
      </c>
      <c r="E1453" t="s">
        <v>1425</v>
      </c>
    </row>
    <row r="1454" spans="2:5" x14ac:dyDescent="0.3">
      <c r="B1454" t="s">
        <v>2660</v>
      </c>
      <c r="C1454">
        <v>506480</v>
      </c>
      <c r="D1454" t="s">
        <v>2661</v>
      </c>
      <c r="E1454" t="s">
        <v>706</v>
      </c>
    </row>
    <row r="1455" spans="2:5" x14ac:dyDescent="0.3">
      <c r="B1455" t="s">
        <v>2662</v>
      </c>
      <c r="C1455">
        <v>530317</v>
      </c>
      <c r="D1455" t="s">
        <v>496</v>
      </c>
      <c r="E1455" t="s">
        <v>534</v>
      </c>
    </row>
    <row r="1456" spans="2:5" x14ac:dyDescent="0.3">
      <c r="B1456" t="s">
        <v>2663</v>
      </c>
      <c r="C1456">
        <v>532734</v>
      </c>
      <c r="D1456" t="s">
        <v>2664</v>
      </c>
      <c r="E1456" t="s">
        <v>528</v>
      </c>
    </row>
    <row r="1457" spans="2:5" x14ac:dyDescent="0.3">
      <c r="B1457" t="s">
        <v>2665</v>
      </c>
      <c r="C1457">
        <v>500163</v>
      </c>
      <c r="D1457" t="s">
        <v>2666</v>
      </c>
      <c r="E1457" t="s">
        <v>2667</v>
      </c>
    </row>
    <row r="1458" spans="2:5" x14ac:dyDescent="0.3">
      <c r="B1458" t="s">
        <v>2668</v>
      </c>
      <c r="C1458">
        <v>500163</v>
      </c>
      <c r="D1458" t="s">
        <v>2666</v>
      </c>
      <c r="E1458" t="s">
        <v>2667</v>
      </c>
    </row>
    <row r="1459" spans="2:5" x14ac:dyDescent="0.3">
      <c r="B1459" t="s">
        <v>2669</v>
      </c>
      <c r="C1459" t="s">
        <v>496</v>
      </c>
      <c r="D1459" t="s">
        <v>2670</v>
      </c>
      <c r="E1459" t="s">
        <v>507</v>
      </c>
    </row>
    <row r="1460" spans="2:5" x14ac:dyDescent="0.3">
      <c r="B1460" t="s">
        <v>2671</v>
      </c>
      <c r="C1460">
        <v>540743</v>
      </c>
      <c r="D1460" t="s">
        <v>2672</v>
      </c>
      <c r="E1460" t="s">
        <v>694</v>
      </c>
    </row>
    <row r="1461" spans="2:5" x14ac:dyDescent="0.3">
      <c r="B1461" t="s">
        <v>2673</v>
      </c>
      <c r="C1461">
        <v>532424</v>
      </c>
      <c r="D1461" t="s">
        <v>2674</v>
      </c>
      <c r="E1461" t="s">
        <v>678</v>
      </c>
    </row>
    <row r="1462" spans="2:5" x14ac:dyDescent="0.3">
      <c r="B1462" t="s">
        <v>2675</v>
      </c>
      <c r="C1462">
        <v>500164</v>
      </c>
      <c r="D1462" t="s">
        <v>2676</v>
      </c>
      <c r="E1462" t="s">
        <v>544</v>
      </c>
    </row>
    <row r="1463" spans="2:5" x14ac:dyDescent="0.3">
      <c r="B1463" t="s">
        <v>2677</v>
      </c>
      <c r="C1463">
        <v>533150</v>
      </c>
      <c r="D1463" t="s">
        <v>2678</v>
      </c>
      <c r="E1463" t="s">
        <v>582</v>
      </c>
    </row>
    <row r="1464" spans="2:5" x14ac:dyDescent="0.3">
      <c r="B1464" t="s">
        <v>2679</v>
      </c>
      <c r="C1464">
        <v>538787</v>
      </c>
      <c r="D1464" t="s">
        <v>496</v>
      </c>
      <c r="E1464" t="s">
        <v>513</v>
      </c>
    </row>
    <row r="1465" spans="2:5" x14ac:dyDescent="0.3">
      <c r="B1465" t="s">
        <v>2680</v>
      </c>
      <c r="C1465">
        <v>533189</v>
      </c>
      <c r="D1465" t="s">
        <v>2681</v>
      </c>
      <c r="E1465" t="s">
        <v>610</v>
      </c>
    </row>
    <row r="1466" spans="2:5" x14ac:dyDescent="0.3">
      <c r="B1466" t="s">
        <v>2682</v>
      </c>
      <c r="C1466">
        <v>531600</v>
      </c>
      <c r="D1466" t="s">
        <v>496</v>
      </c>
      <c r="E1466" t="s">
        <v>479</v>
      </c>
    </row>
    <row r="1467" spans="2:5" x14ac:dyDescent="0.3">
      <c r="B1467" t="s">
        <v>2683</v>
      </c>
      <c r="C1467">
        <v>532957</v>
      </c>
      <c r="D1467" t="s">
        <v>496</v>
      </c>
      <c r="E1467" t="s">
        <v>511</v>
      </c>
    </row>
    <row r="1468" spans="2:5" x14ac:dyDescent="0.3">
      <c r="B1468" t="s">
        <v>2684</v>
      </c>
      <c r="C1468">
        <v>532630</v>
      </c>
      <c r="D1468" t="s">
        <v>2685</v>
      </c>
      <c r="E1468" t="s">
        <v>610</v>
      </c>
    </row>
    <row r="1469" spans="2:5" x14ac:dyDescent="0.3">
      <c r="B1469" t="s">
        <v>2686</v>
      </c>
      <c r="C1469">
        <v>539725</v>
      </c>
      <c r="D1469" t="s">
        <v>2687</v>
      </c>
      <c r="E1469" t="s">
        <v>745</v>
      </c>
    </row>
    <row r="1470" spans="2:5" x14ac:dyDescent="0.3">
      <c r="B1470" t="s">
        <v>2688</v>
      </c>
      <c r="C1470">
        <v>532980</v>
      </c>
      <c r="D1470" t="s">
        <v>2689</v>
      </c>
      <c r="E1470" t="s">
        <v>745</v>
      </c>
    </row>
    <row r="1471" spans="2:5" x14ac:dyDescent="0.3">
      <c r="B1471" t="s">
        <v>2690</v>
      </c>
      <c r="C1471">
        <v>780012</v>
      </c>
      <c r="D1471" t="s">
        <v>496</v>
      </c>
      <c r="E1471" t="s">
        <v>587</v>
      </c>
    </row>
    <row r="1472" spans="2:5" x14ac:dyDescent="0.3">
      <c r="B1472" t="s">
        <v>2691</v>
      </c>
      <c r="C1472">
        <v>538542</v>
      </c>
      <c r="D1472" t="s">
        <v>496</v>
      </c>
      <c r="E1472" t="s">
        <v>556</v>
      </c>
    </row>
    <row r="1473" spans="2:5" x14ac:dyDescent="0.3">
      <c r="B1473" t="s">
        <v>2692</v>
      </c>
      <c r="C1473">
        <v>538180</v>
      </c>
      <c r="D1473" t="s">
        <v>2693</v>
      </c>
      <c r="E1473" t="s">
        <v>516</v>
      </c>
    </row>
    <row r="1474" spans="2:5" x14ac:dyDescent="0.3">
      <c r="B1474" t="s">
        <v>2694</v>
      </c>
      <c r="C1474">
        <v>505576</v>
      </c>
      <c r="D1474" t="s">
        <v>496</v>
      </c>
      <c r="E1474" t="s">
        <v>513</v>
      </c>
    </row>
    <row r="1475" spans="2:5" x14ac:dyDescent="0.3">
      <c r="B1475" t="s">
        <v>2695</v>
      </c>
      <c r="C1475">
        <v>531928</v>
      </c>
      <c r="D1475" t="s">
        <v>496</v>
      </c>
      <c r="E1475" t="s">
        <v>773</v>
      </c>
    </row>
    <row r="1476" spans="2:5" x14ac:dyDescent="0.3">
      <c r="B1476" t="s">
        <v>2696</v>
      </c>
      <c r="C1476">
        <v>540062</v>
      </c>
      <c r="D1476" t="s">
        <v>496</v>
      </c>
      <c r="E1476" t="s">
        <v>601</v>
      </c>
    </row>
    <row r="1477" spans="2:5" x14ac:dyDescent="0.3">
      <c r="B1477" t="s">
        <v>2697</v>
      </c>
      <c r="C1477">
        <v>530579</v>
      </c>
      <c r="D1477" t="s">
        <v>496</v>
      </c>
      <c r="E1477" t="s">
        <v>513</v>
      </c>
    </row>
    <row r="1478" spans="2:5" x14ac:dyDescent="0.3">
      <c r="B1478" t="s">
        <v>2698</v>
      </c>
      <c r="C1478">
        <v>500151</v>
      </c>
      <c r="D1478" t="s">
        <v>2699</v>
      </c>
      <c r="E1478" t="s">
        <v>2667</v>
      </c>
    </row>
    <row r="1479" spans="2:5" x14ac:dyDescent="0.3">
      <c r="B1479" t="s">
        <v>2700</v>
      </c>
      <c r="C1479">
        <v>526729</v>
      </c>
      <c r="D1479" t="s">
        <v>2701</v>
      </c>
      <c r="E1479" t="s">
        <v>610</v>
      </c>
    </row>
    <row r="1480" spans="2:5" x14ac:dyDescent="0.3">
      <c r="B1480" t="s">
        <v>2702</v>
      </c>
      <c r="C1480" t="s">
        <v>496</v>
      </c>
      <c r="D1480" t="s">
        <v>2703</v>
      </c>
      <c r="E1480" t="s">
        <v>507</v>
      </c>
    </row>
    <row r="1481" spans="2:5" x14ac:dyDescent="0.3">
      <c r="B1481" t="s">
        <v>2704</v>
      </c>
      <c r="C1481">
        <v>531439</v>
      </c>
      <c r="D1481" t="s">
        <v>2705</v>
      </c>
      <c r="E1481" t="s">
        <v>482</v>
      </c>
    </row>
    <row r="1482" spans="2:5" x14ac:dyDescent="0.3">
      <c r="B1482" t="s">
        <v>2706</v>
      </c>
      <c r="C1482">
        <v>531360</v>
      </c>
      <c r="D1482" t="s">
        <v>496</v>
      </c>
      <c r="E1482" t="s">
        <v>917</v>
      </c>
    </row>
    <row r="1483" spans="2:5" x14ac:dyDescent="0.3">
      <c r="B1483" t="s">
        <v>2707</v>
      </c>
      <c r="C1483">
        <v>513309</v>
      </c>
      <c r="D1483" t="s">
        <v>496</v>
      </c>
      <c r="E1483" t="s">
        <v>801</v>
      </c>
    </row>
    <row r="1484" spans="2:5" x14ac:dyDescent="0.3">
      <c r="B1484" t="s">
        <v>2708</v>
      </c>
      <c r="C1484">
        <v>523676</v>
      </c>
      <c r="D1484" t="s">
        <v>496</v>
      </c>
      <c r="E1484" t="s">
        <v>610</v>
      </c>
    </row>
    <row r="1485" spans="2:5" x14ac:dyDescent="0.3">
      <c r="B1485" t="s">
        <v>2709</v>
      </c>
      <c r="C1485">
        <v>530655</v>
      </c>
      <c r="D1485" t="s">
        <v>2710</v>
      </c>
      <c r="E1485" t="s">
        <v>819</v>
      </c>
    </row>
    <row r="1486" spans="2:5" x14ac:dyDescent="0.3">
      <c r="B1486" t="s">
        <v>2711</v>
      </c>
      <c r="C1486">
        <v>530655</v>
      </c>
      <c r="D1486" t="s">
        <v>2710</v>
      </c>
      <c r="E1486" t="s">
        <v>819</v>
      </c>
    </row>
    <row r="1487" spans="2:5" x14ac:dyDescent="0.3">
      <c r="B1487" t="s">
        <v>2712</v>
      </c>
      <c r="C1487">
        <v>500166</v>
      </c>
      <c r="D1487" t="s">
        <v>496</v>
      </c>
      <c r="E1487" t="s">
        <v>903</v>
      </c>
    </row>
    <row r="1488" spans="2:5" x14ac:dyDescent="0.3">
      <c r="B1488" t="s">
        <v>2713</v>
      </c>
      <c r="C1488">
        <v>500168</v>
      </c>
      <c r="D1488" t="s">
        <v>496</v>
      </c>
      <c r="E1488" t="s">
        <v>976</v>
      </c>
    </row>
    <row r="1489" spans="2:5" x14ac:dyDescent="0.3">
      <c r="B1489" t="s">
        <v>2714</v>
      </c>
      <c r="C1489">
        <v>500168</v>
      </c>
      <c r="D1489" t="s">
        <v>496</v>
      </c>
      <c r="E1489" t="s">
        <v>976</v>
      </c>
    </row>
    <row r="1490" spans="2:5" x14ac:dyDescent="0.3">
      <c r="B1490" t="s">
        <v>2715</v>
      </c>
      <c r="C1490">
        <v>531913</v>
      </c>
      <c r="D1490" t="s">
        <v>496</v>
      </c>
      <c r="E1490" t="s">
        <v>819</v>
      </c>
    </row>
    <row r="1491" spans="2:5" x14ac:dyDescent="0.3">
      <c r="B1491" t="s">
        <v>2716</v>
      </c>
      <c r="C1491">
        <v>526717</v>
      </c>
      <c r="D1491" t="s">
        <v>496</v>
      </c>
      <c r="E1491" t="s">
        <v>691</v>
      </c>
    </row>
    <row r="1492" spans="2:5" x14ac:dyDescent="0.3">
      <c r="B1492" t="s">
        <v>2717</v>
      </c>
      <c r="C1492">
        <v>531608</v>
      </c>
      <c r="D1492" t="s">
        <v>496</v>
      </c>
      <c r="E1492" t="s">
        <v>1542</v>
      </c>
    </row>
    <row r="1493" spans="2:5" x14ac:dyDescent="0.3">
      <c r="B1493" t="s">
        <v>2718</v>
      </c>
      <c r="C1493">
        <v>531111</v>
      </c>
      <c r="D1493" t="s">
        <v>496</v>
      </c>
      <c r="E1493" t="s">
        <v>1542</v>
      </c>
    </row>
    <row r="1494" spans="2:5" x14ac:dyDescent="0.3">
      <c r="B1494" t="s">
        <v>2719</v>
      </c>
      <c r="C1494">
        <v>531111</v>
      </c>
      <c r="D1494" t="s">
        <v>496</v>
      </c>
      <c r="E1494" t="s">
        <v>1542</v>
      </c>
    </row>
    <row r="1495" spans="2:5" x14ac:dyDescent="0.3">
      <c r="B1495" t="s">
        <v>2720</v>
      </c>
      <c r="C1495">
        <v>509148</v>
      </c>
      <c r="D1495" t="s">
        <v>496</v>
      </c>
      <c r="E1495" t="s">
        <v>976</v>
      </c>
    </row>
    <row r="1496" spans="2:5" x14ac:dyDescent="0.3">
      <c r="B1496" t="s">
        <v>2721</v>
      </c>
      <c r="C1496">
        <v>530709</v>
      </c>
      <c r="D1496" t="s">
        <v>496</v>
      </c>
      <c r="E1496" t="s">
        <v>513</v>
      </c>
    </row>
    <row r="1497" spans="2:5" x14ac:dyDescent="0.3">
      <c r="B1497" t="s">
        <v>2722</v>
      </c>
      <c r="C1497">
        <v>530663</v>
      </c>
      <c r="D1497" t="s">
        <v>496</v>
      </c>
      <c r="E1497" t="s">
        <v>479</v>
      </c>
    </row>
    <row r="1498" spans="2:5" x14ac:dyDescent="0.3">
      <c r="B1498" t="s">
        <v>2723</v>
      </c>
      <c r="C1498">
        <v>532543</v>
      </c>
      <c r="D1498" t="s">
        <v>2724</v>
      </c>
      <c r="E1498" t="s">
        <v>706</v>
      </c>
    </row>
    <row r="1499" spans="2:5" x14ac:dyDescent="0.3">
      <c r="B1499" t="s">
        <v>2725</v>
      </c>
      <c r="C1499">
        <v>533761</v>
      </c>
      <c r="D1499" t="s">
        <v>2726</v>
      </c>
      <c r="E1499" t="s">
        <v>894</v>
      </c>
    </row>
    <row r="1500" spans="2:5" x14ac:dyDescent="0.3">
      <c r="B1500" t="s">
        <v>2727</v>
      </c>
      <c r="C1500">
        <v>780002</v>
      </c>
      <c r="D1500" t="s">
        <v>496</v>
      </c>
      <c r="E1500" t="s">
        <v>587</v>
      </c>
    </row>
    <row r="1501" spans="2:5" x14ac:dyDescent="0.3">
      <c r="B1501" t="s">
        <v>2728</v>
      </c>
      <c r="C1501">
        <v>590126</v>
      </c>
      <c r="D1501" t="s">
        <v>496</v>
      </c>
      <c r="E1501" t="s">
        <v>2099</v>
      </c>
    </row>
    <row r="1502" spans="2:5" x14ac:dyDescent="0.3">
      <c r="B1502" t="s">
        <v>2729</v>
      </c>
      <c r="C1502">
        <v>539235</v>
      </c>
      <c r="D1502" t="s">
        <v>496</v>
      </c>
      <c r="E1502" t="s">
        <v>903</v>
      </c>
    </row>
    <row r="1503" spans="2:5" x14ac:dyDescent="0.3">
      <c r="B1503" t="s">
        <v>2730</v>
      </c>
      <c r="C1503">
        <v>532482</v>
      </c>
      <c r="D1503" t="s">
        <v>2731</v>
      </c>
      <c r="E1503" t="s">
        <v>534</v>
      </c>
    </row>
    <row r="1504" spans="2:5" x14ac:dyDescent="0.3">
      <c r="B1504" t="s">
        <v>2732</v>
      </c>
      <c r="C1504">
        <v>532482</v>
      </c>
      <c r="D1504" t="s">
        <v>2731</v>
      </c>
      <c r="E1504" t="s">
        <v>534</v>
      </c>
    </row>
    <row r="1505" spans="2:5" x14ac:dyDescent="0.3">
      <c r="B1505" t="s">
        <v>2733</v>
      </c>
      <c r="C1505">
        <v>509488</v>
      </c>
      <c r="D1505" t="s">
        <v>2734</v>
      </c>
      <c r="E1505" t="s">
        <v>681</v>
      </c>
    </row>
    <row r="1506" spans="2:5" x14ac:dyDescent="0.3">
      <c r="B1506" t="s">
        <v>2735</v>
      </c>
      <c r="C1506">
        <v>509488</v>
      </c>
      <c r="D1506" t="s">
        <v>2734</v>
      </c>
      <c r="E1506" t="s">
        <v>681</v>
      </c>
    </row>
    <row r="1507" spans="2:5" x14ac:dyDescent="0.3">
      <c r="B1507" t="s">
        <v>2736</v>
      </c>
      <c r="C1507">
        <v>500300</v>
      </c>
      <c r="D1507" t="s">
        <v>2737</v>
      </c>
      <c r="E1507" t="s">
        <v>509</v>
      </c>
    </row>
    <row r="1508" spans="2:5" x14ac:dyDescent="0.3">
      <c r="B1508" t="s">
        <v>2738</v>
      </c>
      <c r="C1508">
        <v>526751</v>
      </c>
      <c r="D1508" t="s">
        <v>496</v>
      </c>
      <c r="E1508" t="s">
        <v>490</v>
      </c>
    </row>
    <row r="1509" spans="2:5" x14ac:dyDescent="0.3">
      <c r="B1509" t="s">
        <v>2739</v>
      </c>
      <c r="C1509">
        <v>505710</v>
      </c>
      <c r="D1509" t="s">
        <v>496</v>
      </c>
      <c r="E1509" t="s">
        <v>544</v>
      </c>
    </row>
    <row r="1510" spans="2:5" x14ac:dyDescent="0.3">
      <c r="B1510" t="s">
        <v>2740</v>
      </c>
      <c r="C1510">
        <v>505710</v>
      </c>
      <c r="D1510" t="s">
        <v>496</v>
      </c>
      <c r="E1510" t="s">
        <v>544</v>
      </c>
    </row>
    <row r="1511" spans="2:5" x14ac:dyDescent="0.3">
      <c r="B1511" t="s">
        <v>2741</v>
      </c>
      <c r="C1511">
        <v>509546</v>
      </c>
      <c r="D1511" t="s">
        <v>496</v>
      </c>
      <c r="E1511" t="s">
        <v>697</v>
      </c>
    </row>
    <row r="1512" spans="2:5" x14ac:dyDescent="0.3">
      <c r="B1512" t="s">
        <v>2742</v>
      </c>
      <c r="C1512">
        <v>533282</v>
      </c>
      <c r="D1512" t="s">
        <v>2743</v>
      </c>
      <c r="E1512" t="s">
        <v>2744</v>
      </c>
    </row>
    <row r="1513" spans="2:5" x14ac:dyDescent="0.3">
      <c r="B1513" t="s">
        <v>2745</v>
      </c>
      <c r="C1513">
        <v>533282</v>
      </c>
      <c r="D1513" t="s">
        <v>2743</v>
      </c>
      <c r="E1513" t="s">
        <v>2744</v>
      </c>
    </row>
    <row r="1514" spans="2:5" x14ac:dyDescent="0.3">
      <c r="B1514" t="s">
        <v>2746</v>
      </c>
      <c r="C1514">
        <v>532015</v>
      </c>
      <c r="D1514" t="s">
        <v>496</v>
      </c>
      <c r="E1514" t="s">
        <v>511</v>
      </c>
    </row>
    <row r="1515" spans="2:5" x14ac:dyDescent="0.3">
      <c r="B1515" t="s">
        <v>2747</v>
      </c>
      <c r="C1515">
        <v>532015</v>
      </c>
      <c r="D1515" t="s">
        <v>496</v>
      </c>
      <c r="E1515" t="s">
        <v>511</v>
      </c>
    </row>
    <row r="1516" spans="2:5" x14ac:dyDescent="0.3">
      <c r="B1516" t="s">
        <v>2748</v>
      </c>
      <c r="C1516">
        <v>501455</v>
      </c>
      <c r="D1516" t="s">
        <v>2749</v>
      </c>
      <c r="E1516" t="s">
        <v>504</v>
      </c>
    </row>
    <row r="1517" spans="2:5" x14ac:dyDescent="0.3">
      <c r="B1517" t="s">
        <v>2750</v>
      </c>
      <c r="C1517">
        <v>531737</v>
      </c>
      <c r="D1517" t="s">
        <v>496</v>
      </c>
      <c r="E1517" t="s">
        <v>917</v>
      </c>
    </row>
    <row r="1518" spans="2:5" x14ac:dyDescent="0.3">
      <c r="B1518" t="s">
        <v>2751</v>
      </c>
      <c r="C1518">
        <v>538979</v>
      </c>
      <c r="D1518" t="s">
        <v>2752</v>
      </c>
      <c r="E1518" t="s">
        <v>773</v>
      </c>
    </row>
    <row r="1519" spans="2:5" x14ac:dyDescent="0.3">
      <c r="B1519" t="s">
        <v>2753</v>
      </c>
      <c r="C1519">
        <v>526797</v>
      </c>
      <c r="D1519" t="s">
        <v>2754</v>
      </c>
      <c r="E1519" t="s">
        <v>991</v>
      </c>
    </row>
    <row r="1520" spans="2:5" x14ac:dyDescent="0.3">
      <c r="B1520" t="s">
        <v>2755</v>
      </c>
      <c r="C1520" t="s">
        <v>496</v>
      </c>
      <c r="D1520" t="s">
        <v>2756</v>
      </c>
      <c r="E1520" t="s">
        <v>507</v>
      </c>
    </row>
    <row r="1521" spans="2:5" x14ac:dyDescent="0.3">
      <c r="B1521" t="s">
        <v>2757</v>
      </c>
      <c r="C1521">
        <v>508918</v>
      </c>
      <c r="D1521" t="s">
        <v>496</v>
      </c>
      <c r="E1521" t="s">
        <v>601</v>
      </c>
    </row>
    <row r="1522" spans="2:5" x14ac:dyDescent="0.3">
      <c r="B1522" t="s">
        <v>2758</v>
      </c>
      <c r="C1522">
        <v>506076</v>
      </c>
      <c r="D1522" t="s">
        <v>2759</v>
      </c>
      <c r="E1522" t="s">
        <v>1416</v>
      </c>
    </row>
    <row r="1523" spans="2:5" x14ac:dyDescent="0.3">
      <c r="B1523" t="s">
        <v>2760</v>
      </c>
      <c r="C1523">
        <v>531449</v>
      </c>
      <c r="D1523" t="s">
        <v>496</v>
      </c>
      <c r="E1523" t="s">
        <v>694</v>
      </c>
    </row>
    <row r="1524" spans="2:5" x14ac:dyDescent="0.3">
      <c r="B1524" t="s">
        <v>2761</v>
      </c>
      <c r="C1524">
        <v>501314</v>
      </c>
      <c r="D1524" t="s">
        <v>496</v>
      </c>
      <c r="E1524" t="s">
        <v>518</v>
      </c>
    </row>
    <row r="1525" spans="2:5" x14ac:dyDescent="0.3">
      <c r="B1525" t="s">
        <v>2762</v>
      </c>
      <c r="C1525">
        <v>539522</v>
      </c>
      <c r="D1525" t="s">
        <v>496</v>
      </c>
      <c r="E1525" t="s">
        <v>942</v>
      </c>
    </row>
    <row r="1526" spans="2:5" x14ac:dyDescent="0.3">
      <c r="B1526" t="s">
        <v>2763</v>
      </c>
      <c r="C1526">
        <v>539522</v>
      </c>
      <c r="D1526" t="s">
        <v>496</v>
      </c>
      <c r="E1526" t="s">
        <v>942</v>
      </c>
    </row>
    <row r="1527" spans="2:5" x14ac:dyDescent="0.3">
      <c r="B1527" t="s">
        <v>2764</v>
      </c>
      <c r="C1527">
        <v>509152</v>
      </c>
      <c r="D1527" t="s">
        <v>2765</v>
      </c>
      <c r="E1527" t="s">
        <v>976</v>
      </c>
    </row>
    <row r="1528" spans="2:5" x14ac:dyDescent="0.3">
      <c r="B1528" t="s">
        <v>2766</v>
      </c>
      <c r="C1528">
        <v>511288</v>
      </c>
      <c r="D1528" t="s">
        <v>2767</v>
      </c>
      <c r="E1528" t="s">
        <v>554</v>
      </c>
    </row>
    <row r="1529" spans="2:5" x14ac:dyDescent="0.3">
      <c r="B1529" t="s">
        <v>2768</v>
      </c>
      <c r="C1529">
        <v>511543</v>
      </c>
      <c r="D1529" t="s">
        <v>496</v>
      </c>
      <c r="E1529" t="s">
        <v>513</v>
      </c>
    </row>
    <row r="1530" spans="2:5" x14ac:dyDescent="0.3">
      <c r="B1530" t="s">
        <v>2769</v>
      </c>
      <c r="C1530">
        <v>530605</v>
      </c>
      <c r="D1530" t="s">
        <v>496</v>
      </c>
      <c r="E1530" t="s">
        <v>511</v>
      </c>
    </row>
    <row r="1531" spans="2:5" x14ac:dyDescent="0.3">
      <c r="B1531" t="s">
        <v>2770</v>
      </c>
      <c r="C1531">
        <v>530469</v>
      </c>
      <c r="D1531" t="s">
        <v>496</v>
      </c>
      <c r="E1531" t="s">
        <v>513</v>
      </c>
    </row>
    <row r="1532" spans="2:5" x14ac:dyDescent="0.3">
      <c r="B1532" t="s">
        <v>2771</v>
      </c>
      <c r="C1532">
        <v>532951</v>
      </c>
      <c r="D1532" t="s">
        <v>2772</v>
      </c>
      <c r="E1532" t="s">
        <v>482</v>
      </c>
    </row>
    <row r="1533" spans="2:5" x14ac:dyDescent="0.3">
      <c r="B1533" t="s">
        <v>2773</v>
      </c>
      <c r="C1533">
        <v>532139</v>
      </c>
      <c r="D1533" t="s">
        <v>496</v>
      </c>
      <c r="E1533" t="s">
        <v>826</v>
      </c>
    </row>
    <row r="1534" spans="2:5" x14ac:dyDescent="0.3">
      <c r="B1534" t="s">
        <v>2774</v>
      </c>
      <c r="C1534">
        <v>532775</v>
      </c>
      <c r="D1534" t="s">
        <v>2775</v>
      </c>
      <c r="E1534" t="s">
        <v>642</v>
      </c>
    </row>
    <row r="1535" spans="2:5" x14ac:dyDescent="0.3">
      <c r="B1535" t="s">
        <v>2776</v>
      </c>
      <c r="C1535">
        <v>500160</v>
      </c>
      <c r="D1535" t="s">
        <v>2777</v>
      </c>
      <c r="E1535" t="s">
        <v>1443</v>
      </c>
    </row>
    <row r="1536" spans="2:5" x14ac:dyDescent="0.3">
      <c r="B1536" t="s">
        <v>2778</v>
      </c>
      <c r="C1536">
        <v>500170</v>
      </c>
      <c r="D1536" t="s">
        <v>2779</v>
      </c>
      <c r="E1536" t="s">
        <v>511</v>
      </c>
    </row>
    <row r="1537" spans="2:5" x14ac:dyDescent="0.3">
      <c r="B1537" t="s">
        <v>2780</v>
      </c>
      <c r="C1537">
        <v>532744</v>
      </c>
      <c r="D1537" t="s">
        <v>2781</v>
      </c>
      <c r="E1537" t="s">
        <v>511</v>
      </c>
    </row>
    <row r="1538" spans="2:5" x14ac:dyDescent="0.3">
      <c r="B1538" t="s">
        <v>2782</v>
      </c>
      <c r="C1538">
        <v>540602</v>
      </c>
      <c r="D1538" t="s">
        <v>2783</v>
      </c>
      <c r="E1538" t="s">
        <v>1443</v>
      </c>
    </row>
    <row r="1539" spans="2:5" x14ac:dyDescent="0.3">
      <c r="B1539" t="s">
        <v>2784</v>
      </c>
      <c r="C1539">
        <v>539479</v>
      </c>
      <c r="D1539" t="s">
        <v>496</v>
      </c>
      <c r="E1539" t="s">
        <v>504</v>
      </c>
    </row>
    <row r="1540" spans="2:5" x14ac:dyDescent="0.3">
      <c r="B1540" t="s">
        <v>2785</v>
      </c>
      <c r="C1540">
        <v>509079</v>
      </c>
      <c r="D1540" t="s">
        <v>2786</v>
      </c>
      <c r="E1540" t="s">
        <v>534</v>
      </c>
    </row>
    <row r="1541" spans="2:5" x14ac:dyDescent="0.3">
      <c r="B1541" t="s">
        <v>2787</v>
      </c>
      <c r="C1541">
        <v>530001</v>
      </c>
      <c r="D1541" t="s">
        <v>2788</v>
      </c>
      <c r="E1541" t="s">
        <v>544</v>
      </c>
    </row>
    <row r="1542" spans="2:5" x14ac:dyDescent="0.3">
      <c r="B1542" t="s">
        <v>2789</v>
      </c>
      <c r="C1542">
        <v>524226</v>
      </c>
      <c r="D1542" t="s">
        <v>2790</v>
      </c>
      <c r="E1542" t="s">
        <v>694</v>
      </c>
    </row>
    <row r="1543" spans="2:5" x14ac:dyDescent="0.3">
      <c r="B1543" t="s">
        <v>2791</v>
      </c>
      <c r="C1543">
        <v>522217</v>
      </c>
      <c r="D1543" t="s">
        <v>2792</v>
      </c>
      <c r="E1543" t="s">
        <v>574</v>
      </c>
    </row>
    <row r="1544" spans="2:5" x14ac:dyDescent="0.3">
      <c r="B1544" t="s">
        <v>2793</v>
      </c>
      <c r="C1544">
        <v>523768</v>
      </c>
      <c r="D1544" t="s">
        <v>496</v>
      </c>
      <c r="E1544" t="s">
        <v>1024</v>
      </c>
    </row>
    <row r="1545" spans="2:5" x14ac:dyDescent="0.3">
      <c r="B1545" t="s">
        <v>2794</v>
      </c>
      <c r="C1545">
        <v>513507</v>
      </c>
      <c r="D1545" t="s">
        <v>496</v>
      </c>
      <c r="E1545" t="s">
        <v>819</v>
      </c>
    </row>
    <row r="1546" spans="2:5" x14ac:dyDescent="0.3">
      <c r="B1546" t="s">
        <v>2795</v>
      </c>
      <c r="C1546">
        <v>514386</v>
      </c>
      <c r="D1546" t="s">
        <v>496</v>
      </c>
      <c r="E1546" t="s">
        <v>511</v>
      </c>
    </row>
    <row r="1547" spans="2:5" x14ac:dyDescent="0.3">
      <c r="B1547" t="s">
        <v>2796</v>
      </c>
      <c r="C1547">
        <v>526965</v>
      </c>
      <c r="D1547" t="s">
        <v>496</v>
      </c>
      <c r="E1547" t="s">
        <v>691</v>
      </c>
    </row>
    <row r="1548" spans="2:5" x14ac:dyDescent="0.3">
      <c r="B1548" t="s">
        <v>2797</v>
      </c>
      <c r="C1548">
        <v>511441</v>
      </c>
      <c r="D1548" t="s">
        <v>496</v>
      </c>
      <c r="E1548" t="s">
        <v>479</v>
      </c>
    </row>
    <row r="1549" spans="2:5" x14ac:dyDescent="0.3">
      <c r="B1549" t="s">
        <v>2798</v>
      </c>
      <c r="C1549">
        <v>500173</v>
      </c>
      <c r="D1549" t="s">
        <v>2799</v>
      </c>
      <c r="E1549" t="s">
        <v>1532</v>
      </c>
    </row>
    <row r="1550" spans="2:5" x14ac:dyDescent="0.3">
      <c r="B1550" t="s">
        <v>2800</v>
      </c>
      <c r="C1550">
        <v>531410</v>
      </c>
      <c r="D1550" t="s">
        <v>496</v>
      </c>
      <c r="E1550" t="s">
        <v>801</v>
      </c>
    </row>
    <row r="1551" spans="2:5" x14ac:dyDescent="0.3">
      <c r="B1551" t="s">
        <v>2801</v>
      </c>
      <c r="C1551">
        <v>539336</v>
      </c>
      <c r="D1551" t="s">
        <v>2802</v>
      </c>
      <c r="E1551" t="s">
        <v>627</v>
      </c>
    </row>
    <row r="1552" spans="2:5" x14ac:dyDescent="0.3">
      <c r="B1552" t="s">
        <v>2803</v>
      </c>
      <c r="C1552">
        <v>507960</v>
      </c>
      <c r="D1552" t="s">
        <v>496</v>
      </c>
      <c r="E1552" t="s">
        <v>697</v>
      </c>
    </row>
    <row r="1553" spans="2:5" x14ac:dyDescent="0.3">
      <c r="B1553" t="s">
        <v>2804</v>
      </c>
      <c r="C1553">
        <v>540938</v>
      </c>
      <c r="D1553" t="s">
        <v>496</v>
      </c>
      <c r="E1553" t="s">
        <v>511</v>
      </c>
    </row>
    <row r="1554" spans="2:5" x14ac:dyDescent="0.3">
      <c r="B1554" t="s">
        <v>2805</v>
      </c>
      <c r="C1554">
        <v>517300</v>
      </c>
      <c r="D1554" t="s">
        <v>2806</v>
      </c>
      <c r="E1554" t="s">
        <v>635</v>
      </c>
    </row>
    <row r="1555" spans="2:5" x14ac:dyDescent="0.3">
      <c r="B1555" t="s">
        <v>2807</v>
      </c>
      <c r="C1555">
        <v>517372</v>
      </c>
      <c r="D1555" t="s">
        <v>496</v>
      </c>
      <c r="E1555" t="s">
        <v>1416</v>
      </c>
    </row>
    <row r="1556" spans="2:5" x14ac:dyDescent="0.3">
      <c r="B1556" t="s">
        <v>2808</v>
      </c>
      <c r="C1556">
        <v>531341</v>
      </c>
      <c r="D1556" t="s">
        <v>496</v>
      </c>
      <c r="E1556" t="s">
        <v>513</v>
      </c>
    </row>
    <row r="1557" spans="2:5" x14ac:dyDescent="0.3">
      <c r="B1557" t="s">
        <v>2809</v>
      </c>
      <c r="C1557">
        <v>500174</v>
      </c>
      <c r="D1557" t="s">
        <v>2810</v>
      </c>
      <c r="E1557" t="s">
        <v>513</v>
      </c>
    </row>
    <row r="1558" spans="2:5" x14ac:dyDescent="0.3">
      <c r="B1558" t="s">
        <v>2811</v>
      </c>
      <c r="C1558">
        <v>524754</v>
      </c>
      <c r="D1558" t="s">
        <v>496</v>
      </c>
      <c r="E1558" t="s">
        <v>1461</v>
      </c>
    </row>
    <row r="1559" spans="2:5" x14ac:dyDescent="0.3">
      <c r="B1559" t="s">
        <v>2812</v>
      </c>
      <c r="C1559">
        <v>531881</v>
      </c>
      <c r="D1559" t="s">
        <v>496</v>
      </c>
      <c r="E1559" t="s">
        <v>518</v>
      </c>
    </row>
    <row r="1560" spans="2:5" x14ac:dyDescent="0.3">
      <c r="B1560" t="s">
        <v>2813</v>
      </c>
      <c r="C1560">
        <v>532181</v>
      </c>
      <c r="D1560" t="s">
        <v>2814</v>
      </c>
      <c r="E1560" t="s">
        <v>1174</v>
      </c>
    </row>
    <row r="1561" spans="2:5" x14ac:dyDescent="0.3">
      <c r="B1561" t="s">
        <v>2815</v>
      </c>
      <c r="C1561">
        <v>500670</v>
      </c>
      <c r="D1561" t="s">
        <v>2816</v>
      </c>
      <c r="E1561" t="s">
        <v>1004</v>
      </c>
    </row>
    <row r="1562" spans="2:5" x14ac:dyDescent="0.3">
      <c r="B1562" t="s">
        <v>2817</v>
      </c>
      <c r="C1562">
        <v>513536</v>
      </c>
      <c r="D1562" t="s">
        <v>496</v>
      </c>
      <c r="E1562" t="s">
        <v>559</v>
      </c>
    </row>
    <row r="1563" spans="2:5" x14ac:dyDescent="0.3">
      <c r="B1563" t="s">
        <v>2818</v>
      </c>
      <c r="C1563">
        <v>506858</v>
      </c>
      <c r="D1563" t="s">
        <v>496</v>
      </c>
      <c r="E1563" t="s">
        <v>873</v>
      </c>
    </row>
    <row r="1564" spans="2:5" x14ac:dyDescent="0.3">
      <c r="B1564" t="s">
        <v>2819</v>
      </c>
      <c r="C1564">
        <v>533248</v>
      </c>
      <c r="D1564" t="s">
        <v>2820</v>
      </c>
      <c r="E1564" t="s">
        <v>632</v>
      </c>
    </row>
    <row r="1565" spans="2:5" x14ac:dyDescent="0.3">
      <c r="B1565" t="s">
        <v>2821</v>
      </c>
      <c r="C1565">
        <v>517288</v>
      </c>
      <c r="D1565" t="s">
        <v>496</v>
      </c>
      <c r="E1565" t="s">
        <v>794</v>
      </c>
    </row>
    <row r="1566" spans="2:5" x14ac:dyDescent="0.3">
      <c r="B1566" t="s">
        <v>2822</v>
      </c>
      <c r="C1566">
        <v>523836</v>
      </c>
      <c r="D1566" t="s">
        <v>2823</v>
      </c>
      <c r="E1566" t="s">
        <v>691</v>
      </c>
    </row>
    <row r="1567" spans="2:5" x14ac:dyDescent="0.3">
      <c r="B1567" t="s">
        <v>2824</v>
      </c>
      <c r="C1567">
        <v>518029</v>
      </c>
      <c r="D1567" t="s">
        <v>2825</v>
      </c>
      <c r="E1567" t="s">
        <v>509</v>
      </c>
    </row>
    <row r="1568" spans="2:5" x14ac:dyDescent="0.3">
      <c r="B1568" t="s">
        <v>2826</v>
      </c>
      <c r="C1568">
        <v>500690</v>
      </c>
      <c r="D1568" t="s">
        <v>2827</v>
      </c>
      <c r="E1568" t="s">
        <v>1004</v>
      </c>
    </row>
    <row r="1569" spans="2:5" x14ac:dyDescent="0.3">
      <c r="B1569" t="s">
        <v>2828</v>
      </c>
      <c r="C1569">
        <v>532160</v>
      </c>
      <c r="D1569" t="s">
        <v>496</v>
      </c>
      <c r="E1569" t="s">
        <v>2829</v>
      </c>
    </row>
    <row r="1570" spans="2:5" x14ac:dyDescent="0.3">
      <c r="B1570" t="s">
        <v>2830</v>
      </c>
      <c r="C1570">
        <v>532702</v>
      </c>
      <c r="D1570" t="s">
        <v>2831</v>
      </c>
      <c r="E1570" t="s">
        <v>521</v>
      </c>
    </row>
    <row r="1571" spans="2:5" x14ac:dyDescent="0.3">
      <c r="B1571" t="s">
        <v>2832</v>
      </c>
      <c r="C1571">
        <v>524314</v>
      </c>
      <c r="D1571" t="s">
        <v>496</v>
      </c>
      <c r="E1571" t="s">
        <v>534</v>
      </c>
    </row>
    <row r="1572" spans="2:5" x14ac:dyDescent="0.3">
      <c r="B1572" t="s">
        <v>2833</v>
      </c>
      <c r="C1572">
        <v>506879</v>
      </c>
      <c r="D1572" t="s">
        <v>496</v>
      </c>
      <c r="E1572" t="s">
        <v>534</v>
      </c>
    </row>
    <row r="1573" spans="2:5" x14ac:dyDescent="0.3">
      <c r="B1573" t="s">
        <v>2834</v>
      </c>
      <c r="C1573">
        <v>513337</v>
      </c>
      <c r="D1573" t="s">
        <v>496</v>
      </c>
      <c r="E1573" t="s">
        <v>616</v>
      </c>
    </row>
    <row r="1574" spans="2:5" x14ac:dyDescent="0.3">
      <c r="B1574" t="s">
        <v>2835</v>
      </c>
      <c r="C1574">
        <v>506640</v>
      </c>
      <c r="D1574" t="s">
        <v>496</v>
      </c>
      <c r="E1574" t="s">
        <v>544</v>
      </c>
    </row>
    <row r="1575" spans="2:5" x14ac:dyDescent="0.3">
      <c r="B1575" t="s">
        <v>2836</v>
      </c>
      <c r="C1575">
        <v>506640</v>
      </c>
      <c r="D1575" t="s">
        <v>496</v>
      </c>
      <c r="E1575" t="s">
        <v>544</v>
      </c>
    </row>
    <row r="1576" spans="2:5" x14ac:dyDescent="0.3">
      <c r="B1576" t="s">
        <v>2837</v>
      </c>
      <c r="C1576">
        <v>538567</v>
      </c>
      <c r="D1576" t="s">
        <v>2838</v>
      </c>
      <c r="E1576" t="s">
        <v>706</v>
      </c>
    </row>
    <row r="1577" spans="2:5" x14ac:dyDescent="0.3">
      <c r="B1577" t="s">
        <v>2839</v>
      </c>
      <c r="C1577">
        <v>538567</v>
      </c>
      <c r="D1577" t="s">
        <v>2838</v>
      </c>
      <c r="E1577" t="s">
        <v>706</v>
      </c>
    </row>
    <row r="1578" spans="2:5" x14ac:dyDescent="0.3">
      <c r="B1578" t="s">
        <v>2840</v>
      </c>
      <c r="C1578">
        <v>532425</v>
      </c>
      <c r="D1578" t="s">
        <v>496</v>
      </c>
      <c r="E1578" t="s">
        <v>544</v>
      </c>
    </row>
    <row r="1579" spans="2:5" x14ac:dyDescent="0.3">
      <c r="B1579" t="s">
        <v>2841</v>
      </c>
      <c r="C1579">
        <v>532457</v>
      </c>
      <c r="D1579" t="s">
        <v>2842</v>
      </c>
      <c r="E1579" t="s">
        <v>544</v>
      </c>
    </row>
    <row r="1580" spans="2:5" x14ac:dyDescent="0.3">
      <c r="B1580" t="s">
        <v>2843</v>
      </c>
      <c r="C1580">
        <v>523277</v>
      </c>
      <c r="D1580" t="s">
        <v>496</v>
      </c>
      <c r="E1580" t="s">
        <v>499</v>
      </c>
    </row>
    <row r="1581" spans="2:5" x14ac:dyDescent="0.3">
      <c r="B1581" t="s">
        <v>2844</v>
      </c>
      <c r="C1581">
        <v>532708</v>
      </c>
      <c r="D1581" t="s">
        <v>2845</v>
      </c>
      <c r="E1581" t="s">
        <v>635</v>
      </c>
    </row>
    <row r="1582" spans="2:5" x14ac:dyDescent="0.3">
      <c r="B1582" t="s">
        <v>2846</v>
      </c>
      <c r="C1582">
        <v>530141</v>
      </c>
      <c r="D1582" t="s">
        <v>496</v>
      </c>
      <c r="E1582" t="s">
        <v>582</v>
      </c>
    </row>
    <row r="1583" spans="2:5" x14ac:dyDescent="0.3">
      <c r="B1583" t="s">
        <v>2847</v>
      </c>
      <c r="C1583">
        <v>533275</v>
      </c>
      <c r="D1583" t="s">
        <v>2848</v>
      </c>
      <c r="E1583" t="s">
        <v>528</v>
      </c>
    </row>
    <row r="1584" spans="2:5" x14ac:dyDescent="0.3">
      <c r="B1584" t="s">
        <v>2849</v>
      </c>
      <c r="C1584">
        <v>541019</v>
      </c>
      <c r="D1584" t="s">
        <v>2850</v>
      </c>
      <c r="E1584" t="s">
        <v>894</v>
      </c>
    </row>
    <row r="1585" spans="2:5" x14ac:dyDescent="0.3">
      <c r="B1585" t="s">
        <v>2851</v>
      </c>
      <c r="C1585">
        <v>539337</v>
      </c>
      <c r="D1585" t="s">
        <v>496</v>
      </c>
      <c r="E1585" t="s">
        <v>691</v>
      </c>
    </row>
    <row r="1586" spans="2:5" x14ac:dyDescent="0.3">
      <c r="B1586" t="s">
        <v>2852</v>
      </c>
      <c r="C1586">
        <v>502873</v>
      </c>
      <c r="D1586" t="s">
        <v>496</v>
      </c>
      <c r="E1586" t="s">
        <v>511</v>
      </c>
    </row>
    <row r="1587" spans="2:5" x14ac:dyDescent="0.3">
      <c r="B1587" t="s">
        <v>2853</v>
      </c>
      <c r="C1587">
        <v>532145</v>
      </c>
      <c r="D1587" t="s">
        <v>496</v>
      </c>
      <c r="E1587" t="s">
        <v>697</v>
      </c>
    </row>
    <row r="1588" spans="2:5" x14ac:dyDescent="0.3">
      <c r="B1588" t="s">
        <v>2854</v>
      </c>
      <c r="C1588">
        <v>532145</v>
      </c>
      <c r="D1588" t="s">
        <v>496</v>
      </c>
      <c r="E1588" t="s">
        <v>697</v>
      </c>
    </row>
    <row r="1589" spans="2:5" x14ac:dyDescent="0.3">
      <c r="B1589" t="s">
        <v>2855</v>
      </c>
      <c r="C1589">
        <v>539854</v>
      </c>
      <c r="D1589" t="s">
        <v>496</v>
      </c>
      <c r="E1589" t="s">
        <v>694</v>
      </c>
    </row>
    <row r="1590" spans="2:5" x14ac:dyDescent="0.3">
      <c r="B1590" t="s">
        <v>2856</v>
      </c>
      <c r="C1590">
        <v>515147</v>
      </c>
      <c r="D1590" t="s">
        <v>496</v>
      </c>
      <c r="E1590" t="s">
        <v>691</v>
      </c>
    </row>
    <row r="1591" spans="2:5" x14ac:dyDescent="0.3">
      <c r="B1591" t="s">
        <v>2857</v>
      </c>
      <c r="C1591">
        <v>509597</v>
      </c>
      <c r="D1591" t="s">
        <v>496</v>
      </c>
      <c r="E1591" t="s">
        <v>656</v>
      </c>
    </row>
    <row r="1592" spans="2:5" x14ac:dyDescent="0.3">
      <c r="B1592" t="s">
        <v>2858</v>
      </c>
      <c r="C1592">
        <v>531971</v>
      </c>
      <c r="D1592" t="s">
        <v>496</v>
      </c>
      <c r="E1592" t="s">
        <v>511</v>
      </c>
    </row>
    <row r="1593" spans="2:5" x14ac:dyDescent="0.3">
      <c r="B1593" t="s">
        <v>2859</v>
      </c>
      <c r="C1593">
        <v>538081</v>
      </c>
      <c r="D1593" t="s">
        <v>496</v>
      </c>
      <c r="E1593" t="s">
        <v>511</v>
      </c>
    </row>
    <row r="1594" spans="2:5" x14ac:dyDescent="0.3">
      <c r="B1594" t="s">
        <v>2860</v>
      </c>
      <c r="C1594">
        <v>512604</v>
      </c>
      <c r="D1594" t="s">
        <v>496</v>
      </c>
      <c r="E1594" t="s">
        <v>610</v>
      </c>
    </row>
    <row r="1595" spans="2:5" x14ac:dyDescent="0.3">
      <c r="B1595" t="s">
        <v>2861</v>
      </c>
      <c r="C1595">
        <v>542682</v>
      </c>
      <c r="D1595" t="s">
        <v>2862</v>
      </c>
      <c r="E1595" t="s">
        <v>504</v>
      </c>
    </row>
    <row r="1596" spans="2:5" x14ac:dyDescent="0.3">
      <c r="B1596" t="s">
        <v>2863</v>
      </c>
      <c r="C1596">
        <v>590043</v>
      </c>
      <c r="D1596" t="s">
        <v>2864</v>
      </c>
      <c r="E1596" t="s">
        <v>851</v>
      </c>
    </row>
    <row r="1597" spans="2:5" x14ac:dyDescent="0.3">
      <c r="B1597" t="s">
        <v>2865</v>
      </c>
      <c r="C1597">
        <v>506024</v>
      </c>
      <c r="D1597" t="s">
        <v>496</v>
      </c>
      <c r="E1597" t="s">
        <v>528</v>
      </c>
    </row>
    <row r="1598" spans="2:5" x14ac:dyDescent="0.3">
      <c r="B1598" t="s">
        <v>2866</v>
      </c>
      <c r="C1598">
        <v>526931</v>
      </c>
      <c r="D1598" t="s">
        <v>496</v>
      </c>
      <c r="E1598" t="s">
        <v>681</v>
      </c>
    </row>
    <row r="1599" spans="2:5" x14ac:dyDescent="0.3">
      <c r="B1599" t="s">
        <v>2867</v>
      </c>
      <c r="C1599">
        <v>530055</v>
      </c>
      <c r="D1599" t="s">
        <v>496</v>
      </c>
      <c r="E1599" t="s">
        <v>917</v>
      </c>
    </row>
    <row r="1600" spans="2:5" x14ac:dyDescent="0.3">
      <c r="B1600" t="s">
        <v>2868</v>
      </c>
      <c r="C1600">
        <v>500467</v>
      </c>
      <c r="D1600" t="s">
        <v>2869</v>
      </c>
      <c r="E1600" t="s">
        <v>976</v>
      </c>
    </row>
    <row r="1601" spans="2:5" x14ac:dyDescent="0.3">
      <c r="B1601" t="s">
        <v>2870</v>
      </c>
      <c r="C1601">
        <v>532855</v>
      </c>
      <c r="D1601" t="s">
        <v>496</v>
      </c>
      <c r="E1601" t="s">
        <v>516</v>
      </c>
    </row>
    <row r="1602" spans="2:5" x14ac:dyDescent="0.3">
      <c r="B1602" t="s">
        <v>2871</v>
      </c>
      <c r="C1602">
        <v>530927</v>
      </c>
      <c r="D1602" t="s">
        <v>496</v>
      </c>
      <c r="E1602" t="s">
        <v>2829</v>
      </c>
    </row>
    <row r="1603" spans="2:5" x14ac:dyDescent="0.3">
      <c r="B1603" t="s">
        <v>2872</v>
      </c>
      <c r="C1603">
        <v>524080</v>
      </c>
      <c r="D1603" t="s">
        <v>496</v>
      </c>
      <c r="E1603" t="s">
        <v>544</v>
      </c>
    </row>
    <row r="1604" spans="2:5" x14ac:dyDescent="0.3">
      <c r="B1604" t="s">
        <v>2873</v>
      </c>
      <c r="C1604">
        <v>780014</v>
      </c>
      <c r="D1604" t="s">
        <v>496</v>
      </c>
      <c r="E1604" t="s">
        <v>587</v>
      </c>
    </row>
    <row r="1605" spans="2:5" x14ac:dyDescent="0.3">
      <c r="B1605" t="s">
        <v>2874</v>
      </c>
      <c r="C1605">
        <v>531387</v>
      </c>
      <c r="D1605" t="s">
        <v>496</v>
      </c>
      <c r="E1605" t="s">
        <v>513</v>
      </c>
    </row>
    <row r="1606" spans="2:5" x14ac:dyDescent="0.3">
      <c r="B1606" t="s">
        <v>2875</v>
      </c>
      <c r="C1606">
        <v>509073</v>
      </c>
      <c r="D1606" t="s">
        <v>2876</v>
      </c>
      <c r="E1606" t="s">
        <v>2877</v>
      </c>
    </row>
    <row r="1607" spans="2:5" x14ac:dyDescent="0.3">
      <c r="B1607" t="s">
        <v>2878</v>
      </c>
      <c r="C1607">
        <v>533162</v>
      </c>
      <c r="D1607" t="s">
        <v>2879</v>
      </c>
      <c r="E1607" t="s">
        <v>1235</v>
      </c>
    </row>
    <row r="1608" spans="2:5" x14ac:dyDescent="0.3">
      <c r="B1608" t="s">
        <v>2880</v>
      </c>
      <c r="C1608">
        <v>531531</v>
      </c>
      <c r="D1608" t="s">
        <v>2881</v>
      </c>
      <c r="E1608" t="s">
        <v>556</v>
      </c>
    </row>
    <row r="1609" spans="2:5" x14ac:dyDescent="0.3">
      <c r="B1609" t="s">
        <v>2882</v>
      </c>
      <c r="C1609">
        <v>517354</v>
      </c>
      <c r="D1609" t="s">
        <v>2883</v>
      </c>
      <c r="E1609" t="s">
        <v>794</v>
      </c>
    </row>
    <row r="1610" spans="2:5" x14ac:dyDescent="0.3">
      <c r="B1610" t="s">
        <v>2884</v>
      </c>
      <c r="C1610">
        <v>517354</v>
      </c>
      <c r="D1610" t="s">
        <v>2883</v>
      </c>
      <c r="E1610" t="s">
        <v>794</v>
      </c>
    </row>
    <row r="1611" spans="2:5" x14ac:dyDescent="0.3">
      <c r="B1611" t="s">
        <v>2885</v>
      </c>
      <c r="C1611">
        <v>539176</v>
      </c>
      <c r="D1611" t="s">
        <v>496</v>
      </c>
      <c r="E1611" t="s">
        <v>504</v>
      </c>
    </row>
    <row r="1612" spans="2:5" x14ac:dyDescent="0.3">
      <c r="B1612" t="s">
        <v>2886</v>
      </c>
      <c r="C1612">
        <v>508486</v>
      </c>
      <c r="D1612" t="s">
        <v>496</v>
      </c>
      <c r="E1612" t="s">
        <v>1542</v>
      </c>
    </row>
    <row r="1613" spans="2:5" x14ac:dyDescent="0.3">
      <c r="B1613" t="s">
        <v>2887</v>
      </c>
      <c r="C1613">
        <v>532467</v>
      </c>
      <c r="D1613" t="s">
        <v>496</v>
      </c>
      <c r="E1613" t="s">
        <v>499</v>
      </c>
    </row>
    <row r="1614" spans="2:5" x14ac:dyDescent="0.3">
      <c r="B1614" t="s">
        <v>2888</v>
      </c>
      <c r="C1614">
        <v>532334</v>
      </c>
      <c r="D1614" t="s">
        <v>496</v>
      </c>
      <c r="E1614" t="s">
        <v>582</v>
      </c>
    </row>
    <row r="1615" spans="2:5" x14ac:dyDescent="0.3">
      <c r="B1615" t="s">
        <v>2889</v>
      </c>
      <c r="C1615">
        <v>508956</v>
      </c>
      <c r="D1615" t="s">
        <v>496</v>
      </c>
      <c r="E1615" t="s">
        <v>513</v>
      </c>
    </row>
    <row r="1616" spans="2:5" x14ac:dyDescent="0.3">
      <c r="B1616" t="s">
        <v>2890</v>
      </c>
      <c r="C1616">
        <v>532333</v>
      </c>
      <c r="D1616" t="s">
        <v>496</v>
      </c>
      <c r="E1616" t="s">
        <v>479</v>
      </c>
    </row>
    <row r="1617" spans="2:5" x14ac:dyDescent="0.3">
      <c r="B1617" t="s">
        <v>2891</v>
      </c>
      <c r="C1617">
        <v>532216</v>
      </c>
      <c r="D1617" t="s">
        <v>2892</v>
      </c>
      <c r="E1617" t="s">
        <v>513</v>
      </c>
    </row>
    <row r="1618" spans="2:5" x14ac:dyDescent="0.3">
      <c r="B1618" t="s">
        <v>2893</v>
      </c>
      <c r="C1618">
        <v>517271</v>
      </c>
      <c r="D1618" t="s">
        <v>2894</v>
      </c>
      <c r="E1618" t="s">
        <v>794</v>
      </c>
    </row>
    <row r="1619" spans="2:5" x14ac:dyDescent="0.3">
      <c r="B1619" t="s">
        <v>2895</v>
      </c>
      <c r="C1619">
        <v>539224</v>
      </c>
      <c r="D1619" t="s">
        <v>496</v>
      </c>
      <c r="E1619" t="s">
        <v>485</v>
      </c>
    </row>
    <row r="1620" spans="2:5" x14ac:dyDescent="0.3">
      <c r="B1620" t="s">
        <v>2896</v>
      </c>
      <c r="C1620">
        <v>500179</v>
      </c>
      <c r="D1620" t="s">
        <v>2897</v>
      </c>
      <c r="E1620" t="s">
        <v>821</v>
      </c>
    </row>
    <row r="1621" spans="2:5" x14ac:dyDescent="0.3">
      <c r="B1621" t="s">
        <v>2898</v>
      </c>
      <c r="C1621">
        <v>532281</v>
      </c>
      <c r="D1621" t="s">
        <v>2899</v>
      </c>
      <c r="E1621" t="s">
        <v>482</v>
      </c>
    </row>
    <row r="1622" spans="2:5" x14ac:dyDescent="0.3">
      <c r="B1622" t="s">
        <v>2900</v>
      </c>
      <c r="C1622">
        <v>541729</v>
      </c>
      <c r="D1622" t="s">
        <v>2901</v>
      </c>
      <c r="E1622" t="s">
        <v>2902</v>
      </c>
    </row>
    <row r="1623" spans="2:5" x14ac:dyDescent="0.3">
      <c r="B1623" t="s">
        <v>2903</v>
      </c>
      <c r="C1623">
        <v>500180</v>
      </c>
      <c r="D1623" t="s">
        <v>2904</v>
      </c>
      <c r="E1623" t="s">
        <v>814</v>
      </c>
    </row>
    <row r="1624" spans="2:5" x14ac:dyDescent="0.3">
      <c r="B1624" t="s">
        <v>2905</v>
      </c>
      <c r="C1624">
        <v>533230</v>
      </c>
      <c r="D1624" t="s">
        <v>2906</v>
      </c>
      <c r="E1624" t="s">
        <v>479</v>
      </c>
    </row>
    <row r="1625" spans="2:5" x14ac:dyDescent="0.3">
      <c r="B1625" t="s">
        <v>2907</v>
      </c>
      <c r="C1625">
        <v>540777</v>
      </c>
      <c r="D1625" t="s">
        <v>2908</v>
      </c>
      <c r="E1625" t="s">
        <v>2909</v>
      </c>
    </row>
    <row r="1626" spans="2:5" x14ac:dyDescent="0.3">
      <c r="B1626" t="s">
        <v>2910</v>
      </c>
      <c r="C1626">
        <v>539787</v>
      </c>
      <c r="D1626" t="s">
        <v>2911</v>
      </c>
      <c r="E1626" t="s">
        <v>966</v>
      </c>
    </row>
    <row r="1627" spans="2:5" x14ac:dyDescent="0.3">
      <c r="B1627" t="s">
        <v>2912</v>
      </c>
      <c r="C1627">
        <v>503689</v>
      </c>
      <c r="D1627" t="s">
        <v>496</v>
      </c>
      <c r="E1627" t="s">
        <v>917</v>
      </c>
    </row>
    <row r="1628" spans="2:5" x14ac:dyDescent="0.3">
      <c r="B1628" t="s">
        <v>2913</v>
      </c>
      <c r="C1628" t="s">
        <v>496</v>
      </c>
      <c r="D1628" t="s">
        <v>2914</v>
      </c>
      <c r="E1628" t="s">
        <v>507</v>
      </c>
    </row>
    <row r="1629" spans="2:5" x14ac:dyDescent="0.3">
      <c r="B1629" t="s">
        <v>2915</v>
      </c>
      <c r="C1629">
        <v>526967</v>
      </c>
      <c r="D1629" t="s">
        <v>496</v>
      </c>
      <c r="E1629" t="s">
        <v>528</v>
      </c>
    </row>
    <row r="1630" spans="2:5" x14ac:dyDescent="0.3">
      <c r="B1630" t="s">
        <v>2916</v>
      </c>
      <c r="C1630">
        <v>509631</v>
      </c>
      <c r="D1630" t="s">
        <v>2917</v>
      </c>
      <c r="E1630" t="s">
        <v>681</v>
      </c>
    </row>
    <row r="1631" spans="2:5" x14ac:dyDescent="0.3">
      <c r="B1631" t="s">
        <v>2918</v>
      </c>
      <c r="C1631">
        <v>500292</v>
      </c>
      <c r="D1631" t="s">
        <v>2919</v>
      </c>
      <c r="E1631" t="s">
        <v>509</v>
      </c>
    </row>
    <row r="1632" spans="2:5" x14ac:dyDescent="0.3">
      <c r="B1632" t="s">
        <v>2920</v>
      </c>
      <c r="C1632">
        <v>500292</v>
      </c>
      <c r="D1632" t="s">
        <v>2919</v>
      </c>
      <c r="E1632" t="s">
        <v>509</v>
      </c>
    </row>
    <row r="1633" spans="2:5" x14ac:dyDescent="0.3">
      <c r="B1633" t="s">
        <v>2921</v>
      </c>
      <c r="C1633">
        <v>539174</v>
      </c>
      <c r="D1633" t="s">
        <v>2922</v>
      </c>
      <c r="E1633" t="s">
        <v>513</v>
      </c>
    </row>
    <row r="1634" spans="2:5" x14ac:dyDescent="0.3">
      <c r="B1634" t="s">
        <v>2923</v>
      </c>
      <c r="C1634">
        <v>505520</v>
      </c>
      <c r="D1634" t="s">
        <v>496</v>
      </c>
      <c r="E1634" t="s">
        <v>917</v>
      </c>
    </row>
    <row r="1635" spans="2:5" x14ac:dyDescent="0.3">
      <c r="B1635" t="s">
        <v>2924</v>
      </c>
      <c r="C1635">
        <v>531178</v>
      </c>
      <c r="D1635" t="s">
        <v>496</v>
      </c>
      <c r="E1635" t="s">
        <v>518</v>
      </c>
    </row>
    <row r="1636" spans="2:5" x14ac:dyDescent="0.3">
      <c r="B1636" t="s">
        <v>2925</v>
      </c>
      <c r="C1636">
        <v>524590</v>
      </c>
      <c r="D1636" t="s">
        <v>496</v>
      </c>
      <c r="E1636" t="s">
        <v>518</v>
      </c>
    </row>
    <row r="1637" spans="2:5" x14ac:dyDescent="0.3">
      <c r="B1637" t="s">
        <v>2926</v>
      </c>
      <c r="C1637">
        <v>505720</v>
      </c>
      <c r="D1637" t="s">
        <v>2927</v>
      </c>
      <c r="E1637" t="s">
        <v>504</v>
      </c>
    </row>
    <row r="1638" spans="2:5" x14ac:dyDescent="0.3">
      <c r="B1638" t="s">
        <v>2928</v>
      </c>
      <c r="C1638">
        <v>519552</v>
      </c>
      <c r="D1638" t="s">
        <v>2929</v>
      </c>
      <c r="E1638" t="s">
        <v>556</v>
      </c>
    </row>
    <row r="1639" spans="2:5" x14ac:dyDescent="0.3">
      <c r="B1639" t="s">
        <v>2930</v>
      </c>
      <c r="C1639">
        <v>500182</v>
      </c>
      <c r="D1639" t="s">
        <v>2931</v>
      </c>
      <c r="E1639" t="s">
        <v>1154</v>
      </c>
    </row>
    <row r="1640" spans="2:5" x14ac:dyDescent="0.3">
      <c r="B1640" t="s">
        <v>2932</v>
      </c>
      <c r="C1640">
        <v>524669</v>
      </c>
      <c r="D1640" t="s">
        <v>2933</v>
      </c>
      <c r="E1640" t="s">
        <v>534</v>
      </c>
    </row>
    <row r="1641" spans="2:5" x14ac:dyDescent="0.3">
      <c r="B1641" t="s">
        <v>2934</v>
      </c>
      <c r="C1641">
        <v>534328</v>
      </c>
      <c r="D1641" t="s">
        <v>2935</v>
      </c>
      <c r="E1641" t="s">
        <v>518</v>
      </c>
    </row>
    <row r="1642" spans="2:5" x14ac:dyDescent="0.3">
      <c r="B1642" t="s">
        <v>2936</v>
      </c>
      <c r="C1642">
        <v>532129</v>
      </c>
      <c r="D1642" t="s">
        <v>2937</v>
      </c>
      <c r="E1642" t="s">
        <v>482</v>
      </c>
    </row>
    <row r="1643" spans="2:5" x14ac:dyDescent="0.3">
      <c r="B1643" t="s">
        <v>2938</v>
      </c>
      <c r="C1643">
        <v>504176</v>
      </c>
      <c r="D1643" t="s">
        <v>496</v>
      </c>
      <c r="E1643" t="s">
        <v>1042</v>
      </c>
    </row>
    <row r="1644" spans="2:5" x14ac:dyDescent="0.3">
      <c r="B1644" t="s">
        <v>2939</v>
      </c>
      <c r="C1644">
        <v>504176</v>
      </c>
      <c r="D1644" t="s">
        <v>496</v>
      </c>
      <c r="E1644" t="s">
        <v>1042</v>
      </c>
    </row>
    <row r="1645" spans="2:5" x14ac:dyDescent="0.3">
      <c r="B1645" t="s">
        <v>2940</v>
      </c>
      <c r="C1645">
        <v>517080</v>
      </c>
      <c r="D1645" t="s">
        <v>2941</v>
      </c>
      <c r="E1645" t="s">
        <v>894</v>
      </c>
    </row>
    <row r="1646" spans="2:5" x14ac:dyDescent="0.3">
      <c r="B1646" t="s">
        <v>2942</v>
      </c>
      <c r="C1646">
        <v>531301</v>
      </c>
      <c r="D1646" t="s">
        <v>496</v>
      </c>
      <c r="E1646" t="s">
        <v>511</v>
      </c>
    </row>
    <row r="1647" spans="2:5" x14ac:dyDescent="0.3">
      <c r="B1647" t="s">
        <v>2943</v>
      </c>
      <c r="C1647">
        <v>524735</v>
      </c>
      <c r="D1647" t="s">
        <v>2944</v>
      </c>
      <c r="E1647" t="s">
        <v>534</v>
      </c>
    </row>
    <row r="1648" spans="2:5" x14ac:dyDescent="0.3">
      <c r="B1648" t="s">
        <v>2945</v>
      </c>
      <c r="C1648">
        <v>542332</v>
      </c>
      <c r="D1648" t="s">
        <v>2946</v>
      </c>
      <c r="E1648" t="s">
        <v>479</v>
      </c>
    </row>
    <row r="1649" spans="2:5" x14ac:dyDescent="0.3">
      <c r="B1649" t="s">
        <v>2947</v>
      </c>
      <c r="C1649">
        <v>509675</v>
      </c>
      <c r="D1649" t="s">
        <v>2948</v>
      </c>
      <c r="E1649" t="s">
        <v>509</v>
      </c>
    </row>
    <row r="1650" spans="2:5" x14ac:dyDescent="0.3">
      <c r="B1650" t="s">
        <v>2949</v>
      </c>
      <c r="C1650">
        <v>532847</v>
      </c>
      <c r="D1650" t="s">
        <v>2950</v>
      </c>
      <c r="E1650" t="s">
        <v>1416</v>
      </c>
    </row>
    <row r="1651" spans="2:5" x14ac:dyDescent="0.3">
      <c r="B1651" t="s">
        <v>2951</v>
      </c>
      <c r="C1651">
        <v>505712</v>
      </c>
      <c r="D1651" t="s">
        <v>496</v>
      </c>
      <c r="E1651" t="s">
        <v>851</v>
      </c>
    </row>
    <row r="1652" spans="2:5" x14ac:dyDescent="0.3">
      <c r="B1652" t="s">
        <v>2952</v>
      </c>
      <c r="C1652">
        <v>514010</v>
      </c>
      <c r="D1652" t="s">
        <v>496</v>
      </c>
      <c r="E1652" t="s">
        <v>511</v>
      </c>
    </row>
    <row r="1653" spans="2:5" x14ac:dyDescent="0.3">
      <c r="B1653" t="s">
        <v>2953</v>
      </c>
      <c r="C1653">
        <v>500183</v>
      </c>
      <c r="D1653" t="s">
        <v>2954</v>
      </c>
      <c r="E1653" t="s">
        <v>766</v>
      </c>
    </row>
    <row r="1654" spans="2:5" x14ac:dyDescent="0.3">
      <c r="B1654" t="s">
        <v>2955</v>
      </c>
      <c r="C1654">
        <v>500184</v>
      </c>
      <c r="D1654" t="s">
        <v>2956</v>
      </c>
      <c r="E1654" t="s">
        <v>656</v>
      </c>
    </row>
    <row r="1655" spans="2:5" x14ac:dyDescent="0.3">
      <c r="B1655" t="s">
        <v>2957</v>
      </c>
      <c r="C1655">
        <v>526899</v>
      </c>
      <c r="D1655" t="s">
        <v>496</v>
      </c>
      <c r="E1655" t="s">
        <v>694</v>
      </c>
    </row>
    <row r="1656" spans="2:5" x14ac:dyDescent="0.3">
      <c r="B1656" t="s">
        <v>2958</v>
      </c>
      <c r="C1656">
        <v>513723</v>
      </c>
      <c r="D1656" t="s">
        <v>496</v>
      </c>
      <c r="E1656" t="s">
        <v>1024</v>
      </c>
    </row>
    <row r="1657" spans="2:5" x14ac:dyDescent="0.3">
      <c r="B1657" t="s">
        <v>2959</v>
      </c>
      <c r="C1657">
        <v>511169</v>
      </c>
      <c r="D1657" t="s">
        <v>496</v>
      </c>
      <c r="E1657" t="s">
        <v>513</v>
      </c>
    </row>
    <row r="1658" spans="2:5" x14ac:dyDescent="0.3">
      <c r="B1658" t="s">
        <v>2960</v>
      </c>
      <c r="C1658">
        <v>514043</v>
      </c>
      <c r="D1658" t="s">
        <v>2961</v>
      </c>
      <c r="E1658" t="s">
        <v>511</v>
      </c>
    </row>
    <row r="1659" spans="2:5" x14ac:dyDescent="0.3">
      <c r="B1659" t="s">
        <v>2962</v>
      </c>
      <c r="C1659">
        <v>531979</v>
      </c>
      <c r="D1659" t="s">
        <v>496</v>
      </c>
      <c r="E1659" t="s">
        <v>801</v>
      </c>
    </row>
    <row r="1660" spans="2:5" x14ac:dyDescent="0.3">
      <c r="B1660" t="s">
        <v>2963</v>
      </c>
      <c r="C1660">
        <v>538652</v>
      </c>
      <c r="D1660" t="s">
        <v>496</v>
      </c>
      <c r="E1660" t="s">
        <v>518</v>
      </c>
    </row>
    <row r="1661" spans="2:5" x14ac:dyDescent="0.3">
      <c r="B1661" t="s">
        <v>2964</v>
      </c>
      <c r="C1661">
        <v>504036</v>
      </c>
      <c r="D1661" t="s">
        <v>2965</v>
      </c>
      <c r="E1661" t="s">
        <v>1038</v>
      </c>
    </row>
    <row r="1662" spans="2:5" x14ac:dyDescent="0.3">
      <c r="B1662" t="s">
        <v>2966</v>
      </c>
      <c r="C1662">
        <v>539114</v>
      </c>
      <c r="D1662" t="s">
        <v>496</v>
      </c>
      <c r="E1662" t="s">
        <v>513</v>
      </c>
    </row>
    <row r="1663" spans="2:5" x14ac:dyDescent="0.3">
      <c r="B1663" t="s">
        <v>2967</v>
      </c>
      <c r="C1663">
        <v>503881</v>
      </c>
      <c r="D1663" t="s">
        <v>2968</v>
      </c>
      <c r="E1663" t="s">
        <v>511</v>
      </c>
    </row>
    <row r="1664" spans="2:5" x14ac:dyDescent="0.3">
      <c r="B1664" t="s">
        <v>2969</v>
      </c>
      <c r="C1664">
        <v>500440</v>
      </c>
      <c r="D1664" t="s">
        <v>2970</v>
      </c>
      <c r="E1664" t="s">
        <v>801</v>
      </c>
    </row>
    <row r="1665" spans="2:5" x14ac:dyDescent="0.3">
      <c r="B1665" t="s">
        <v>2971</v>
      </c>
      <c r="C1665" t="s">
        <v>496</v>
      </c>
      <c r="D1665" t="s">
        <v>2972</v>
      </c>
      <c r="E1665" t="s">
        <v>507</v>
      </c>
    </row>
    <row r="1666" spans="2:5" x14ac:dyDescent="0.3">
      <c r="B1666" t="s">
        <v>2973</v>
      </c>
      <c r="C1666">
        <v>509895</v>
      </c>
      <c r="D1666" t="s">
        <v>496</v>
      </c>
      <c r="E1666" t="s">
        <v>511</v>
      </c>
    </row>
    <row r="1667" spans="2:5" x14ac:dyDescent="0.3">
      <c r="B1667" t="s">
        <v>2974</v>
      </c>
      <c r="C1667">
        <v>532859</v>
      </c>
      <c r="D1667" t="s">
        <v>2975</v>
      </c>
      <c r="E1667" t="s">
        <v>826</v>
      </c>
    </row>
    <row r="1668" spans="2:5" x14ac:dyDescent="0.3">
      <c r="B1668" t="s">
        <v>2976</v>
      </c>
      <c r="C1668">
        <v>500189</v>
      </c>
      <c r="D1668" t="s">
        <v>2977</v>
      </c>
      <c r="E1668" t="s">
        <v>1235</v>
      </c>
    </row>
    <row r="1669" spans="2:5" x14ac:dyDescent="0.3">
      <c r="B1669" t="s">
        <v>2978</v>
      </c>
      <c r="C1669">
        <v>514428</v>
      </c>
      <c r="D1669" t="s">
        <v>496</v>
      </c>
      <c r="E1669" t="s">
        <v>616</v>
      </c>
    </row>
    <row r="1670" spans="2:5" x14ac:dyDescent="0.3">
      <c r="B1670" t="s">
        <v>2979</v>
      </c>
      <c r="C1670">
        <v>541154</v>
      </c>
      <c r="D1670" t="s">
        <v>2980</v>
      </c>
      <c r="E1670" t="s">
        <v>2981</v>
      </c>
    </row>
    <row r="1671" spans="2:5" x14ac:dyDescent="0.3">
      <c r="B1671" t="s">
        <v>2982</v>
      </c>
      <c r="C1671">
        <v>531918</v>
      </c>
      <c r="D1671" t="s">
        <v>496</v>
      </c>
      <c r="E1671" t="s">
        <v>518</v>
      </c>
    </row>
    <row r="1672" spans="2:5" x14ac:dyDescent="0.3">
      <c r="B1672" t="s">
        <v>2983</v>
      </c>
      <c r="C1672">
        <v>532041</v>
      </c>
      <c r="D1672" t="s">
        <v>2984</v>
      </c>
      <c r="E1672" t="s">
        <v>589</v>
      </c>
    </row>
    <row r="1673" spans="2:5" x14ac:dyDescent="0.3">
      <c r="B1673" t="s">
        <v>2985</v>
      </c>
      <c r="C1673">
        <v>509635</v>
      </c>
      <c r="D1673" t="s">
        <v>2986</v>
      </c>
      <c r="E1673" t="s">
        <v>851</v>
      </c>
    </row>
    <row r="1674" spans="2:5" x14ac:dyDescent="0.3">
      <c r="B1674" t="s">
        <v>2987</v>
      </c>
      <c r="C1674">
        <v>500185</v>
      </c>
      <c r="D1674" t="s">
        <v>2988</v>
      </c>
      <c r="E1674" t="s">
        <v>894</v>
      </c>
    </row>
    <row r="1675" spans="2:5" x14ac:dyDescent="0.3">
      <c r="B1675" t="s">
        <v>2989</v>
      </c>
      <c r="C1675">
        <v>513599</v>
      </c>
      <c r="D1675" t="s">
        <v>2990</v>
      </c>
      <c r="E1675" t="s">
        <v>570</v>
      </c>
    </row>
    <row r="1676" spans="2:5" x14ac:dyDescent="0.3">
      <c r="B1676" t="s">
        <v>2991</v>
      </c>
      <c r="C1676">
        <v>505725</v>
      </c>
      <c r="D1676" t="s">
        <v>2992</v>
      </c>
      <c r="E1676" t="s">
        <v>681</v>
      </c>
    </row>
    <row r="1677" spans="2:5" x14ac:dyDescent="0.3">
      <c r="B1677" t="s">
        <v>2993</v>
      </c>
      <c r="C1677">
        <v>524013</v>
      </c>
      <c r="D1677" t="s">
        <v>496</v>
      </c>
      <c r="E1677" t="s">
        <v>873</v>
      </c>
    </row>
    <row r="1678" spans="2:5" x14ac:dyDescent="0.3">
      <c r="B1678" t="s">
        <v>2994</v>
      </c>
      <c r="C1678">
        <v>519126</v>
      </c>
      <c r="D1678" t="s">
        <v>496</v>
      </c>
      <c r="E1678" t="s">
        <v>556</v>
      </c>
    </row>
    <row r="1679" spans="2:5" x14ac:dyDescent="0.3">
      <c r="B1679" t="s">
        <v>2995</v>
      </c>
      <c r="C1679">
        <v>505893</v>
      </c>
      <c r="D1679" t="s">
        <v>496</v>
      </c>
      <c r="E1679" t="s">
        <v>851</v>
      </c>
    </row>
    <row r="1680" spans="2:5" x14ac:dyDescent="0.3">
      <c r="B1680" t="s">
        <v>2996</v>
      </c>
      <c r="C1680">
        <v>509650</v>
      </c>
      <c r="D1680" t="s">
        <v>496</v>
      </c>
      <c r="E1680" t="s">
        <v>554</v>
      </c>
    </row>
    <row r="1681" spans="2:5" x14ac:dyDescent="0.3">
      <c r="B1681" t="s">
        <v>2997</v>
      </c>
      <c r="C1681">
        <v>533217</v>
      </c>
      <c r="D1681" t="s">
        <v>2998</v>
      </c>
      <c r="E1681" t="s">
        <v>1020</v>
      </c>
    </row>
    <row r="1682" spans="2:5" x14ac:dyDescent="0.3">
      <c r="B1682" t="s">
        <v>2999</v>
      </c>
      <c r="C1682">
        <v>500500</v>
      </c>
      <c r="D1682" t="s">
        <v>3000</v>
      </c>
      <c r="E1682" t="s">
        <v>2426</v>
      </c>
    </row>
    <row r="1683" spans="2:5" x14ac:dyDescent="0.3">
      <c r="B1683" t="s">
        <v>3001</v>
      </c>
      <c r="C1683">
        <v>500186</v>
      </c>
      <c r="D1683" t="s">
        <v>3002</v>
      </c>
      <c r="E1683" t="s">
        <v>559</v>
      </c>
    </row>
    <row r="1684" spans="2:5" x14ac:dyDescent="0.3">
      <c r="B1684" t="s">
        <v>3003</v>
      </c>
      <c r="C1684">
        <v>500449</v>
      </c>
      <c r="D1684" t="s">
        <v>496</v>
      </c>
      <c r="E1684" t="s">
        <v>544</v>
      </c>
    </row>
    <row r="1685" spans="2:5" x14ac:dyDescent="0.3">
      <c r="B1685" t="s">
        <v>3004</v>
      </c>
      <c r="C1685">
        <v>500104</v>
      </c>
      <c r="D1685" t="s">
        <v>3005</v>
      </c>
      <c r="E1685" t="s">
        <v>1425</v>
      </c>
    </row>
    <row r="1686" spans="2:5" x14ac:dyDescent="0.3">
      <c r="B1686" t="s">
        <v>3006</v>
      </c>
      <c r="C1686">
        <v>530315</v>
      </c>
      <c r="D1686" t="s">
        <v>496</v>
      </c>
      <c r="E1686" t="s">
        <v>691</v>
      </c>
    </row>
    <row r="1687" spans="2:5" x14ac:dyDescent="0.3">
      <c r="B1687" t="s">
        <v>3007</v>
      </c>
      <c r="C1687">
        <v>500696</v>
      </c>
      <c r="D1687" t="s">
        <v>3008</v>
      </c>
      <c r="E1687" t="s">
        <v>678</v>
      </c>
    </row>
    <row r="1688" spans="2:5" x14ac:dyDescent="0.3">
      <c r="B1688" t="s">
        <v>3009</v>
      </c>
      <c r="C1688">
        <v>504713</v>
      </c>
      <c r="D1688" t="s">
        <v>496</v>
      </c>
      <c r="E1688" t="s">
        <v>1416</v>
      </c>
    </row>
    <row r="1689" spans="2:5" x14ac:dyDescent="0.3">
      <c r="B1689" t="s">
        <v>3010</v>
      </c>
      <c r="C1689">
        <v>500188</v>
      </c>
      <c r="D1689" t="s">
        <v>3011</v>
      </c>
      <c r="E1689" t="s">
        <v>3012</v>
      </c>
    </row>
    <row r="1690" spans="2:5" x14ac:dyDescent="0.3">
      <c r="B1690" t="s">
        <v>3013</v>
      </c>
      <c r="C1690">
        <v>515145</v>
      </c>
      <c r="D1690" t="s">
        <v>3014</v>
      </c>
      <c r="E1690" t="s">
        <v>691</v>
      </c>
    </row>
    <row r="1691" spans="2:5" x14ac:dyDescent="0.3">
      <c r="B1691" t="s">
        <v>3015</v>
      </c>
      <c r="C1691">
        <v>513039</v>
      </c>
      <c r="D1691" t="s">
        <v>496</v>
      </c>
      <c r="E1691" t="s">
        <v>504</v>
      </c>
    </row>
    <row r="1692" spans="2:5" x14ac:dyDescent="0.3">
      <c r="B1692" t="s">
        <v>3016</v>
      </c>
      <c r="C1692">
        <v>539984</v>
      </c>
      <c r="D1692" t="s">
        <v>496</v>
      </c>
      <c r="E1692" t="s">
        <v>1038</v>
      </c>
    </row>
    <row r="1693" spans="2:5" x14ac:dyDescent="0.3">
      <c r="B1693" t="s">
        <v>3017</v>
      </c>
      <c r="C1693">
        <v>530853</v>
      </c>
      <c r="D1693" t="s">
        <v>496</v>
      </c>
      <c r="E1693" t="s">
        <v>2315</v>
      </c>
    </row>
    <row r="1694" spans="2:5" x14ac:dyDescent="0.3">
      <c r="B1694" t="s">
        <v>3018</v>
      </c>
      <c r="C1694">
        <v>531743</v>
      </c>
      <c r="D1694" t="s">
        <v>496</v>
      </c>
      <c r="E1694" t="s">
        <v>518</v>
      </c>
    </row>
    <row r="1695" spans="2:5" x14ac:dyDescent="0.3">
      <c r="B1695" t="s">
        <v>3019</v>
      </c>
      <c r="C1695">
        <v>590018</v>
      </c>
      <c r="D1695" t="s">
        <v>3020</v>
      </c>
      <c r="E1695" t="s">
        <v>528</v>
      </c>
    </row>
    <row r="1696" spans="2:5" x14ac:dyDescent="0.3">
      <c r="B1696" t="s">
        <v>3021</v>
      </c>
      <c r="C1696">
        <v>521068</v>
      </c>
      <c r="D1696" t="s">
        <v>496</v>
      </c>
      <c r="E1696" t="s">
        <v>511</v>
      </c>
    </row>
    <row r="1697" spans="2:5" x14ac:dyDescent="0.3">
      <c r="B1697" t="s">
        <v>3022</v>
      </c>
      <c r="C1697">
        <v>532359</v>
      </c>
      <c r="D1697" t="s">
        <v>496</v>
      </c>
      <c r="E1697" t="s">
        <v>589</v>
      </c>
    </row>
    <row r="1698" spans="2:5" x14ac:dyDescent="0.3">
      <c r="B1698" t="s">
        <v>3023</v>
      </c>
      <c r="C1698">
        <v>526217</v>
      </c>
      <c r="D1698" t="s">
        <v>3024</v>
      </c>
      <c r="E1698" t="s">
        <v>691</v>
      </c>
    </row>
    <row r="1699" spans="2:5" x14ac:dyDescent="0.3">
      <c r="B1699" t="s">
        <v>3025</v>
      </c>
      <c r="C1699" t="s">
        <v>496</v>
      </c>
      <c r="D1699" t="s">
        <v>3026</v>
      </c>
      <c r="E1699" t="s">
        <v>587</v>
      </c>
    </row>
    <row r="1700" spans="2:5" x14ac:dyDescent="0.3">
      <c r="B1700" t="s">
        <v>3027</v>
      </c>
      <c r="C1700">
        <v>541627</v>
      </c>
      <c r="D1700" t="s">
        <v>3028</v>
      </c>
      <c r="E1700" t="s">
        <v>1865</v>
      </c>
    </row>
    <row r="1701" spans="2:5" x14ac:dyDescent="0.3">
      <c r="B1701" t="s">
        <v>3029</v>
      </c>
      <c r="C1701">
        <v>531661</v>
      </c>
      <c r="D1701" t="s">
        <v>496</v>
      </c>
      <c r="E1701" t="s">
        <v>504</v>
      </c>
    </row>
    <row r="1702" spans="2:5" x14ac:dyDescent="0.3">
      <c r="B1702" t="s">
        <v>3030</v>
      </c>
      <c r="C1702">
        <v>500191</v>
      </c>
      <c r="D1702" t="s">
        <v>3031</v>
      </c>
      <c r="E1702" t="s">
        <v>574</v>
      </c>
    </row>
    <row r="1703" spans="2:5" x14ac:dyDescent="0.3">
      <c r="B1703" t="s">
        <v>3032</v>
      </c>
      <c r="C1703">
        <v>522064</v>
      </c>
      <c r="D1703" t="s">
        <v>3033</v>
      </c>
      <c r="E1703" t="s">
        <v>504</v>
      </c>
    </row>
    <row r="1704" spans="2:5" x14ac:dyDescent="0.3">
      <c r="B1704" t="s">
        <v>3034</v>
      </c>
      <c r="C1704">
        <v>517174</v>
      </c>
      <c r="D1704" t="s">
        <v>3035</v>
      </c>
      <c r="E1704" t="s">
        <v>794</v>
      </c>
    </row>
    <row r="1705" spans="2:5" x14ac:dyDescent="0.3">
      <c r="B1705" t="s">
        <v>3036</v>
      </c>
      <c r="C1705">
        <v>517174</v>
      </c>
      <c r="D1705" t="s">
        <v>3035</v>
      </c>
      <c r="E1705" t="s">
        <v>794</v>
      </c>
    </row>
    <row r="1706" spans="2:5" x14ac:dyDescent="0.3">
      <c r="B1706" t="s">
        <v>3037</v>
      </c>
      <c r="C1706">
        <v>500193</v>
      </c>
      <c r="D1706" t="s">
        <v>3038</v>
      </c>
      <c r="E1706" t="s">
        <v>697</v>
      </c>
    </row>
    <row r="1707" spans="2:5" x14ac:dyDescent="0.3">
      <c r="B1707" t="s">
        <v>3039</v>
      </c>
      <c r="C1707">
        <v>526683</v>
      </c>
      <c r="D1707" t="s">
        <v>3040</v>
      </c>
      <c r="E1707" t="s">
        <v>697</v>
      </c>
    </row>
    <row r="1708" spans="2:5" x14ac:dyDescent="0.3">
      <c r="B1708" t="s">
        <v>3041</v>
      </c>
      <c r="C1708">
        <v>540530</v>
      </c>
      <c r="D1708" t="s">
        <v>3042</v>
      </c>
      <c r="E1708" t="s">
        <v>554</v>
      </c>
    </row>
    <row r="1709" spans="2:5" x14ac:dyDescent="0.3">
      <c r="B1709" t="s">
        <v>3043</v>
      </c>
      <c r="C1709">
        <v>532873</v>
      </c>
      <c r="D1709" t="s">
        <v>3044</v>
      </c>
      <c r="E1709" t="s">
        <v>582</v>
      </c>
    </row>
    <row r="1710" spans="2:5" x14ac:dyDescent="0.3">
      <c r="B1710" t="s">
        <v>3045</v>
      </c>
      <c r="C1710">
        <v>500010</v>
      </c>
      <c r="D1710" t="s">
        <v>3046</v>
      </c>
      <c r="E1710" t="s">
        <v>554</v>
      </c>
    </row>
    <row r="1711" spans="2:5" x14ac:dyDescent="0.3">
      <c r="B1711" t="s">
        <v>3047</v>
      </c>
      <c r="C1711">
        <v>532761</v>
      </c>
      <c r="D1711" t="s">
        <v>3048</v>
      </c>
      <c r="E1711" t="s">
        <v>826</v>
      </c>
    </row>
    <row r="1712" spans="2:5" x14ac:dyDescent="0.3">
      <c r="B1712" t="s">
        <v>3049</v>
      </c>
      <c r="C1712">
        <v>526761</v>
      </c>
      <c r="D1712" t="s">
        <v>496</v>
      </c>
      <c r="E1712" t="s">
        <v>697</v>
      </c>
    </row>
    <row r="1713" spans="2:5" x14ac:dyDescent="0.3">
      <c r="B1713" t="s">
        <v>3050</v>
      </c>
      <c r="C1713">
        <v>535217</v>
      </c>
      <c r="D1713" t="s">
        <v>496</v>
      </c>
      <c r="E1713" t="s">
        <v>694</v>
      </c>
    </row>
    <row r="1714" spans="2:5" x14ac:dyDescent="0.3">
      <c r="B1714" t="s">
        <v>3051</v>
      </c>
      <c r="C1714">
        <v>540136</v>
      </c>
      <c r="D1714" t="s">
        <v>3052</v>
      </c>
      <c r="E1714" t="s">
        <v>539</v>
      </c>
    </row>
    <row r="1715" spans="2:5" x14ac:dyDescent="0.3">
      <c r="B1715" t="s">
        <v>3053</v>
      </c>
      <c r="C1715">
        <v>531724</v>
      </c>
      <c r="D1715" t="s">
        <v>496</v>
      </c>
      <c r="E1715" t="s">
        <v>917</v>
      </c>
    </row>
    <row r="1716" spans="2:5" x14ac:dyDescent="0.3">
      <c r="B1716" t="s">
        <v>3054</v>
      </c>
      <c r="C1716">
        <v>500187</v>
      </c>
      <c r="D1716" t="s">
        <v>3055</v>
      </c>
      <c r="E1716" t="s">
        <v>691</v>
      </c>
    </row>
    <row r="1717" spans="2:5" x14ac:dyDescent="0.3">
      <c r="B1717" t="s">
        <v>3056</v>
      </c>
      <c r="C1717">
        <v>532662</v>
      </c>
      <c r="D1717" t="s">
        <v>3057</v>
      </c>
      <c r="E1717" t="s">
        <v>1020</v>
      </c>
    </row>
    <row r="1718" spans="2:5" x14ac:dyDescent="0.3">
      <c r="B1718" t="s">
        <v>3058</v>
      </c>
      <c r="C1718">
        <v>532799</v>
      </c>
      <c r="D1718" t="s">
        <v>3059</v>
      </c>
      <c r="E1718" t="s">
        <v>582</v>
      </c>
    </row>
    <row r="1719" spans="2:5" x14ac:dyDescent="0.3">
      <c r="B1719" t="s">
        <v>3060</v>
      </c>
      <c r="C1719">
        <v>509820</v>
      </c>
      <c r="D1719" t="s">
        <v>3061</v>
      </c>
      <c r="E1719" t="s">
        <v>691</v>
      </c>
    </row>
    <row r="1720" spans="2:5" x14ac:dyDescent="0.3">
      <c r="B1720" t="s">
        <v>3062</v>
      </c>
      <c r="C1720">
        <v>542592</v>
      </c>
      <c r="D1720" t="s">
        <v>3063</v>
      </c>
      <c r="E1720" t="s">
        <v>601</v>
      </c>
    </row>
    <row r="1721" spans="2:5" x14ac:dyDescent="0.3">
      <c r="B1721" t="s">
        <v>3064</v>
      </c>
      <c r="C1721" t="s">
        <v>496</v>
      </c>
      <c r="D1721" t="s">
        <v>3065</v>
      </c>
      <c r="E1721" t="s">
        <v>507</v>
      </c>
    </row>
    <row r="1722" spans="2:5" x14ac:dyDescent="0.3">
      <c r="B1722" t="s">
        <v>3066</v>
      </c>
      <c r="C1722">
        <v>539724</v>
      </c>
      <c r="D1722" t="s">
        <v>496</v>
      </c>
      <c r="E1722" t="s">
        <v>482</v>
      </c>
    </row>
    <row r="1723" spans="2:5" x14ac:dyDescent="0.3">
      <c r="B1723" t="s">
        <v>3067</v>
      </c>
      <c r="C1723">
        <v>519463</v>
      </c>
      <c r="D1723" t="s">
        <v>496</v>
      </c>
      <c r="E1723" t="s">
        <v>694</v>
      </c>
    </row>
    <row r="1724" spans="2:5" x14ac:dyDescent="0.3">
      <c r="B1724" t="s">
        <v>3068</v>
      </c>
      <c r="C1724" t="s">
        <v>496</v>
      </c>
      <c r="D1724" t="s">
        <v>3069</v>
      </c>
      <c r="E1724" t="s">
        <v>507</v>
      </c>
    </row>
    <row r="1725" spans="2:5" x14ac:dyDescent="0.3">
      <c r="B1725" t="s">
        <v>3070</v>
      </c>
      <c r="C1725">
        <v>532174</v>
      </c>
      <c r="D1725" t="s">
        <v>3071</v>
      </c>
      <c r="E1725" t="s">
        <v>814</v>
      </c>
    </row>
    <row r="1726" spans="2:5" x14ac:dyDescent="0.3">
      <c r="B1726" t="s">
        <v>3072</v>
      </c>
      <c r="C1726">
        <v>540716</v>
      </c>
      <c r="D1726" t="s">
        <v>3073</v>
      </c>
      <c r="E1726" t="s">
        <v>2579</v>
      </c>
    </row>
    <row r="1727" spans="2:5" x14ac:dyDescent="0.3">
      <c r="B1727" t="s">
        <v>3074</v>
      </c>
      <c r="C1727">
        <v>533244</v>
      </c>
      <c r="D1727" t="s">
        <v>3075</v>
      </c>
      <c r="E1727" t="s">
        <v>479</v>
      </c>
    </row>
    <row r="1728" spans="2:5" x14ac:dyDescent="0.3">
      <c r="B1728" t="s">
        <v>3076</v>
      </c>
      <c r="C1728">
        <v>540133</v>
      </c>
      <c r="D1728" t="s">
        <v>3077</v>
      </c>
      <c r="E1728" t="s">
        <v>2909</v>
      </c>
    </row>
    <row r="1729" spans="2:5" x14ac:dyDescent="0.3">
      <c r="B1729" t="s">
        <v>3078</v>
      </c>
      <c r="C1729">
        <v>555555</v>
      </c>
      <c r="D1729" t="s">
        <v>3079</v>
      </c>
      <c r="E1729" t="s">
        <v>479</v>
      </c>
    </row>
    <row r="1730" spans="2:5" x14ac:dyDescent="0.3">
      <c r="B1730" t="s">
        <v>3080</v>
      </c>
      <c r="C1730">
        <v>541179</v>
      </c>
      <c r="D1730" t="s">
        <v>3081</v>
      </c>
      <c r="E1730" t="s">
        <v>479</v>
      </c>
    </row>
    <row r="1731" spans="2:5" x14ac:dyDescent="0.3">
      <c r="B1731" t="s">
        <v>3082</v>
      </c>
      <c r="C1731">
        <v>532835</v>
      </c>
      <c r="D1731" t="s">
        <v>3083</v>
      </c>
      <c r="E1731" t="s">
        <v>479</v>
      </c>
    </row>
    <row r="1732" spans="2:5" x14ac:dyDescent="0.3">
      <c r="B1732" t="s">
        <v>3084</v>
      </c>
      <c r="C1732">
        <v>531524</v>
      </c>
      <c r="D1732" t="s">
        <v>3085</v>
      </c>
      <c r="E1732" t="s">
        <v>794</v>
      </c>
    </row>
    <row r="1733" spans="2:5" x14ac:dyDescent="0.3">
      <c r="B1733" t="s">
        <v>3086</v>
      </c>
      <c r="C1733">
        <v>531524</v>
      </c>
      <c r="D1733" t="s">
        <v>3085</v>
      </c>
      <c r="E1733" t="s">
        <v>794</v>
      </c>
    </row>
    <row r="1734" spans="2:5" x14ac:dyDescent="0.3">
      <c r="B1734" t="s">
        <v>3087</v>
      </c>
      <c r="C1734">
        <v>500116</v>
      </c>
      <c r="D1734" t="s">
        <v>3088</v>
      </c>
      <c r="E1734" t="s">
        <v>814</v>
      </c>
    </row>
    <row r="1735" spans="2:5" x14ac:dyDescent="0.3">
      <c r="B1735" t="s">
        <v>3089</v>
      </c>
      <c r="C1735">
        <v>539437</v>
      </c>
      <c r="D1735" t="s">
        <v>3090</v>
      </c>
      <c r="E1735" t="s">
        <v>814</v>
      </c>
    </row>
    <row r="1736" spans="2:5" x14ac:dyDescent="0.3">
      <c r="B1736" t="s">
        <v>3091</v>
      </c>
      <c r="C1736" t="s">
        <v>496</v>
      </c>
      <c r="D1736" t="s">
        <v>3092</v>
      </c>
      <c r="E1736" t="s">
        <v>814</v>
      </c>
    </row>
    <row r="1737" spans="2:5" x14ac:dyDescent="0.3">
      <c r="B1737" t="s">
        <v>3093</v>
      </c>
      <c r="C1737">
        <v>532659</v>
      </c>
      <c r="D1737" t="s">
        <v>3094</v>
      </c>
      <c r="E1737" t="s">
        <v>513</v>
      </c>
    </row>
    <row r="1738" spans="2:5" x14ac:dyDescent="0.3">
      <c r="B1738" t="s">
        <v>3095</v>
      </c>
      <c r="C1738">
        <v>507438</v>
      </c>
      <c r="D1738" t="s">
        <v>3096</v>
      </c>
      <c r="E1738" t="s">
        <v>1128</v>
      </c>
    </row>
    <row r="1739" spans="2:5" x14ac:dyDescent="0.3">
      <c r="B1739" t="s">
        <v>3097</v>
      </c>
      <c r="C1739">
        <v>505726</v>
      </c>
      <c r="D1739" t="s">
        <v>3098</v>
      </c>
      <c r="E1739" t="s">
        <v>1261</v>
      </c>
    </row>
    <row r="1740" spans="2:5" x14ac:dyDescent="0.3">
      <c r="B1740" t="s">
        <v>3099</v>
      </c>
      <c r="C1740">
        <v>500106</v>
      </c>
      <c r="D1740" t="s">
        <v>3100</v>
      </c>
      <c r="E1740" t="s">
        <v>2829</v>
      </c>
    </row>
    <row r="1741" spans="2:5" x14ac:dyDescent="0.3">
      <c r="B1741" t="s">
        <v>3101</v>
      </c>
      <c r="C1741">
        <v>540774</v>
      </c>
      <c r="D1741" t="s">
        <v>3102</v>
      </c>
      <c r="E1741" t="s">
        <v>681</v>
      </c>
    </row>
    <row r="1742" spans="2:5" x14ac:dyDescent="0.3">
      <c r="B1742" t="s">
        <v>3103</v>
      </c>
      <c r="C1742">
        <v>540377</v>
      </c>
      <c r="D1742" t="s">
        <v>496</v>
      </c>
      <c r="E1742" t="s">
        <v>518</v>
      </c>
    </row>
    <row r="1743" spans="2:5" x14ac:dyDescent="0.3">
      <c r="B1743" t="s">
        <v>3104</v>
      </c>
      <c r="C1743">
        <v>522289</v>
      </c>
      <c r="D1743" t="s">
        <v>496</v>
      </c>
      <c r="E1743" t="s">
        <v>518</v>
      </c>
    </row>
    <row r="1744" spans="2:5" x14ac:dyDescent="0.3">
      <c r="B1744" t="s">
        <v>3105</v>
      </c>
      <c r="C1744">
        <v>500199</v>
      </c>
      <c r="D1744" t="s">
        <v>3106</v>
      </c>
      <c r="E1744" t="s">
        <v>544</v>
      </c>
    </row>
    <row r="1745" spans="2:5" x14ac:dyDescent="0.3">
      <c r="B1745" t="s">
        <v>3107</v>
      </c>
      <c r="C1745">
        <v>517380</v>
      </c>
      <c r="D1745" t="s">
        <v>3108</v>
      </c>
      <c r="E1745" t="s">
        <v>851</v>
      </c>
    </row>
    <row r="1746" spans="2:5" x14ac:dyDescent="0.3">
      <c r="B1746" t="s">
        <v>3109</v>
      </c>
      <c r="C1746">
        <v>517380</v>
      </c>
      <c r="D1746" t="s">
        <v>3108</v>
      </c>
      <c r="E1746" t="s">
        <v>851</v>
      </c>
    </row>
    <row r="1747" spans="2:5" x14ac:dyDescent="0.3">
      <c r="B1747" t="s">
        <v>3110</v>
      </c>
      <c r="C1747">
        <v>539449</v>
      </c>
      <c r="D1747" t="s">
        <v>496</v>
      </c>
      <c r="E1747" t="s">
        <v>518</v>
      </c>
    </row>
    <row r="1748" spans="2:5" x14ac:dyDescent="0.3">
      <c r="B1748" t="s">
        <v>3111</v>
      </c>
      <c r="C1748">
        <v>532636</v>
      </c>
      <c r="D1748" t="s">
        <v>3112</v>
      </c>
      <c r="E1748" t="s">
        <v>479</v>
      </c>
    </row>
    <row r="1749" spans="2:5" x14ac:dyDescent="0.3">
      <c r="B1749" t="s">
        <v>3113</v>
      </c>
      <c r="C1749">
        <v>531968</v>
      </c>
      <c r="D1749" t="s">
        <v>3114</v>
      </c>
      <c r="E1749" t="s">
        <v>582</v>
      </c>
    </row>
    <row r="1750" spans="2:5" x14ac:dyDescent="0.3">
      <c r="B1750" t="s">
        <v>3115</v>
      </c>
      <c r="C1750">
        <v>514238</v>
      </c>
      <c r="D1750" t="s">
        <v>496</v>
      </c>
      <c r="E1750" t="s">
        <v>479</v>
      </c>
    </row>
    <row r="1751" spans="2:5" x14ac:dyDescent="0.3">
      <c r="B1751" t="s">
        <v>3116</v>
      </c>
      <c r="C1751">
        <v>532414</v>
      </c>
      <c r="D1751" t="s">
        <v>496</v>
      </c>
      <c r="E1751" t="s">
        <v>589</v>
      </c>
    </row>
    <row r="1752" spans="2:5" x14ac:dyDescent="0.3">
      <c r="B1752" t="s">
        <v>3117</v>
      </c>
      <c r="C1752">
        <v>532907</v>
      </c>
      <c r="D1752" t="s">
        <v>3118</v>
      </c>
      <c r="E1752" t="s">
        <v>894</v>
      </c>
    </row>
    <row r="1753" spans="2:5" x14ac:dyDescent="0.3">
      <c r="B1753" t="s">
        <v>3119</v>
      </c>
      <c r="C1753">
        <v>511208</v>
      </c>
      <c r="D1753" t="s">
        <v>3120</v>
      </c>
      <c r="E1753" t="s">
        <v>2902</v>
      </c>
    </row>
    <row r="1754" spans="2:5" x14ac:dyDescent="0.3">
      <c r="B1754" t="s">
        <v>3121</v>
      </c>
      <c r="C1754">
        <v>533177</v>
      </c>
      <c r="D1754" t="s">
        <v>3122</v>
      </c>
      <c r="E1754" t="s">
        <v>1091</v>
      </c>
    </row>
    <row r="1755" spans="2:5" x14ac:dyDescent="0.3">
      <c r="B1755" t="s">
        <v>3123</v>
      </c>
      <c r="C1755">
        <v>511628</v>
      </c>
      <c r="D1755" t="s">
        <v>496</v>
      </c>
      <c r="E1755" t="s">
        <v>513</v>
      </c>
    </row>
    <row r="1756" spans="2:5" x14ac:dyDescent="0.3">
      <c r="B1756" t="s">
        <v>3124</v>
      </c>
      <c r="C1756">
        <v>505539</v>
      </c>
      <c r="D1756" t="s">
        <v>496</v>
      </c>
      <c r="E1756" t="s">
        <v>917</v>
      </c>
    </row>
    <row r="1757" spans="2:5" x14ac:dyDescent="0.3">
      <c r="B1757" t="s">
        <v>3125</v>
      </c>
      <c r="C1757">
        <v>513295</v>
      </c>
      <c r="D1757" t="s">
        <v>496</v>
      </c>
      <c r="E1757" t="s">
        <v>528</v>
      </c>
    </row>
    <row r="1758" spans="2:5" x14ac:dyDescent="0.3">
      <c r="B1758" t="s">
        <v>3126</v>
      </c>
      <c r="C1758">
        <v>517571</v>
      </c>
      <c r="D1758" t="s">
        <v>3127</v>
      </c>
      <c r="E1758" t="s">
        <v>539</v>
      </c>
    </row>
    <row r="1759" spans="2:5" x14ac:dyDescent="0.3">
      <c r="B1759" t="s">
        <v>3128</v>
      </c>
      <c r="C1759">
        <v>532614</v>
      </c>
      <c r="D1759" t="s">
        <v>3129</v>
      </c>
      <c r="E1759" t="s">
        <v>528</v>
      </c>
    </row>
    <row r="1760" spans="2:5" x14ac:dyDescent="0.3">
      <c r="B1760" t="s">
        <v>3130</v>
      </c>
      <c r="C1760">
        <v>531129</v>
      </c>
      <c r="D1760" t="s">
        <v>496</v>
      </c>
      <c r="E1760" t="s">
        <v>1024</v>
      </c>
    </row>
    <row r="1761" spans="2:5" x14ac:dyDescent="0.3">
      <c r="B1761" t="s">
        <v>3131</v>
      </c>
      <c r="C1761">
        <v>531672</v>
      </c>
      <c r="D1761" t="s">
        <v>496</v>
      </c>
      <c r="E1761" t="s">
        <v>479</v>
      </c>
    </row>
    <row r="1762" spans="2:5" x14ac:dyDescent="0.3">
      <c r="B1762" t="s">
        <v>3132</v>
      </c>
      <c r="C1762">
        <v>517370</v>
      </c>
      <c r="D1762" t="s">
        <v>496</v>
      </c>
      <c r="E1762" t="s">
        <v>794</v>
      </c>
    </row>
    <row r="1763" spans="2:5" x14ac:dyDescent="0.3">
      <c r="B1763" t="s">
        <v>3133</v>
      </c>
      <c r="C1763">
        <v>538541</v>
      </c>
      <c r="D1763" t="s">
        <v>496</v>
      </c>
      <c r="E1763" t="s">
        <v>518</v>
      </c>
    </row>
    <row r="1764" spans="2:5" x14ac:dyDescent="0.3">
      <c r="B1764" t="s">
        <v>3134</v>
      </c>
      <c r="C1764">
        <v>531594</v>
      </c>
      <c r="D1764" t="s">
        <v>496</v>
      </c>
      <c r="E1764" t="s">
        <v>504</v>
      </c>
    </row>
    <row r="1765" spans="2:5" x14ac:dyDescent="0.3">
      <c r="B1765" t="s">
        <v>3135</v>
      </c>
      <c r="C1765">
        <v>523465</v>
      </c>
      <c r="D1765" t="s">
        <v>496</v>
      </c>
      <c r="E1765" t="s">
        <v>554</v>
      </c>
    </row>
    <row r="1766" spans="2:5" x14ac:dyDescent="0.3">
      <c r="B1766" t="s">
        <v>3136</v>
      </c>
      <c r="C1766">
        <v>536709</v>
      </c>
      <c r="D1766" t="s">
        <v>496</v>
      </c>
      <c r="E1766" t="s">
        <v>635</v>
      </c>
    </row>
    <row r="1767" spans="2:5" x14ac:dyDescent="0.3">
      <c r="B1767" t="s">
        <v>3137</v>
      </c>
      <c r="C1767">
        <v>509162</v>
      </c>
      <c r="D1767" t="s">
        <v>496</v>
      </c>
      <c r="E1767" t="s">
        <v>976</v>
      </c>
    </row>
    <row r="1768" spans="2:5" x14ac:dyDescent="0.3">
      <c r="B1768" t="s">
        <v>3138</v>
      </c>
      <c r="C1768">
        <v>517077</v>
      </c>
      <c r="D1768" t="s">
        <v>496</v>
      </c>
      <c r="E1768" t="s">
        <v>518</v>
      </c>
    </row>
    <row r="1769" spans="2:5" x14ac:dyDescent="0.3">
      <c r="B1769" t="s">
        <v>3139</v>
      </c>
      <c r="C1769">
        <v>511473</v>
      </c>
      <c r="D1769" t="s">
        <v>3140</v>
      </c>
      <c r="E1769" t="s">
        <v>479</v>
      </c>
    </row>
    <row r="1770" spans="2:5" x14ac:dyDescent="0.3">
      <c r="B1770" t="s">
        <v>3141</v>
      </c>
      <c r="C1770">
        <v>531505</v>
      </c>
      <c r="D1770" t="s">
        <v>496</v>
      </c>
      <c r="E1770" t="s">
        <v>513</v>
      </c>
    </row>
    <row r="1771" spans="2:5" x14ac:dyDescent="0.3">
      <c r="B1771" t="s">
        <v>3142</v>
      </c>
      <c r="C1771">
        <v>511355</v>
      </c>
      <c r="D1771" t="s">
        <v>496</v>
      </c>
      <c r="E1771" t="s">
        <v>513</v>
      </c>
    </row>
    <row r="1772" spans="2:5" x14ac:dyDescent="0.3">
      <c r="B1772" t="s">
        <v>3143</v>
      </c>
      <c r="C1772">
        <v>535667</v>
      </c>
      <c r="D1772" t="s">
        <v>496</v>
      </c>
      <c r="E1772" t="s">
        <v>513</v>
      </c>
    </row>
    <row r="1773" spans="2:5" x14ac:dyDescent="0.3">
      <c r="B1773" t="s">
        <v>3144</v>
      </c>
      <c r="C1773">
        <v>531253</v>
      </c>
      <c r="D1773" t="s">
        <v>496</v>
      </c>
      <c r="E1773" t="s">
        <v>656</v>
      </c>
    </row>
    <row r="1774" spans="2:5" x14ac:dyDescent="0.3">
      <c r="B1774" t="s">
        <v>3145</v>
      </c>
      <c r="C1774">
        <v>500201</v>
      </c>
      <c r="D1774" t="s">
        <v>3146</v>
      </c>
      <c r="E1774" t="s">
        <v>544</v>
      </c>
    </row>
    <row r="1775" spans="2:5" x14ac:dyDescent="0.3">
      <c r="B1775" t="s">
        <v>3147</v>
      </c>
      <c r="C1775">
        <v>540152</v>
      </c>
      <c r="D1775" t="s">
        <v>496</v>
      </c>
      <c r="E1775" t="s">
        <v>582</v>
      </c>
    </row>
    <row r="1776" spans="2:5" x14ac:dyDescent="0.3">
      <c r="B1776" t="s">
        <v>3148</v>
      </c>
      <c r="C1776">
        <v>540565</v>
      </c>
      <c r="D1776" t="s">
        <v>3149</v>
      </c>
      <c r="E1776" t="s">
        <v>516</v>
      </c>
    </row>
    <row r="1777" spans="2:5" x14ac:dyDescent="0.3">
      <c r="B1777" t="s">
        <v>3150</v>
      </c>
      <c r="C1777">
        <v>530979</v>
      </c>
      <c r="D1777" t="s">
        <v>496</v>
      </c>
      <c r="E1777" t="s">
        <v>554</v>
      </c>
    </row>
    <row r="1778" spans="2:5" x14ac:dyDescent="0.3">
      <c r="B1778" t="s">
        <v>3151</v>
      </c>
      <c r="C1778">
        <v>531343</v>
      </c>
      <c r="D1778" t="s">
        <v>496</v>
      </c>
      <c r="E1778" t="s">
        <v>917</v>
      </c>
    </row>
    <row r="1779" spans="2:5" x14ac:dyDescent="0.3">
      <c r="B1779" t="s">
        <v>3152</v>
      </c>
      <c r="C1779">
        <v>590065</v>
      </c>
      <c r="D1779" t="s">
        <v>3153</v>
      </c>
      <c r="E1779" t="s">
        <v>518</v>
      </c>
    </row>
    <row r="1780" spans="2:5" x14ac:dyDescent="0.3">
      <c r="B1780" t="s">
        <v>3154</v>
      </c>
      <c r="C1780">
        <v>532240</v>
      </c>
      <c r="D1780" t="s">
        <v>3155</v>
      </c>
      <c r="E1780" t="s">
        <v>851</v>
      </c>
    </row>
    <row r="1781" spans="2:5" x14ac:dyDescent="0.3">
      <c r="B1781" t="s">
        <v>3156</v>
      </c>
      <c r="C1781">
        <v>513361</v>
      </c>
      <c r="D1781" t="s">
        <v>496</v>
      </c>
      <c r="E1781" t="s">
        <v>528</v>
      </c>
    </row>
    <row r="1782" spans="2:5" x14ac:dyDescent="0.3">
      <c r="B1782" t="s">
        <v>3157</v>
      </c>
      <c r="C1782">
        <v>532189</v>
      </c>
      <c r="D1782" t="s">
        <v>3158</v>
      </c>
      <c r="E1782" t="s">
        <v>697</v>
      </c>
    </row>
    <row r="1783" spans="2:5" x14ac:dyDescent="0.3">
      <c r="B1783" t="s">
        <v>3159</v>
      </c>
      <c r="C1783">
        <v>535789</v>
      </c>
      <c r="D1783" t="s">
        <v>3160</v>
      </c>
      <c r="E1783" t="s">
        <v>554</v>
      </c>
    </row>
    <row r="1784" spans="2:5" x14ac:dyDescent="0.3">
      <c r="B1784" t="s">
        <v>3161</v>
      </c>
      <c r="C1784">
        <v>533520</v>
      </c>
      <c r="D1784" t="s">
        <v>3162</v>
      </c>
      <c r="E1784" t="s">
        <v>518</v>
      </c>
    </row>
    <row r="1785" spans="2:5" x14ac:dyDescent="0.3">
      <c r="B1785" t="s">
        <v>3163</v>
      </c>
      <c r="C1785">
        <v>532832</v>
      </c>
      <c r="D1785" t="s">
        <v>3164</v>
      </c>
      <c r="E1785" t="s">
        <v>582</v>
      </c>
    </row>
    <row r="1786" spans="2:5" x14ac:dyDescent="0.3">
      <c r="B1786" t="s">
        <v>3165</v>
      </c>
      <c r="C1786">
        <v>532960</v>
      </c>
      <c r="D1786" t="s">
        <v>3166</v>
      </c>
      <c r="E1786" t="s">
        <v>479</v>
      </c>
    </row>
    <row r="1787" spans="2:5" x14ac:dyDescent="0.3">
      <c r="B1787" t="s">
        <v>3167</v>
      </c>
      <c r="C1787">
        <v>514165</v>
      </c>
      <c r="D1787" t="s">
        <v>496</v>
      </c>
      <c r="E1787" t="s">
        <v>873</v>
      </c>
    </row>
    <row r="1788" spans="2:5" x14ac:dyDescent="0.3">
      <c r="B1788" t="s">
        <v>3168</v>
      </c>
      <c r="C1788">
        <v>532814</v>
      </c>
      <c r="D1788" t="s">
        <v>3169</v>
      </c>
      <c r="E1788" t="s">
        <v>814</v>
      </c>
    </row>
    <row r="1789" spans="2:5" x14ac:dyDescent="0.3">
      <c r="B1789" t="s">
        <v>3170</v>
      </c>
      <c r="C1789">
        <v>504731</v>
      </c>
      <c r="D1789" t="s">
        <v>496</v>
      </c>
      <c r="E1789" t="s">
        <v>528</v>
      </c>
    </row>
    <row r="1790" spans="2:5" x14ac:dyDescent="0.3">
      <c r="B1790" t="s">
        <v>3171</v>
      </c>
      <c r="C1790">
        <v>509692</v>
      </c>
      <c r="D1790" t="s">
        <v>3172</v>
      </c>
      <c r="E1790" t="s">
        <v>511</v>
      </c>
    </row>
    <row r="1791" spans="2:5" x14ac:dyDescent="0.3">
      <c r="B1791" t="s">
        <v>3173</v>
      </c>
      <c r="C1791">
        <v>540750</v>
      </c>
      <c r="D1791" t="s">
        <v>3174</v>
      </c>
      <c r="E1791" t="s">
        <v>635</v>
      </c>
    </row>
    <row r="1792" spans="2:5" x14ac:dyDescent="0.3">
      <c r="B1792" t="s">
        <v>3175</v>
      </c>
      <c r="C1792">
        <v>524614</v>
      </c>
      <c r="D1792" t="s">
        <v>496</v>
      </c>
      <c r="E1792" t="s">
        <v>576</v>
      </c>
    </row>
    <row r="1793" spans="2:5" x14ac:dyDescent="0.3">
      <c r="B1793" t="s">
        <v>3176</v>
      </c>
      <c r="C1793">
        <v>504741</v>
      </c>
      <c r="D1793" t="s">
        <v>3177</v>
      </c>
      <c r="E1793" t="s">
        <v>509</v>
      </c>
    </row>
    <row r="1794" spans="2:5" x14ac:dyDescent="0.3">
      <c r="B1794" t="s">
        <v>3178</v>
      </c>
      <c r="C1794">
        <v>509051</v>
      </c>
      <c r="D1794" t="s">
        <v>496</v>
      </c>
      <c r="E1794" t="s">
        <v>589</v>
      </c>
    </row>
    <row r="1795" spans="2:5" x14ac:dyDescent="0.3">
      <c r="B1795" t="s">
        <v>3179</v>
      </c>
      <c r="C1795">
        <v>504746</v>
      </c>
      <c r="D1795" t="s">
        <v>496</v>
      </c>
      <c r="E1795" t="s">
        <v>1416</v>
      </c>
    </row>
    <row r="1796" spans="2:5" x14ac:dyDescent="0.3">
      <c r="B1796" t="s">
        <v>3180</v>
      </c>
      <c r="C1796">
        <v>533047</v>
      </c>
      <c r="D1796" t="s">
        <v>3181</v>
      </c>
      <c r="E1796" t="s">
        <v>528</v>
      </c>
    </row>
    <row r="1797" spans="2:5" x14ac:dyDescent="0.3">
      <c r="B1797" t="s">
        <v>3182</v>
      </c>
      <c r="C1797">
        <v>530965</v>
      </c>
      <c r="D1797" t="s">
        <v>3183</v>
      </c>
      <c r="E1797" t="s">
        <v>706</v>
      </c>
    </row>
    <row r="1798" spans="2:5" x14ac:dyDescent="0.3">
      <c r="B1798" t="s">
        <v>3184</v>
      </c>
      <c r="C1798">
        <v>532388</v>
      </c>
      <c r="D1798" t="s">
        <v>3185</v>
      </c>
      <c r="E1798" t="s">
        <v>814</v>
      </c>
    </row>
    <row r="1799" spans="2:5" x14ac:dyDescent="0.3">
      <c r="B1799" t="s">
        <v>3186</v>
      </c>
      <c r="C1799">
        <v>500319</v>
      </c>
      <c r="D1799" t="s">
        <v>496</v>
      </c>
      <c r="E1799" t="s">
        <v>1195</v>
      </c>
    </row>
    <row r="1800" spans="2:5" x14ac:dyDescent="0.3">
      <c r="B1800" t="s">
        <v>3187</v>
      </c>
      <c r="C1800">
        <v>533329</v>
      </c>
      <c r="D1800" t="s">
        <v>3188</v>
      </c>
      <c r="E1800" t="s">
        <v>610</v>
      </c>
    </row>
    <row r="1801" spans="2:5" x14ac:dyDescent="0.3">
      <c r="B1801" t="s">
        <v>3189</v>
      </c>
      <c r="C1801">
        <v>523586</v>
      </c>
      <c r="D1801" t="s">
        <v>496</v>
      </c>
      <c r="E1801" t="s">
        <v>656</v>
      </c>
    </row>
    <row r="1802" spans="2:5" x14ac:dyDescent="0.3">
      <c r="B1802" t="s">
        <v>3190</v>
      </c>
      <c r="C1802">
        <v>501700</v>
      </c>
      <c r="D1802" t="s">
        <v>496</v>
      </c>
      <c r="E1802" t="s">
        <v>513</v>
      </c>
    </row>
    <row r="1803" spans="2:5" x14ac:dyDescent="0.3">
      <c r="B1803" t="s">
        <v>3191</v>
      </c>
      <c r="C1803">
        <v>532745</v>
      </c>
      <c r="D1803" t="s">
        <v>496</v>
      </c>
      <c r="E1803" t="s">
        <v>479</v>
      </c>
    </row>
    <row r="1804" spans="2:5" x14ac:dyDescent="0.3">
      <c r="B1804" t="s">
        <v>3192</v>
      </c>
      <c r="C1804">
        <v>524648</v>
      </c>
      <c r="D1804" t="s">
        <v>496</v>
      </c>
      <c r="E1804" t="s">
        <v>544</v>
      </c>
    </row>
    <row r="1805" spans="2:5" x14ac:dyDescent="0.3">
      <c r="B1805" t="s">
        <v>3193</v>
      </c>
      <c r="C1805">
        <v>530747</v>
      </c>
      <c r="D1805" t="s">
        <v>496</v>
      </c>
      <c r="E1805" t="s">
        <v>513</v>
      </c>
    </row>
    <row r="1806" spans="2:5" x14ac:dyDescent="0.3">
      <c r="B1806" t="s">
        <v>3194</v>
      </c>
      <c r="C1806">
        <v>524342</v>
      </c>
      <c r="D1806" t="s">
        <v>496</v>
      </c>
      <c r="E1806" t="s">
        <v>544</v>
      </c>
    </row>
    <row r="1807" spans="2:5" x14ac:dyDescent="0.3">
      <c r="B1807" t="s">
        <v>3195</v>
      </c>
      <c r="C1807">
        <v>538838</v>
      </c>
      <c r="D1807" t="s">
        <v>496</v>
      </c>
      <c r="E1807" t="s">
        <v>511</v>
      </c>
    </row>
    <row r="1808" spans="2:5" x14ac:dyDescent="0.3">
      <c r="B1808" t="s">
        <v>3196</v>
      </c>
      <c r="C1808">
        <v>521016</v>
      </c>
      <c r="D1808" t="s">
        <v>3197</v>
      </c>
      <c r="E1808" t="s">
        <v>511</v>
      </c>
    </row>
    <row r="1809" spans="2:5" x14ac:dyDescent="0.3">
      <c r="B1809" t="s">
        <v>3198</v>
      </c>
      <c r="C1809">
        <v>526887</v>
      </c>
      <c r="D1809" t="s">
        <v>496</v>
      </c>
      <c r="E1809" t="s">
        <v>513</v>
      </c>
    </row>
    <row r="1810" spans="2:5" x14ac:dyDescent="0.3">
      <c r="B1810" t="s">
        <v>3199</v>
      </c>
      <c r="C1810">
        <v>524458</v>
      </c>
      <c r="D1810" t="s">
        <v>496</v>
      </c>
      <c r="E1810" t="s">
        <v>656</v>
      </c>
    </row>
    <row r="1811" spans="2:5" x14ac:dyDescent="0.3">
      <c r="B1811" t="s">
        <v>3200</v>
      </c>
      <c r="C1811">
        <v>506945</v>
      </c>
      <c r="D1811" t="s">
        <v>496</v>
      </c>
      <c r="E1811" t="s">
        <v>656</v>
      </c>
    </row>
    <row r="1812" spans="2:5" x14ac:dyDescent="0.3">
      <c r="B1812" t="s">
        <v>3201</v>
      </c>
      <c r="C1812">
        <v>531565</v>
      </c>
      <c r="D1812" t="s">
        <v>496</v>
      </c>
      <c r="E1812" t="s">
        <v>582</v>
      </c>
    </row>
    <row r="1813" spans="2:5" x14ac:dyDescent="0.3">
      <c r="B1813" t="s">
        <v>3202</v>
      </c>
      <c r="C1813">
        <v>500207</v>
      </c>
      <c r="D1813" t="s">
        <v>3203</v>
      </c>
      <c r="E1813" t="s">
        <v>511</v>
      </c>
    </row>
    <row r="1814" spans="2:5" x14ac:dyDescent="0.3">
      <c r="B1814" t="s">
        <v>3204</v>
      </c>
      <c r="C1814">
        <v>500207</v>
      </c>
      <c r="D1814" t="s">
        <v>3203</v>
      </c>
      <c r="E1814" t="s">
        <v>511</v>
      </c>
    </row>
    <row r="1815" spans="2:5" x14ac:dyDescent="0.3">
      <c r="B1815" t="s">
        <v>3205</v>
      </c>
      <c r="C1815">
        <v>532717</v>
      </c>
      <c r="D1815" t="s">
        <v>3206</v>
      </c>
      <c r="E1815" t="s">
        <v>539</v>
      </c>
    </row>
    <row r="1816" spans="2:5" x14ac:dyDescent="0.3">
      <c r="B1816" t="s">
        <v>3207</v>
      </c>
      <c r="C1816">
        <v>533676</v>
      </c>
      <c r="D1816" t="s">
        <v>3208</v>
      </c>
      <c r="E1816" t="s">
        <v>479</v>
      </c>
    </row>
    <row r="1817" spans="2:5" x14ac:dyDescent="0.3">
      <c r="B1817" t="s">
        <v>3209</v>
      </c>
      <c r="C1817">
        <v>541304</v>
      </c>
      <c r="D1817" t="s">
        <v>496</v>
      </c>
      <c r="E1817" t="s">
        <v>694</v>
      </c>
    </row>
    <row r="1818" spans="2:5" x14ac:dyDescent="0.3">
      <c r="B1818" t="s">
        <v>3210</v>
      </c>
      <c r="C1818">
        <v>532100</v>
      </c>
      <c r="D1818" t="s">
        <v>496</v>
      </c>
      <c r="E1818" t="s">
        <v>589</v>
      </c>
    </row>
    <row r="1819" spans="2:5" x14ac:dyDescent="0.3">
      <c r="B1819" t="s">
        <v>3211</v>
      </c>
      <c r="C1819">
        <v>532612</v>
      </c>
      <c r="D1819" t="s">
        <v>3212</v>
      </c>
      <c r="E1819" t="s">
        <v>534</v>
      </c>
    </row>
    <row r="1820" spans="2:5" x14ac:dyDescent="0.3">
      <c r="B1820" t="s">
        <v>3213</v>
      </c>
      <c r="C1820">
        <v>539433</v>
      </c>
      <c r="D1820" t="s">
        <v>496</v>
      </c>
      <c r="E1820" t="s">
        <v>966</v>
      </c>
    </row>
    <row r="1821" spans="2:5" x14ac:dyDescent="0.3">
      <c r="B1821" t="s">
        <v>3214</v>
      </c>
      <c r="C1821">
        <v>504092</v>
      </c>
      <c r="D1821" t="s">
        <v>496</v>
      </c>
      <c r="E1821" t="s">
        <v>656</v>
      </c>
    </row>
    <row r="1822" spans="2:5" x14ac:dyDescent="0.3">
      <c r="B1822" t="s">
        <v>3215</v>
      </c>
      <c r="C1822">
        <v>504058</v>
      </c>
      <c r="D1822" t="s">
        <v>3216</v>
      </c>
      <c r="E1822" t="s">
        <v>1042</v>
      </c>
    </row>
    <row r="1823" spans="2:5" x14ac:dyDescent="0.3">
      <c r="B1823" t="s">
        <v>3217</v>
      </c>
      <c r="C1823">
        <v>533257</v>
      </c>
      <c r="D1823" t="s">
        <v>3218</v>
      </c>
      <c r="E1823" t="s">
        <v>794</v>
      </c>
    </row>
    <row r="1824" spans="2:5" x14ac:dyDescent="0.3">
      <c r="B1824" t="s">
        <v>3219</v>
      </c>
      <c r="C1824">
        <v>541336</v>
      </c>
      <c r="D1824" t="s">
        <v>3220</v>
      </c>
      <c r="E1824" t="s">
        <v>513</v>
      </c>
    </row>
    <row r="1825" spans="2:5" x14ac:dyDescent="0.3">
      <c r="B1825" t="s">
        <v>3221</v>
      </c>
      <c r="C1825">
        <v>521005</v>
      </c>
      <c r="D1825" t="s">
        <v>496</v>
      </c>
      <c r="E1825" t="s">
        <v>511</v>
      </c>
    </row>
    <row r="1826" spans="2:5" x14ac:dyDescent="0.3">
      <c r="B1826" t="s">
        <v>3222</v>
      </c>
      <c r="C1826">
        <v>532894</v>
      </c>
      <c r="D1826" t="s">
        <v>3223</v>
      </c>
      <c r="E1826" t="s">
        <v>635</v>
      </c>
    </row>
    <row r="1827" spans="2:5" x14ac:dyDescent="0.3">
      <c r="B1827" t="s">
        <v>3224</v>
      </c>
      <c r="C1827">
        <v>539175</v>
      </c>
      <c r="D1827" t="s">
        <v>496</v>
      </c>
      <c r="E1827" t="s">
        <v>1004</v>
      </c>
    </row>
    <row r="1828" spans="2:5" x14ac:dyDescent="0.3">
      <c r="B1828" t="s">
        <v>3225</v>
      </c>
      <c r="C1828">
        <v>532514</v>
      </c>
      <c r="D1828" t="s">
        <v>3226</v>
      </c>
      <c r="E1828" t="s">
        <v>521</v>
      </c>
    </row>
    <row r="1829" spans="2:5" x14ac:dyDescent="0.3">
      <c r="B1829" t="s">
        <v>3227</v>
      </c>
      <c r="C1829">
        <v>532150</v>
      </c>
      <c r="D1829" t="s">
        <v>3228</v>
      </c>
      <c r="E1829" t="s">
        <v>966</v>
      </c>
    </row>
    <row r="1830" spans="2:5" x14ac:dyDescent="0.3">
      <c r="B1830" t="s">
        <v>3229</v>
      </c>
      <c r="C1830">
        <v>526445</v>
      </c>
      <c r="D1830" t="s">
        <v>3230</v>
      </c>
      <c r="E1830" t="s">
        <v>694</v>
      </c>
    </row>
    <row r="1831" spans="2:5" x14ac:dyDescent="0.3">
      <c r="B1831" t="s">
        <v>3231</v>
      </c>
      <c r="C1831">
        <v>522165</v>
      </c>
      <c r="D1831" t="s">
        <v>496</v>
      </c>
      <c r="E1831" t="s">
        <v>528</v>
      </c>
    </row>
    <row r="1832" spans="2:5" x14ac:dyDescent="0.3">
      <c r="B1832" t="s">
        <v>3232</v>
      </c>
      <c r="C1832">
        <v>503639</v>
      </c>
      <c r="D1832" t="s">
        <v>496</v>
      </c>
      <c r="E1832" t="s">
        <v>917</v>
      </c>
    </row>
    <row r="1833" spans="2:5" x14ac:dyDescent="0.3">
      <c r="B1833" t="s">
        <v>3233</v>
      </c>
      <c r="C1833">
        <v>532305</v>
      </c>
      <c r="D1833" t="s">
        <v>3234</v>
      </c>
      <c r="E1833" t="s">
        <v>534</v>
      </c>
    </row>
    <row r="1834" spans="2:5" x14ac:dyDescent="0.3">
      <c r="B1834" t="s">
        <v>3235</v>
      </c>
      <c r="C1834">
        <v>524652</v>
      </c>
      <c r="D1834" t="s">
        <v>3236</v>
      </c>
      <c r="E1834" t="s">
        <v>534</v>
      </c>
    </row>
    <row r="1835" spans="2:5" x14ac:dyDescent="0.3">
      <c r="B1835" t="s">
        <v>3237</v>
      </c>
      <c r="C1835">
        <v>532001</v>
      </c>
      <c r="D1835" t="s">
        <v>496</v>
      </c>
      <c r="E1835" t="s">
        <v>528</v>
      </c>
    </row>
    <row r="1836" spans="2:5" x14ac:dyDescent="0.3">
      <c r="B1836" t="s">
        <v>3238</v>
      </c>
      <c r="C1836">
        <v>531841</v>
      </c>
      <c r="D1836" t="s">
        <v>496</v>
      </c>
      <c r="E1836" t="s">
        <v>513</v>
      </c>
    </row>
    <row r="1837" spans="2:5" x14ac:dyDescent="0.3">
      <c r="B1837" t="s">
        <v>3239</v>
      </c>
      <c r="C1837">
        <v>532187</v>
      </c>
      <c r="D1837" t="s">
        <v>3240</v>
      </c>
      <c r="E1837" t="s">
        <v>814</v>
      </c>
    </row>
    <row r="1838" spans="2:5" x14ac:dyDescent="0.3">
      <c r="B1838" t="s">
        <v>3241</v>
      </c>
      <c r="C1838">
        <v>501298</v>
      </c>
      <c r="D1838" t="s">
        <v>496</v>
      </c>
      <c r="E1838" t="s">
        <v>516</v>
      </c>
    </row>
    <row r="1839" spans="2:5" x14ac:dyDescent="0.3">
      <c r="B1839" t="s">
        <v>3242</v>
      </c>
      <c r="C1839">
        <v>501295</v>
      </c>
      <c r="D1839" t="s">
        <v>3243</v>
      </c>
      <c r="E1839" t="s">
        <v>513</v>
      </c>
    </row>
    <row r="1840" spans="2:5" x14ac:dyDescent="0.3">
      <c r="B1840" t="s">
        <v>3244</v>
      </c>
      <c r="C1840">
        <v>506222</v>
      </c>
      <c r="D1840" t="s">
        <v>3245</v>
      </c>
      <c r="E1840" t="s">
        <v>656</v>
      </c>
    </row>
    <row r="1841" spans="2:5" x14ac:dyDescent="0.3">
      <c r="B1841" t="s">
        <v>3246</v>
      </c>
      <c r="C1841">
        <v>506222</v>
      </c>
      <c r="D1841" t="s">
        <v>3245</v>
      </c>
      <c r="E1841" t="s">
        <v>656</v>
      </c>
    </row>
    <row r="1842" spans="2:5" x14ac:dyDescent="0.3">
      <c r="B1842" t="s">
        <v>3247</v>
      </c>
      <c r="C1842">
        <v>512025</v>
      </c>
      <c r="D1842" t="s">
        <v>496</v>
      </c>
      <c r="E1842" t="s">
        <v>917</v>
      </c>
    </row>
    <row r="1843" spans="2:5" x14ac:dyDescent="0.3">
      <c r="B1843" t="s">
        <v>3248</v>
      </c>
      <c r="C1843">
        <v>539807</v>
      </c>
      <c r="D1843" t="s">
        <v>3249</v>
      </c>
      <c r="E1843" t="s">
        <v>502</v>
      </c>
    </row>
    <row r="1844" spans="2:5" x14ac:dyDescent="0.3">
      <c r="B1844" t="s">
        <v>3250</v>
      </c>
      <c r="C1844">
        <v>533154</v>
      </c>
      <c r="D1844" t="s">
        <v>3251</v>
      </c>
      <c r="E1844" t="s">
        <v>482</v>
      </c>
    </row>
    <row r="1845" spans="2:5" x14ac:dyDescent="0.3">
      <c r="B1845" t="s">
        <v>3252</v>
      </c>
      <c r="C1845">
        <v>533154</v>
      </c>
      <c r="D1845" t="s">
        <v>3251</v>
      </c>
      <c r="E1845" t="s">
        <v>482</v>
      </c>
    </row>
    <row r="1846" spans="2:5" x14ac:dyDescent="0.3">
      <c r="B1846" t="s">
        <v>3253</v>
      </c>
      <c r="C1846">
        <v>541083</v>
      </c>
      <c r="D1846" t="s">
        <v>496</v>
      </c>
      <c r="E1846" t="s">
        <v>1542</v>
      </c>
    </row>
    <row r="1847" spans="2:5" x14ac:dyDescent="0.3">
      <c r="B1847" t="s">
        <v>3254</v>
      </c>
      <c r="C1847">
        <v>532777</v>
      </c>
      <c r="D1847" t="s">
        <v>3255</v>
      </c>
      <c r="E1847" t="s">
        <v>3256</v>
      </c>
    </row>
    <row r="1848" spans="2:5" x14ac:dyDescent="0.3">
      <c r="B1848" t="s">
        <v>3257</v>
      </c>
      <c r="C1848">
        <v>532777</v>
      </c>
      <c r="D1848" t="s">
        <v>3255</v>
      </c>
      <c r="E1848" t="s">
        <v>3256</v>
      </c>
    </row>
    <row r="1849" spans="2:5" x14ac:dyDescent="0.3">
      <c r="B1849" t="s">
        <v>3258</v>
      </c>
      <c r="C1849" t="s">
        <v>496</v>
      </c>
      <c r="D1849" t="s">
        <v>3259</v>
      </c>
      <c r="E1849" t="s">
        <v>507</v>
      </c>
    </row>
    <row r="1850" spans="2:5" x14ac:dyDescent="0.3">
      <c r="B1850" t="s">
        <v>3260</v>
      </c>
      <c r="C1850">
        <v>504810</v>
      </c>
      <c r="D1850" t="s">
        <v>496</v>
      </c>
      <c r="E1850" t="s">
        <v>826</v>
      </c>
    </row>
    <row r="1851" spans="2:5" x14ac:dyDescent="0.3">
      <c r="B1851" t="s">
        <v>3261</v>
      </c>
      <c r="C1851">
        <v>504810</v>
      </c>
      <c r="D1851" t="s">
        <v>496</v>
      </c>
      <c r="E1851" t="s">
        <v>826</v>
      </c>
    </row>
    <row r="1852" spans="2:5" x14ac:dyDescent="0.3">
      <c r="B1852" t="s">
        <v>60</v>
      </c>
      <c r="C1852">
        <v>500209</v>
      </c>
      <c r="D1852" t="s">
        <v>3262</v>
      </c>
      <c r="E1852" t="s">
        <v>482</v>
      </c>
    </row>
    <row r="1853" spans="2:5" x14ac:dyDescent="0.3">
      <c r="B1853" t="s">
        <v>3263</v>
      </c>
      <c r="C1853">
        <v>530777</v>
      </c>
      <c r="D1853" t="s">
        <v>496</v>
      </c>
      <c r="E1853" t="s">
        <v>616</v>
      </c>
    </row>
    <row r="1854" spans="2:5" x14ac:dyDescent="0.3">
      <c r="B1854" t="s">
        <v>3264</v>
      </c>
      <c r="C1854">
        <v>537985</v>
      </c>
      <c r="D1854" t="s">
        <v>496</v>
      </c>
      <c r="E1854" t="s">
        <v>589</v>
      </c>
    </row>
    <row r="1855" spans="2:5" x14ac:dyDescent="0.3">
      <c r="B1855" t="s">
        <v>3265</v>
      </c>
      <c r="C1855">
        <v>500210</v>
      </c>
      <c r="D1855" t="s">
        <v>3266</v>
      </c>
      <c r="E1855" t="s">
        <v>504</v>
      </c>
    </row>
    <row r="1856" spans="2:5" x14ac:dyDescent="0.3">
      <c r="B1856" t="s">
        <v>3267</v>
      </c>
      <c r="C1856">
        <v>500210</v>
      </c>
      <c r="D1856" t="s">
        <v>3266</v>
      </c>
      <c r="E1856" t="s">
        <v>504</v>
      </c>
    </row>
    <row r="1857" spans="2:5" x14ac:dyDescent="0.3">
      <c r="B1857" t="s">
        <v>3268</v>
      </c>
      <c r="C1857">
        <v>530787</v>
      </c>
      <c r="D1857" t="s">
        <v>496</v>
      </c>
      <c r="E1857" t="s">
        <v>2489</v>
      </c>
    </row>
    <row r="1858" spans="2:5" x14ac:dyDescent="0.3">
      <c r="B1858" t="s">
        <v>3269</v>
      </c>
      <c r="C1858">
        <v>531929</v>
      </c>
      <c r="D1858" t="s">
        <v>3270</v>
      </c>
      <c r="E1858" t="s">
        <v>616</v>
      </c>
    </row>
    <row r="1859" spans="2:5" x14ac:dyDescent="0.3">
      <c r="B1859" t="s">
        <v>3271</v>
      </c>
      <c r="C1859" t="s">
        <v>496</v>
      </c>
      <c r="D1859" t="s">
        <v>3272</v>
      </c>
      <c r="E1859" t="s">
        <v>507</v>
      </c>
    </row>
    <row r="1860" spans="2:5" x14ac:dyDescent="0.3">
      <c r="B1860" t="s">
        <v>3273</v>
      </c>
      <c r="C1860">
        <v>533315</v>
      </c>
      <c r="D1860" t="s">
        <v>496</v>
      </c>
      <c r="E1860" t="s">
        <v>662</v>
      </c>
    </row>
    <row r="1861" spans="2:5" x14ac:dyDescent="0.3">
      <c r="B1861" t="s">
        <v>3274</v>
      </c>
      <c r="C1861">
        <v>517433</v>
      </c>
      <c r="D1861" t="s">
        <v>496</v>
      </c>
      <c r="E1861" t="s">
        <v>482</v>
      </c>
    </row>
    <row r="1862" spans="2:5" x14ac:dyDescent="0.3">
      <c r="B1862" t="s">
        <v>3275</v>
      </c>
      <c r="C1862">
        <v>541983</v>
      </c>
      <c r="D1862" t="s">
        <v>496</v>
      </c>
      <c r="E1862" t="s">
        <v>3276</v>
      </c>
    </row>
    <row r="1863" spans="2:5" x14ac:dyDescent="0.3">
      <c r="B1863" t="s">
        <v>3277</v>
      </c>
      <c r="C1863">
        <v>541983</v>
      </c>
      <c r="D1863" t="s">
        <v>496</v>
      </c>
      <c r="E1863" t="s">
        <v>3276</v>
      </c>
    </row>
    <row r="1864" spans="2:5" x14ac:dyDescent="0.3">
      <c r="B1864" t="s">
        <v>3278</v>
      </c>
      <c r="C1864">
        <v>523840</v>
      </c>
      <c r="D1864" t="s">
        <v>496</v>
      </c>
      <c r="E1864" t="s">
        <v>691</v>
      </c>
    </row>
    <row r="1865" spans="2:5" x14ac:dyDescent="0.3">
      <c r="B1865" t="s">
        <v>3279</v>
      </c>
      <c r="C1865" t="s">
        <v>496</v>
      </c>
      <c r="D1865" t="s">
        <v>3280</v>
      </c>
      <c r="E1865" t="s">
        <v>507</v>
      </c>
    </row>
    <row r="1866" spans="2:5" x14ac:dyDescent="0.3">
      <c r="B1866" t="s">
        <v>3281</v>
      </c>
      <c r="C1866">
        <v>541353</v>
      </c>
      <c r="D1866" t="s">
        <v>496</v>
      </c>
      <c r="E1866" t="s">
        <v>894</v>
      </c>
    </row>
    <row r="1867" spans="2:5" x14ac:dyDescent="0.3">
      <c r="B1867" t="s">
        <v>3282</v>
      </c>
      <c r="C1867">
        <v>532706</v>
      </c>
      <c r="D1867" t="s">
        <v>3283</v>
      </c>
      <c r="E1867" t="s">
        <v>497</v>
      </c>
    </row>
    <row r="1868" spans="2:5" x14ac:dyDescent="0.3">
      <c r="B1868" t="s">
        <v>3284</v>
      </c>
      <c r="C1868">
        <v>539083</v>
      </c>
      <c r="D1868" t="s">
        <v>3285</v>
      </c>
      <c r="E1868" t="s">
        <v>539</v>
      </c>
    </row>
    <row r="1869" spans="2:5" x14ac:dyDescent="0.3">
      <c r="B1869" t="s">
        <v>3286</v>
      </c>
      <c r="C1869">
        <v>532851</v>
      </c>
      <c r="D1869" t="s">
        <v>3287</v>
      </c>
      <c r="E1869" t="s">
        <v>640</v>
      </c>
    </row>
    <row r="1870" spans="2:5" x14ac:dyDescent="0.3">
      <c r="B1870" t="s">
        <v>3288</v>
      </c>
      <c r="C1870">
        <v>532851</v>
      </c>
      <c r="D1870" t="s">
        <v>3287</v>
      </c>
      <c r="E1870" t="s">
        <v>640</v>
      </c>
    </row>
    <row r="1871" spans="2:5" x14ac:dyDescent="0.3">
      <c r="B1871" t="s">
        <v>3289</v>
      </c>
      <c r="C1871">
        <v>500211</v>
      </c>
      <c r="D1871" t="s">
        <v>496</v>
      </c>
      <c r="E1871" t="s">
        <v>681</v>
      </c>
    </row>
    <row r="1872" spans="2:5" x14ac:dyDescent="0.3">
      <c r="B1872" t="s">
        <v>3290</v>
      </c>
      <c r="C1872">
        <v>532774</v>
      </c>
      <c r="D1872" t="s">
        <v>3291</v>
      </c>
      <c r="E1872" t="s">
        <v>482</v>
      </c>
    </row>
    <row r="1873" spans="2:5" x14ac:dyDescent="0.3">
      <c r="B1873" t="s">
        <v>3292</v>
      </c>
      <c r="C1873">
        <v>526871</v>
      </c>
      <c r="D1873" t="s">
        <v>496</v>
      </c>
      <c r="E1873" t="s">
        <v>479</v>
      </c>
    </row>
    <row r="1874" spans="2:5" x14ac:dyDescent="0.3">
      <c r="B1874" t="s">
        <v>3293</v>
      </c>
      <c r="C1874">
        <v>531314</v>
      </c>
      <c r="D1874" t="s">
        <v>3294</v>
      </c>
      <c r="E1874" t="s">
        <v>513</v>
      </c>
    </row>
    <row r="1875" spans="2:5" x14ac:dyDescent="0.3">
      <c r="B1875" t="s">
        <v>3295</v>
      </c>
      <c r="C1875">
        <v>505358</v>
      </c>
      <c r="D1875" t="s">
        <v>496</v>
      </c>
      <c r="E1875" t="s">
        <v>504</v>
      </c>
    </row>
    <row r="1876" spans="2:5" x14ac:dyDescent="0.3">
      <c r="B1876" t="s">
        <v>3296</v>
      </c>
      <c r="C1876">
        <v>505358</v>
      </c>
      <c r="D1876" t="s">
        <v>496</v>
      </c>
      <c r="E1876" t="s">
        <v>504</v>
      </c>
    </row>
    <row r="1877" spans="2:5" x14ac:dyDescent="0.3">
      <c r="B1877" t="s">
        <v>3297</v>
      </c>
      <c r="C1877">
        <v>535958</v>
      </c>
      <c r="D1877" t="s">
        <v>3298</v>
      </c>
      <c r="E1877" t="s">
        <v>610</v>
      </c>
    </row>
    <row r="1878" spans="2:5" x14ac:dyDescent="0.3">
      <c r="B1878" t="s">
        <v>3299</v>
      </c>
      <c r="C1878">
        <v>517423</v>
      </c>
      <c r="D1878" t="s">
        <v>496</v>
      </c>
      <c r="E1878" t="s">
        <v>794</v>
      </c>
    </row>
    <row r="1879" spans="2:5" x14ac:dyDescent="0.3">
      <c r="B1879" t="s">
        <v>3300</v>
      </c>
      <c r="C1879">
        <v>536868</v>
      </c>
      <c r="D1879" t="s">
        <v>496</v>
      </c>
      <c r="E1879" t="s">
        <v>482</v>
      </c>
    </row>
    <row r="1880" spans="2:5" x14ac:dyDescent="0.3">
      <c r="B1880" t="s">
        <v>3301</v>
      </c>
      <c r="C1880">
        <v>539149</v>
      </c>
      <c r="D1880" t="s">
        <v>496</v>
      </c>
      <c r="E1880" t="s">
        <v>580</v>
      </c>
    </row>
    <row r="1881" spans="2:5" x14ac:dyDescent="0.3">
      <c r="B1881" t="s">
        <v>3302</v>
      </c>
      <c r="C1881">
        <v>500212</v>
      </c>
      <c r="D1881" t="s">
        <v>496</v>
      </c>
      <c r="E1881" t="s">
        <v>513</v>
      </c>
    </row>
    <row r="1882" spans="2:5" x14ac:dyDescent="0.3">
      <c r="B1882" t="s">
        <v>3303</v>
      </c>
      <c r="C1882">
        <v>519606</v>
      </c>
      <c r="D1882" t="s">
        <v>496</v>
      </c>
      <c r="E1882" t="s">
        <v>745</v>
      </c>
    </row>
    <row r="1883" spans="2:5" x14ac:dyDescent="0.3">
      <c r="B1883" t="s">
        <v>3304</v>
      </c>
      <c r="C1883">
        <v>531889</v>
      </c>
      <c r="D1883" t="s">
        <v>496</v>
      </c>
      <c r="E1883" t="s">
        <v>1038</v>
      </c>
    </row>
    <row r="1884" spans="2:5" x14ac:dyDescent="0.3">
      <c r="B1884" t="s">
        <v>3305</v>
      </c>
      <c r="C1884">
        <v>530921</v>
      </c>
      <c r="D1884" t="s">
        <v>496</v>
      </c>
      <c r="E1884" t="s">
        <v>616</v>
      </c>
    </row>
    <row r="1885" spans="2:5" x14ac:dyDescent="0.3">
      <c r="B1885" t="s">
        <v>3306</v>
      </c>
      <c r="C1885">
        <v>538835</v>
      </c>
      <c r="D1885" t="s">
        <v>3307</v>
      </c>
      <c r="E1885" t="s">
        <v>589</v>
      </c>
    </row>
    <row r="1886" spans="2:5" x14ac:dyDescent="0.3">
      <c r="B1886" t="s">
        <v>3308</v>
      </c>
      <c r="C1886">
        <v>534732</v>
      </c>
      <c r="D1886" t="s">
        <v>496</v>
      </c>
      <c r="E1886" t="s">
        <v>479</v>
      </c>
    </row>
    <row r="1887" spans="2:5" x14ac:dyDescent="0.3">
      <c r="B1887" t="s">
        <v>3309</v>
      </c>
      <c r="C1887">
        <v>506134</v>
      </c>
      <c r="D1887" t="s">
        <v>496</v>
      </c>
      <c r="E1887" t="s">
        <v>616</v>
      </c>
    </row>
    <row r="1888" spans="2:5" x14ac:dyDescent="0.3">
      <c r="B1888" t="s">
        <v>3310</v>
      </c>
      <c r="C1888">
        <v>532326</v>
      </c>
      <c r="D1888" t="s">
        <v>3311</v>
      </c>
      <c r="E1888" t="s">
        <v>589</v>
      </c>
    </row>
    <row r="1889" spans="2:5" x14ac:dyDescent="0.3">
      <c r="B1889" t="s">
        <v>3312</v>
      </c>
      <c r="C1889">
        <v>511391</v>
      </c>
      <c r="D1889" t="s">
        <v>496</v>
      </c>
      <c r="E1889" t="s">
        <v>513</v>
      </c>
    </row>
    <row r="1890" spans="2:5" x14ac:dyDescent="0.3">
      <c r="B1890" t="s">
        <v>3313</v>
      </c>
      <c r="C1890">
        <v>530259</v>
      </c>
      <c r="D1890" t="s">
        <v>496</v>
      </c>
      <c r="E1890" t="s">
        <v>568</v>
      </c>
    </row>
    <row r="1891" spans="2:5" x14ac:dyDescent="0.3">
      <c r="B1891" t="s">
        <v>3314</v>
      </c>
      <c r="C1891">
        <v>539692</v>
      </c>
      <c r="D1891" t="s">
        <v>496</v>
      </c>
      <c r="E1891" t="s">
        <v>513</v>
      </c>
    </row>
    <row r="1892" spans="2:5" x14ac:dyDescent="0.3">
      <c r="B1892" t="s">
        <v>3315</v>
      </c>
      <c r="C1892">
        <v>539448</v>
      </c>
      <c r="D1892" t="s">
        <v>3316</v>
      </c>
      <c r="E1892" t="s">
        <v>2634</v>
      </c>
    </row>
    <row r="1893" spans="2:5" x14ac:dyDescent="0.3">
      <c r="B1893" t="s">
        <v>3317</v>
      </c>
      <c r="C1893">
        <v>526512</v>
      </c>
      <c r="D1893" t="s">
        <v>496</v>
      </c>
      <c r="E1893" t="s">
        <v>559</v>
      </c>
    </row>
    <row r="1894" spans="2:5" x14ac:dyDescent="0.3">
      <c r="B1894" t="s">
        <v>3318</v>
      </c>
      <c r="C1894">
        <v>505737</v>
      </c>
      <c r="D1894" t="s">
        <v>496</v>
      </c>
      <c r="E1894" t="s">
        <v>504</v>
      </c>
    </row>
    <row r="1895" spans="2:5" x14ac:dyDescent="0.3">
      <c r="B1895" t="s">
        <v>3319</v>
      </c>
      <c r="C1895">
        <v>505737</v>
      </c>
      <c r="D1895" t="s">
        <v>496</v>
      </c>
      <c r="E1895" t="s">
        <v>504</v>
      </c>
    </row>
    <row r="1896" spans="2:5" x14ac:dyDescent="0.3">
      <c r="B1896" t="s">
        <v>3320</v>
      </c>
      <c r="C1896" t="s">
        <v>496</v>
      </c>
      <c r="D1896" t="s">
        <v>3321</v>
      </c>
      <c r="E1896" t="s">
        <v>587</v>
      </c>
    </row>
    <row r="1897" spans="2:5" x14ac:dyDescent="0.3">
      <c r="B1897" t="s">
        <v>3322</v>
      </c>
      <c r="C1897">
        <v>509709</v>
      </c>
      <c r="D1897" t="s">
        <v>496</v>
      </c>
      <c r="E1897" t="s">
        <v>616</v>
      </c>
    </row>
    <row r="1898" spans="2:5" x14ac:dyDescent="0.3">
      <c r="B1898" t="s">
        <v>3323</v>
      </c>
      <c r="C1898">
        <v>517044</v>
      </c>
      <c r="D1898" t="s">
        <v>496</v>
      </c>
      <c r="E1898" t="s">
        <v>580</v>
      </c>
    </row>
    <row r="1899" spans="2:5" x14ac:dyDescent="0.3">
      <c r="B1899" t="s">
        <v>3324</v>
      </c>
      <c r="C1899">
        <v>530781</v>
      </c>
      <c r="D1899" t="s">
        <v>496</v>
      </c>
      <c r="E1899" t="s">
        <v>554</v>
      </c>
    </row>
    <row r="1900" spans="2:5" x14ac:dyDescent="0.3">
      <c r="B1900" t="s">
        <v>3325</v>
      </c>
      <c r="C1900">
        <v>502330</v>
      </c>
      <c r="D1900" t="s">
        <v>3326</v>
      </c>
      <c r="E1900" t="s">
        <v>490</v>
      </c>
    </row>
    <row r="1901" spans="2:5" x14ac:dyDescent="0.3">
      <c r="B1901" t="s">
        <v>3327</v>
      </c>
      <c r="C1901">
        <v>500213</v>
      </c>
      <c r="D1901" t="s">
        <v>496</v>
      </c>
      <c r="E1901" t="s">
        <v>1499</v>
      </c>
    </row>
    <row r="1902" spans="2:5" x14ac:dyDescent="0.3">
      <c r="B1902" t="s">
        <v>3328</v>
      </c>
      <c r="C1902">
        <v>532072</v>
      </c>
      <c r="D1902" t="s">
        <v>496</v>
      </c>
      <c r="E1902" t="s">
        <v>499</v>
      </c>
    </row>
    <row r="1903" spans="2:5" x14ac:dyDescent="0.3">
      <c r="B1903" t="s">
        <v>3329</v>
      </c>
      <c r="C1903">
        <v>533181</v>
      </c>
      <c r="D1903" t="s">
        <v>3330</v>
      </c>
      <c r="E1903" t="s">
        <v>3256</v>
      </c>
    </row>
    <row r="1904" spans="2:5" x14ac:dyDescent="0.3">
      <c r="B1904" t="s">
        <v>3331</v>
      </c>
      <c r="C1904">
        <v>533506</v>
      </c>
      <c r="D1904" t="s">
        <v>3332</v>
      </c>
      <c r="E1904" t="s">
        <v>479</v>
      </c>
    </row>
    <row r="1905" spans="2:5" x14ac:dyDescent="0.3">
      <c r="B1905" t="s">
        <v>3333</v>
      </c>
      <c r="C1905">
        <v>533172</v>
      </c>
      <c r="D1905" t="s">
        <v>3334</v>
      </c>
      <c r="E1905" t="s">
        <v>479</v>
      </c>
    </row>
    <row r="1906" spans="2:5" x14ac:dyDescent="0.3">
      <c r="B1906" t="s">
        <v>3335</v>
      </c>
      <c r="C1906">
        <v>504786</v>
      </c>
      <c r="D1906" t="s">
        <v>496</v>
      </c>
      <c r="E1906" t="s">
        <v>1416</v>
      </c>
    </row>
    <row r="1907" spans="2:5" x14ac:dyDescent="0.3">
      <c r="B1907" t="s">
        <v>3336</v>
      </c>
      <c r="C1907">
        <v>523844</v>
      </c>
      <c r="D1907" t="s">
        <v>496</v>
      </c>
      <c r="E1907" t="s">
        <v>1663</v>
      </c>
    </row>
    <row r="1908" spans="2:5" x14ac:dyDescent="0.3">
      <c r="B1908" t="s">
        <v>3337</v>
      </c>
      <c r="C1908">
        <v>523752</v>
      </c>
      <c r="D1908" t="s">
        <v>496</v>
      </c>
      <c r="E1908" t="s">
        <v>504</v>
      </c>
    </row>
    <row r="1909" spans="2:5" x14ac:dyDescent="0.3">
      <c r="B1909" t="s">
        <v>3338</v>
      </c>
      <c r="C1909">
        <v>524164</v>
      </c>
      <c r="D1909" t="s">
        <v>3339</v>
      </c>
      <c r="E1909" t="s">
        <v>534</v>
      </c>
    </row>
    <row r="1910" spans="2:5" x14ac:dyDescent="0.3">
      <c r="B1910" t="s">
        <v>3340</v>
      </c>
      <c r="C1910">
        <v>500214</v>
      </c>
      <c r="D1910" t="s">
        <v>496</v>
      </c>
      <c r="E1910" t="s">
        <v>504</v>
      </c>
    </row>
    <row r="1911" spans="2:5" x14ac:dyDescent="0.3">
      <c r="B1911" t="s">
        <v>3341</v>
      </c>
      <c r="C1911">
        <v>500214</v>
      </c>
      <c r="D1911" t="s">
        <v>496</v>
      </c>
      <c r="E1911" t="s">
        <v>504</v>
      </c>
    </row>
    <row r="1912" spans="2:5" x14ac:dyDescent="0.3">
      <c r="B1912" t="s">
        <v>3342</v>
      </c>
      <c r="C1912">
        <v>523638</v>
      </c>
      <c r="D1912" t="s">
        <v>496</v>
      </c>
      <c r="E1912" t="s">
        <v>851</v>
      </c>
    </row>
    <row r="1913" spans="2:5" x14ac:dyDescent="0.3">
      <c r="B1913" t="s">
        <v>3343</v>
      </c>
      <c r="C1913">
        <v>524494</v>
      </c>
      <c r="D1913" t="s">
        <v>3344</v>
      </c>
      <c r="E1913" t="s">
        <v>534</v>
      </c>
    </row>
    <row r="1914" spans="2:5" x14ac:dyDescent="0.3">
      <c r="B1914" t="s">
        <v>3345</v>
      </c>
      <c r="C1914">
        <v>512405</v>
      </c>
      <c r="D1914" t="s">
        <v>496</v>
      </c>
      <c r="E1914" t="s">
        <v>502</v>
      </c>
    </row>
    <row r="1915" spans="2:5" x14ac:dyDescent="0.3">
      <c r="B1915" t="s">
        <v>3346</v>
      </c>
      <c r="C1915">
        <v>512405</v>
      </c>
      <c r="D1915" t="s">
        <v>496</v>
      </c>
      <c r="E1915" t="s">
        <v>502</v>
      </c>
    </row>
    <row r="1916" spans="2:5" x14ac:dyDescent="0.3">
      <c r="B1916" t="s">
        <v>3347</v>
      </c>
      <c r="C1916">
        <v>532947</v>
      </c>
      <c r="D1916" t="s">
        <v>3348</v>
      </c>
      <c r="E1916" t="s">
        <v>1091</v>
      </c>
    </row>
    <row r="1917" spans="2:5" x14ac:dyDescent="0.3">
      <c r="B1917" t="s">
        <v>3349</v>
      </c>
      <c r="C1917">
        <v>540526</v>
      </c>
      <c r="D1917" t="s">
        <v>3350</v>
      </c>
      <c r="E1917" t="s">
        <v>516</v>
      </c>
    </row>
    <row r="1918" spans="2:5" x14ac:dyDescent="0.3">
      <c r="B1918" t="s">
        <v>3351</v>
      </c>
      <c r="C1918">
        <v>541956</v>
      </c>
      <c r="D1918" t="s">
        <v>3352</v>
      </c>
      <c r="E1918" t="s">
        <v>894</v>
      </c>
    </row>
    <row r="1919" spans="2:5" x14ac:dyDescent="0.3">
      <c r="B1919" t="s">
        <v>3353</v>
      </c>
      <c r="C1919">
        <v>540735</v>
      </c>
      <c r="D1919" t="s">
        <v>496</v>
      </c>
      <c r="E1919" t="s">
        <v>589</v>
      </c>
    </row>
    <row r="1920" spans="2:5" x14ac:dyDescent="0.3">
      <c r="B1920" t="s">
        <v>3354</v>
      </c>
      <c r="C1920" t="s">
        <v>496</v>
      </c>
      <c r="D1920" t="s">
        <v>3355</v>
      </c>
      <c r="E1920" t="s">
        <v>507</v>
      </c>
    </row>
    <row r="1921" spans="2:5" x14ac:dyDescent="0.3">
      <c r="B1921" t="s">
        <v>3356</v>
      </c>
      <c r="C1921">
        <v>531337</v>
      </c>
      <c r="D1921" t="s">
        <v>496</v>
      </c>
      <c r="E1921" t="s">
        <v>479</v>
      </c>
    </row>
    <row r="1922" spans="2:5" x14ac:dyDescent="0.3">
      <c r="B1922" t="s">
        <v>3357</v>
      </c>
      <c r="C1922">
        <v>526859</v>
      </c>
      <c r="D1922" t="s">
        <v>496</v>
      </c>
      <c r="E1922" t="s">
        <v>513</v>
      </c>
    </row>
    <row r="1923" spans="2:5" x14ac:dyDescent="0.3">
      <c r="B1923" t="s">
        <v>3358</v>
      </c>
      <c r="C1923">
        <v>533033</v>
      </c>
      <c r="D1923" t="s">
        <v>496</v>
      </c>
      <c r="E1923" t="s">
        <v>504</v>
      </c>
    </row>
    <row r="1924" spans="2:5" x14ac:dyDescent="0.3">
      <c r="B1924" t="s">
        <v>3359</v>
      </c>
      <c r="C1924">
        <v>540134</v>
      </c>
      <c r="D1924" t="s">
        <v>496</v>
      </c>
      <c r="E1924" t="s">
        <v>894</v>
      </c>
    </row>
    <row r="1925" spans="2:5" x14ac:dyDescent="0.3">
      <c r="B1925" t="s">
        <v>3360</v>
      </c>
      <c r="C1925">
        <v>531109</v>
      </c>
      <c r="D1925" t="s">
        <v>496</v>
      </c>
      <c r="E1925" t="s">
        <v>656</v>
      </c>
    </row>
    <row r="1926" spans="2:5" x14ac:dyDescent="0.3">
      <c r="B1926" t="s">
        <v>3361</v>
      </c>
      <c r="C1926">
        <v>524400</v>
      </c>
      <c r="D1926" t="s">
        <v>496</v>
      </c>
      <c r="E1926" t="s">
        <v>534</v>
      </c>
    </row>
    <row r="1927" spans="2:5" x14ac:dyDescent="0.3">
      <c r="B1927" t="s">
        <v>3362</v>
      </c>
      <c r="C1927">
        <v>506161</v>
      </c>
      <c r="D1927" t="s">
        <v>496</v>
      </c>
      <c r="E1927" t="s">
        <v>513</v>
      </c>
    </row>
    <row r="1928" spans="2:5" x14ac:dyDescent="0.3">
      <c r="B1928" t="s">
        <v>3363</v>
      </c>
      <c r="C1928">
        <v>511609</v>
      </c>
      <c r="D1928" t="s">
        <v>496</v>
      </c>
      <c r="E1928" t="s">
        <v>513</v>
      </c>
    </row>
    <row r="1929" spans="2:5" x14ac:dyDescent="0.3">
      <c r="B1929" t="s">
        <v>3364</v>
      </c>
      <c r="C1929">
        <v>532479</v>
      </c>
      <c r="D1929" t="s">
        <v>3365</v>
      </c>
      <c r="E1929" t="s">
        <v>528</v>
      </c>
    </row>
    <row r="1930" spans="2:5" x14ac:dyDescent="0.3">
      <c r="B1930" t="s">
        <v>3366</v>
      </c>
      <c r="C1930">
        <v>508807</v>
      </c>
      <c r="D1930" t="s">
        <v>496</v>
      </c>
      <c r="E1930" t="s">
        <v>851</v>
      </c>
    </row>
    <row r="1931" spans="2:5" x14ac:dyDescent="0.3">
      <c r="B1931" t="s">
        <v>3367</v>
      </c>
      <c r="C1931">
        <v>524622</v>
      </c>
      <c r="D1931" t="s">
        <v>496</v>
      </c>
      <c r="E1931" t="s">
        <v>3256</v>
      </c>
    </row>
    <row r="1932" spans="2:5" x14ac:dyDescent="0.3">
      <c r="B1932" t="s">
        <v>1201</v>
      </c>
      <c r="C1932">
        <v>500875</v>
      </c>
      <c r="D1932" t="s">
        <v>1202</v>
      </c>
      <c r="E1932" t="s">
        <v>2667</v>
      </c>
    </row>
    <row r="1933" spans="2:5" x14ac:dyDescent="0.3">
      <c r="B1933" t="s">
        <v>3368</v>
      </c>
      <c r="C1933">
        <v>509496</v>
      </c>
      <c r="D1933" t="s">
        <v>3369</v>
      </c>
      <c r="E1933" t="s">
        <v>894</v>
      </c>
    </row>
    <row r="1934" spans="2:5" x14ac:dyDescent="0.3">
      <c r="B1934" t="s">
        <v>3370</v>
      </c>
      <c r="C1934">
        <v>509496</v>
      </c>
      <c r="D1934" t="s">
        <v>3369</v>
      </c>
      <c r="E1934" t="s">
        <v>894</v>
      </c>
    </row>
    <row r="1935" spans="2:5" x14ac:dyDescent="0.3">
      <c r="B1935" t="s">
        <v>3371</v>
      </c>
      <c r="C1935">
        <v>523610</v>
      </c>
      <c r="D1935" t="s">
        <v>3372</v>
      </c>
      <c r="E1935" t="s">
        <v>642</v>
      </c>
    </row>
    <row r="1936" spans="2:5" x14ac:dyDescent="0.3">
      <c r="B1936" t="s">
        <v>3373</v>
      </c>
      <c r="C1936">
        <v>522183</v>
      </c>
      <c r="D1936" t="s">
        <v>496</v>
      </c>
      <c r="E1936" t="s">
        <v>504</v>
      </c>
    </row>
    <row r="1937" spans="2:5" x14ac:dyDescent="0.3">
      <c r="B1937" t="s">
        <v>3374</v>
      </c>
      <c r="C1937">
        <v>507580</v>
      </c>
      <c r="D1937" t="s">
        <v>3375</v>
      </c>
      <c r="E1937" t="s">
        <v>544</v>
      </c>
    </row>
    <row r="1938" spans="2:5" x14ac:dyDescent="0.3">
      <c r="B1938" t="s">
        <v>3376</v>
      </c>
      <c r="C1938">
        <v>530773</v>
      </c>
      <c r="D1938" t="s">
        <v>3377</v>
      </c>
      <c r="E1938" t="s">
        <v>894</v>
      </c>
    </row>
    <row r="1939" spans="2:5" x14ac:dyDescent="0.3">
      <c r="B1939" t="s">
        <v>3378</v>
      </c>
      <c r="C1939">
        <v>522245</v>
      </c>
      <c r="D1939" t="s">
        <v>496</v>
      </c>
      <c r="E1939" t="s">
        <v>681</v>
      </c>
    </row>
    <row r="1940" spans="2:5" x14ac:dyDescent="0.3">
      <c r="B1940" t="s">
        <v>3379</v>
      </c>
      <c r="C1940">
        <v>532341</v>
      </c>
      <c r="D1940" t="s">
        <v>3380</v>
      </c>
      <c r="E1940" t="s">
        <v>482</v>
      </c>
    </row>
    <row r="1941" spans="2:5" x14ac:dyDescent="0.3">
      <c r="B1941" t="s">
        <v>3381</v>
      </c>
      <c r="C1941">
        <v>538539</v>
      </c>
      <c r="D1941" t="s">
        <v>496</v>
      </c>
      <c r="E1941" t="s">
        <v>516</v>
      </c>
    </row>
    <row r="1942" spans="2:5" x14ac:dyDescent="0.3">
      <c r="B1942" t="s">
        <v>3382</v>
      </c>
      <c r="C1942">
        <v>530049</v>
      </c>
      <c r="D1942" t="s">
        <v>496</v>
      </c>
      <c r="E1942" t="s">
        <v>511</v>
      </c>
    </row>
    <row r="1943" spans="2:5" x14ac:dyDescent="0.3">
      <c r="B1943" t="s">
        <v>3383</v>
      </c>
      <c r="C1943">
        <v>523062</v>
      </c>
      <c r="D1943" t="s">
        <v>496</v>
      </c>
      <c r="E1943" t="s">
        <v>513</v>
      </c>
    </row>
    <row r="1944" spans="2:5" x14ac:dyDescent="0.3">
      <c r="B1944" t="s">
        <v>3384</v>
      </c>
      <c r="C1944">
        <v>532940</v>
      </c>
      <c r="D1944" t="s">
        <v>3385</v>
      </c>
      <c r="E1944" t="s">
        <v>894</v>
      </c>
    </row>
    <row r="1945" spans="2:5" x14ac:dyDescent="0.3">
      <c r="B1945" t="s">
        <v>3386</v>
      </c>
      <c r="C1945">
        <v>506522</v>
      </c>
      <c r="D1945" t="s">
        <v>496</v>
      </c>
      <c r="E1945" t="s">
        <v>678</v>
      </c>
    </row>
    <row r="1946" spans="2:5" x14ac:dyDescent="0.3">
      <c r="B1946" t="s">
        <v>3387</v>
      </c>
      <c r="C1946">
        <v>506522</v>
      </c>
      <c r="D1946" t="s">
        <v>496</v>
      </c>
      <c r="E1946" t="s">
        <v>678</v>
      </c>
    </row>
    <row r="1947" spans="2:5" x14ac:dyDescent="0.3">
      <c r="B1947" t="s">
        <v>3388</v>
      </c>
      <c r="C1947">
        <v>530915</v>
      </c>
      <c r="D1947" t="s">
        <v>496</v>
      </c>
      <c r="E1947" t="s">
        <v>745</v>
      </c>
    </row>
    <row r="1948" spans="2:5" x14ac:dyDescent="0.3">
      <c r="B1948" t="s">
        <v>3389</v>
      </c>
      <c r="C1948">
        <v>538422</v>
      </c>
      <c r="D1948" t="s">
        <v>496</v>
      </c>
      <c r="E1948" t="s">
        <v>516</v>
      </c>
    </row>
    <row r="1949" spans="2:5" x14ac:dyDescent="0.3">
      <c r="B1949" t="s">
        <v>3390</v>
      </c>
      <c r="C1949">
        <v>530711</v>
      </c>
      <c r="D1949" t="s">
        <v>496</v>
      </c>
      <c r="E1949" t="s">
        <v>851</v>
      </c>
    </row>
    <row r="1950" spans="2:5" x14ac:dyDescent="0.3">
      <c r="B1950" t="s">
        <v>3391</v>
      </c>
      <c r="C1950">
        <v>507155</v>
      </c>
      <c r="D1950" t="s">
        <v>496</v>
      </c>
      <c r="E1950" t="s">
        <v>1128</v>
      </c>
    </row>
    <row r="1951" spans="2:5" x14ac:dyDescent="0.3">
      <c r="B1951" t="s">
        <v>3392</v>
      </c>
      <c r="C1951">
        <v>532825</v>
      </c>
      <c r="D1951" t="s">
        <v>496</v>
      </c>
      <c r="E1951" t="s">
        <v>511</v>
      </c>
    </row>
    <row r="1952" spans="2:5" x14ac:dyDescent="0.3">
      <c r="B1952" t="s">
        <v>3393</v>
      </c>
      <c r="C1952">
        <v>532705</v>
      </c>
      <c r="D1952" t="s">
        <v>3394</v>
      </c>
      <c r="E1952" t="s">
        <v>1020</v>
      </c>
    </row>
    <row r="1953" spans="2:5" x14ac:dyDescent="0.3">
      <c r="B1953" t="s">
        <v>3395</v>
      </c>
      <c r="C1953">
        <v>520139</v>
      </c>
      <c r="D1953" t="s">
        <v>496</v>
      </c>
      <c r="E1953" t="s">
        <v>2634</v>
      </c>
    </row>
    <row r="1954" spans="2:5" x14ac:dyDescent="0.3">
      <c r="B1954" t="s">
        <v>3396</v>
      </c>
      <c r="C1954">
        <v>530601</v>
      </c>
      <c r="D1954" t="s">
        <v>496</v>
      </c>
      <c r="E1954" t="s">
        <v>513</v>
      </c>
    </row>
    <row r="1955" spans="2:5" x14ac:dyDescent="0.3">
      <c r="B1955" t="s">
        <v>3397</v>
      </c>
      <c r="C1955">
        <v>507789</v>
      </c>
      <c r="D1955" t="s">
        <v>3398</v>
      </c>
      <c r="E1955" t="s">
        <v>534</v>
      </c>
    </row>
    <row r="1956" spans="2:5" x14ac:dyDescent="0.3">
      <c r="B1956" t="s">
        <v>3399</v>
      </c>
      <c r="C1956">
        <v>532976</v>
      </c>
      <c r="D1956" t="s">
        <v>3400</v>
      </c>
      <c r="E1956" t="s">
        <v>528</v>
      </c>
    </row>
    <row r="1957" spans="2:5" x14ac:dyDescent="0.3">
      <c r="B1957" t="s">
        <v>3401</v>
      </c>
      <c r="C1957">
        <v>512237</v>
      </c>
      <c r="D1957" t="s">
        <v>3402</v>
      </c>
      <c r="E1957" t="s">
        <v>528</v>
      </c>
    </row>
    <row r="1958" spans="2:5" x14ac:dyDescent="0.3">
      <c r="B1958" t="s">
        <v>3403</v>
      </c>
      <c r="C1958">
        <v>523467</v>
      </c>
      <c r="D1958" t="s">
        <v>496</v>
      </c>
      <c r="E1958" t="s">
        <v>1024</v>
      </c>
    </row>
    <row r="1959" spans="2:5" x14ac:dyDescent="0.3">
      <c r="B1959" t="s">
        <v>3404</v>
      </c>
      <c r="C1959">
        <v>531339</v>
      </c>
      <c r="D1959" t="s">
        <v>3405</v>
      </c>
      <c r="E1959" t="s">
        <v>894</v>
      </c>
    </row>
    <row r="1960" spans="2:5" x14ac:dyDescent="0.3">
      <c r="B1960" t="s">
        <v>3406</v>
      </c>
      <c r="C1960">
        <v>514312</v>
      </c>
      <c r="D1960" t="s">
        <v>496</v>
      </c>
      <c r="E1960" t="s">
        <v>511</v>
      </c>
    </row>
    <row r="1961" spans="2:5" x14ac:dyDescent="0.3">
      <c r="B1961" t="s">
        <v>3407</v>
      </c>
      <c r="C1961">
        <v>500219</v>
      </c>
      <c r="D1961" t="s">
        <v>3408</v>
      </c>
      <c r="E1961" t="s">
        <v>616</v>
      </c>
    </row>
    <row r="1962" spans="2:5" x14ac:dyDescent="0.3">
      <c r="B1962" t="s">
        <v>3407</v>
      </c>
      <c r="C1962">
        <v>570004</v>
      </c>
      <c r="D1962" t="s">
        <v>3409</v>
      </c>
      <c r="E1962" t="s">
        <v>616</v>
      </c>
    </row>
    <row r="1963" spans="2:5" x14ac:dyDescent="0.3">
      <c r="B1963" t="s">
        <v>3410</v>
      </c>
      <c r="C1963">
        <v>539119</v>
      </c>
      <c r="D1963" t="s">
        <v>496</v>
      </c>
      <c r="E1963" t="s">
        <v>1024</v>
      </c>
    </row>
    <row r="1964" spans="2:5" x14ac:dyDescent="0.3">
      <c r="B1964" t="s">
        <v>3411</v>
      </c>
      <c r="C1964">
        <v>532033</v>
      </c>
      <c r="D1964" t="s">
        <v>3412</v>
      </c>
      <c r="E1964" t="s">
        <v>1235</v>
      </c>
    </row>
    <row r="1965" spans="2:5" x14ac:dyDescent="0.3">
      <c r="B1965" t="s">
        <v>3413</v>
      </c>
      <c r="C1965">
        <v>526865</v>
      </c>
      <c r="D1965" t="s">
        <v>496</v>
      </c>
      <c r="E1965" t="s">
        <v>518</v>
      </c>
    </row>
    <row r="1966" spans="2:5" x14ac:dyDescent="0.3">
      <c r="B1966" t="s">
        <v>3414</v>
      </c>
      <c r="C1966">
        <v>526865</v>
      </c>
      <c r="D1966" t="s">
        <v>496</v>
      </c>
      <c r="E1966" t="s">
        <v>518</v>
      </c>
    </row>
    <row r="1967" spans="2:5" x14ac:dyDescent="0.3">
      <c r="B1967" t="s">
        <v>3415</v>
      </c>
      <c r="C1967">
        <v>505212</v>
      </c>
      <c r="D1967" t="s">
        <v>496</v>
      </c>
      <c r="E1967" t="s">
        <v>851</v>
      </c>
    </row>
    <row r="1968" spans="2:5" x14ac:dyDescent="0.3">
      <c r="B1968" t="s">
        <v>3416</v>
      </c>
      <c r="C1968">
        <v>505840</v>
      </c>
      <c r="D1968" t="s">
        <v>496</v>
      </c>
      <c r="E1968" t="s">
        <v>1261</v>
      </c>
    </row>
    <row r="1969" spans="2:5" x14ac:dyDescent="0.3">
      <c r="B1969" t="s">
        <v>3417</v>
      </c>
      <c r="C1969">
        <v>532532</v>
      </c>
      <c r="D1969" t="s">
        <v>3418</v>
      </c>
      <c r="E1969" t="s">
        <v>894</v>
      </c>
    </row>
    <row r="1970" spans="2:5" x14ac:dyDescent="0.3">
      <c r="B1970" t="s">
        <v>3419</v>
      </c>
      <c r="C1970">
        <v>532627</v>
      </c>
      <c r="D1970" t="s">
        <v>3420</v>
      </c>
      <c r="E1970" t="s">
        <v>635</v>
      </c>
    </row>
    <row r="1971" spans="2:5" x14ac:dyDescent="0.3">
      <c r="B1971" t="s">
        <v>3421</v>
      </c>
      <c r="C1971">
        <v>780001</v>
      </c>
      <c r="D1971" t="s">
        <v>496</v>
      </c>
      <c r="E1971" t="s">
        <v>587</v>
      </c>
    </row>
    <row r="1972" spans="2:5" x14ac:dyDescent="0.3">
      <c r="B1972" t="s">
        <v>3422</v>
      </c>
      <c r="C1972" t="s">
        <v>496</v>
      </c>
      <c r="D1972" t="s">
        <v>3423</v>
      </c>
      <c r="E1972" t="s">
        <v>507</v>
      </c>
    </row>
    <row r="1973" spans="2:5" x14ac:dyDescent="0.3">
      <c r="B1973" t="s">
        <v>3424</v>
      </c>
      <c r="C1973" t="s">
        <v>496</v>
      </c>
      <c r="D1973" t="s">
        <v>3425</v>
      </c>
      <c r="E1973" t="s">
        <v>507</v>
      </c>
    </row>
    <row r="1974" spans="2:5" x14ac:dyDescent="0.3">
      <c r="B1974" t="s">
        <v>3426</v>
      </c>
      <c r="C1974" t="s">
        <v>496</v>
      </c>
      <c r="D1974" t="s">
        <v>3425</v>
      </c>
      <c r="E1974" t="s">
        <v>507</v>
      </c>
    </row>
    <row r="1975" spans="2:5" x14ac:dyDescent="0.3">
      <c r="B1975" t="s">
        <v>3427</v>
      </c>
      <c r="C1975">
        <v>538564</v>
      </c>
      <c r="D1975" t="s">
        <v>496</v>
      </c>
      <c r="E1975" t="s">
        <v>903</v>
      </c>
    </row>
    <row r="1976" spans="2:5" x14ac:dyDescent="0.3">
      <c r="B1976" t="s">
        <v>3428</v>
      </c>
      <c r="C1976">
        <v>520051</v>
      </c>
      <c r="D1976" t="s">
        <v>3429</v>
      </c>
      <c r="E1976" t="s">
        <v>851</v>
      </c>
    </row>
    <row r="1977" spans="2:5" x14ac:dyDescent="0.3">
      <c r="B1977" t="s">
        <v>3430</v>
      </c>
      <c r="C1977">
        <v>502901</v>
      </c>
      <c r="D1977" t="s">
        <v>496</v>
      </c>
      <c r="E1977" t="s">
        <v>511</v>
      </c>
    </row>
    <row r="1978" spans="2:5" x14ac:dyDescent="0.3">
      <c r="B1978" t="s">
        <v>3431</v>
      </c>
      <c r="C1978">
        <v>500220</v>
      </c>
      <c r="D1978" t="s">
        <v>496</v>
      </c>
      <c r="E1978" t="s">
        <v>511</v>
      </c>
    </row>
    <row r="1979" spans="2:5" x14ac:dyDescent="0.3">
      <c r="B1979" t="s">
        <v>3432</v>
      </c>
      <c r="C1979">
        <v>540394</v>
      </c>
      <c r="D1979" t="s">
        <v>496</v>
      </c>
      <c r="E1979" t="s">
        <v>518</v>
      </c>
    </row>
    <row r="1980" spans="2:5" x14ac:dyDescent="0.3">
      <c r="B1980" t="s">
        <v>3433</v>
      </c>
      <c r="C1980" t="s">
        <v>496</v>
      </c>
      <c r="D1980" t="s">
        <v>3434</v>
      </c>
      <c r="E1980" t="s">
        <v>507</v>
      </c>
    </row>
    <row r="1981" spans="2:5" x14ac:dyDescent="0.3">
      <c r="B1981" t="s">
        <v>3435</v>
      </c>
      <c r="C1981">
        <v>514318</v>
      </c>
      <c r="D1981" t="s">
        <v>496</v>
      </c>
      <c r="E1981" t="s">
        <v>511</v>
      </c>
    </row>
    <row r="1982" spans="2:5" x14ac:dyDescent="0.3">
      <c r="B1982" t="s">
        <v>3436</v>
      </c>
      <c r="C1982">
        <v>526001</v>
      </c>
      <c r="D1982" t="s">
        <v>496</v>
      </c>
      <c r="E1982" t="s">
        <v>691</v>
      </c>
    </row>
    <row r="1983" spans="2:5" x14ac:dyDescent="0.3">
      <c r="B1983" t="s">
        <v>3437</v>
      </c>
      <c r="C1983">
        <v>520066</v>
      </c>
      <c r="D1983" t="s">
        <v>3438</v>
      </c>
      <c r="E1983" t="s">
        <v>851</v>
      </c>
    </row>
    <row r="1984" spans="2:5" x14ac:dyDescent="0.3">
      <c r="B1984" t="s">
        <v>3439</v>
      </c>
      <c r="C1984">
        <v>509715</v>
      </c>
      <c r="D1984" t="s">
        <v>496</v>
      </c>
      <c r="E1984" t="s">
        <v>903</v>
      </c>
    </row>
    <row r="1985" spans="2:5" x14ac:dyDescent="0.3">
      <c r="B1985" t="s">
        <v>3440</v>
      </c>
      <c r="C1985">
        <v>513252</v>
      </c>
      <c r="D1985" t="s">
        <v>496</v>
      </c>
      <c r="E1985" t="s">
        <v>851</v>
      </c>
    </row>
    <row r="1986" spans="2:5" x14ac:dyDescent="0.3">
      <c r="B1986" t="s">
        <v>3441</v>
      </c>
      <c r="C1986">
        <v>524330</v>
      </c>
      <c r="D1986" t="s">
        <v>3442</v>
      </c>
      <c r="E1986" t="s">
        <v>656</v>
      </c>
    </row>
    <row r="1987" spans="2:5" x14ac:dyDescent="0.3">
      <c r="B1987" t="s">
        <v>3443</v>
      </c>
      <c r="C1987">
        <v>522285</v>
      </c>
      <c r="D1987" t="s">
        <v>3444</v>
      </c>
      <c r="E1987" t="s">
        <v>528</v>
      </c>
    </row>
    <row r="1988" spans="2:5" x14ac:dyDescent="0.3">
      <c r="B1988" t="s">
        <v>3445</v>
      </c>
      <c r="C1988">
        <v>539005</v>
      </c>
      <c r="D1988" t="s">
        <v>496</v>
      </c>
      <c r="E1988" t="s">
        <v>917</v>
      </c>
    </row>
    <row r="1989" spans="2:5" x14ac:dyDescent="0.3">
      <c r="B1989" t="s">
        <v>3446</v>
      </c>
      <c r="C1989">
        <v>531323</v>
      </c>
      <c r="D1989" t="s">
        <v>496</v>
      </c>
      <c r="E1989" t="s">
        <v>511</v>
      </c>
    </row>
    <row r="1990" spans="2:5" x14ac:dyDescent="0.3">
      <c r="B1990" t="s">
        <v>3447</v>
      </c>
      <c r="C1990">
        <v>512233</v>
      </c>
      <c r="D1990" t="s">
        <v>496</v>
      </c>
      <c r="E1990" t="s">
        <v>511</v>
      </c>
    </row>
    <row r="1991" spans="2:5" x14ac:dyDescent="0.3">
      <c r="B1991" t="s">
        <v>3448</v>
      </c>
      <c r="C1991">
        <v>500306</v>
      </c>
      <c r="D1991" t="s">
        <v>496</v>
      </c>
      <c r="E1991" t="s">
        <v>513</v>
      </c>
    </row>
    <row r="1992" spans="2:5" x14ac:dyDescent="0.3">
      <c r="B1992" t="s">
        <v>3449</v>
      </c>
      <c r="C1992">
        <v>533207</v>
      </c>
      <c r="D1992" t="s">
        <v>3450</v>
      </c>
      <c r="E1992" t="s">
        <v>1091</v>
      </c>
    </row>
    <row r="1993" spans="2:5" x14ac:dyDescent="0.3">
      <c r="B1993" t="s">
        <v>3451</v>
      </c>
      <c r="C1993">
        <v>506520</v>
      </c>
      <c r="D1993" t="s">
        <v>496</v>
      </c>
      <c r="E1993" t="s">
        <v>544</v>
      </c>
    </row>
    <row r="1994" spans="2:5" x14ac:dyDescent="0.3">
      <c r="B1994" t="s">
        <v>3452</v>
      </c>
      <c r="C1994" t="s">
        <v>496</v>
      </c>
      <c r="D1994" t="s">
        <v>3453</v>
      </c>
      <c r="E1994" t="s">
        <v>587</v>
      </c>
    </row>
    <row r="1995" spans="2:5" x14ac:dyDescent="0.3">
      <c r="B1995" t="s">
        <v>3454</v>
      </c>
      <c r="C1995">
        <v>506910</v>
      </c>
      <c r="D1995" t="s">
        <v>496</v>
      </c>
      <c r="E1995" t="s">
        <v>656</v>
      </c>
    </row>
    <row r="1996" spans="2:5" x14ac:dyDescent="0.3">
      <c r="B1996" t="s">
        <v>3455</v>
      </c>
      <c r="C1996">
        <v>506910</v>
      </c>
      <c r="D1996" t="s">
        <v>496</v>
      </c>
      <c r="E1996" t="s">
        <v>656</v>
      </c>
    </row>
    <row r="1997" spans="2:5" x14ac:dyDescent="0.3">
      <c r="B1997" t="s">
        <v>3456</v>
      </c>
      <c r="C1997">
        <v>506943</v>
      </c>
      <c r="D1997" t="s">
        <v>3457</v>
      </c>
      <c r="E1997" t="s">
        <v>534</v>
      </c>
    </row>
    <row r="1998" spans="2:5" x14ac:dyDescent="0.3">
      <c r="B1998" t="s">
        <v>3458</v>
      </c>
      <c r="C1998">
        <v>514034</v>
      </c>
      <c r="D1998" t="s">
        <v>3459</v>
      </c>
      <c r="E1998" t="s">
        <v>873</v>
      </c>
    </row>
    <row r="1999" spans="2:5" x14ac:dyDescent="0.3">
      <c r="B1999" t="s">
        <v>3460</v>
      </c>
      <c r="C1999">
        <v>532605</v>
      </c>
      <c r="D1999" t="s">
        <v>3461</v>
      </c>
      <c r="E1999" t="s">
        <v>851</v>
      </c>
    </row>
    <row r="2000" spans="2:5" x14ac:dyDescent="0.3">
      <c r="B2000" t="s">
        <v>3462</v>
      </c>
      <c r="C2000">
        <v>500223</v>
      </c>
      <c r="D2000" t="s">
        <v>496</v>
      </c>
      <c r="E2000" t="s">
        <v>511</v>
      </c>
    </row>
    <row r="2001" spans="2:5" x14ac:dyDescent="0.3">
      <c r="B2001" t="s">
        <v>3463</v>
      </c>
      <c r="C2001">
        <v>524592</v>
      </c>
      <c r="D2001" t="s">
        <v>496</v>
      </c>
      <c r="E2001" t="s">
        <v>656</v>
      </c>
    </row>
    <row r="2002" spans="2:5" x14ac:dyDescent="0.3">
      <c r="B2002" t="s">
        <v>3464</v>
      </c>
      <c r="C2002">
        <v>538837</v>
      </c>
      <c r="D2002" t="s">
        <v>496</v>
      </c>
      <c r="E2002" t="s">
        <v>502</v>
      </c>
    </row>
    <row r="2003" spans="2:5" x14ac:dyDescent="0.3">
      <c r="B2003" t="s">
        <v>3465</v>
      </c>
      <c r="C2003">
        <v>524731</v>
      </c>
      <c r="D2003" t="s">
        <v>496</v>
      </c>
      <c r="E2003" t="s">
        <v>534</v>
      </c>
    </row>
    <row r="2004" spans="2:5" x14ac:dyDescent="0.3">
      <c r="B2004" t="s">
        <v>3466</v>
      </c>
      <c r="C2004">
        <v>532617</v>
      </c>
      <c r="D2004" t="s">
        <v>3467</v>
      </c>
      <c r="E2004" t="s">
        <v>2634</v>
      </c>
    </row>
    <row r="2005" spans="2:5" x14ac:dyDescent="0.3">
      <c r="B2005" t="s">
        <v>3468</v>
      </c>
      <c r="C2005">
        <v>532617</v>
      </c>
      <c r="D2005" t="s">
        <v>3467</v>
      </c>
      <c r="E2005" t="s">
        <v>2634</v>
      </c>
    </row>
    <row r="2006" spans="2:5" x14ac:dyDescent="0.3">
      <c r="B2006" t="s">
        <v>3469</v>
      </c>
      <c r="C2006" t="s">
        <v>496</v>
      </c>
      <c r="D2006" t="s">
        <v>3470</v>
      </c>
      <c r="E2006" t="s">
        <v>507</v>
      </c>
    </row>
    <row r="2007" spans="2:5" x14ac:dyDescent="0.3">
      <c r="B2007" t="s">
        <v>3471</v>
      </c>
      <c r="C2007">
        <v>538794</v>
      </c>
      <c r="D2007" t="s">
        <v>496</v>
      </c>
      <c r="E2007" t="s">
        <v>582</v>
      </c>
    </row>
    <row r="2008" spans="2:5" x14ac:dyDescent="0.3">
      <c r="B2008" t="s">
        <v>3472</v>
      </c>
      <c r="C2008" t="s">
        <v>496</v>
      </c>
      <c r="D2008" t="s">
        <v>3473</v>
      </c>
      <c r="E2008" t="s">
        <v>507</v>
      </c>
    </row>
    <row r="2009" spans="2:5" x14ac:dyDescent="0.3">
      <c r="B2009" t="s">
        <v>3474</v>
      </c>
      <c r="C2009">
        <v>517063</v>
      </c>
      <c r="D2009" t="s">
        <v>496</v>
      </c>
      <c r="E2009" t="s">
        <v>981</v>
      </c>
    </row>
    <row r="2010" spans="2:5" x14ac:dyDescent="0.3">
      <c r="B2010" t="s">
        <v>3475</v>
      </c>
      <c r="C2010">
        <v>540850</v>
      </c>
      <c r="D2010" t="s">
        <v>496</v>
      </c>
      <c r="E2010" t="s">
        <v>556</v>
      </c>
    </row>
    <row r="2011" spans="2:5" x14ac:dyDescent="0.3">
      <c r="B2011" t="s">
        <v>3476</v>
      </c>
      <c r="C2011">
        <v>531550</v>
      </c>
      <c r="D2011" t="s">
        <v>496</v>
      </c>
      <c r="E2011" t="s">
        <v>479</v>
      </c>
    </row>
    <row r="2012" spans="2:5" x14ac:dyDescent="0.3">
      <c r="B2012" t="s">
        <v>3477</v>
      </c>
      <c r="C2012">
        <v>532771</v>
      </c>
      <c r="D2012" t="s">
        <v>3478</v>
      </c>
      <c r="E2012" t="s">
        <v>678</v>
      </c>
    </row>
    <row r="2013" spans="2:5" x14ac:dyDescent="0.3">
      <c r="B2013" t="s">
        <v>3479</v>
      </c>
      <c r="C2013">
        <v>540651</v>
      </c>
      <c r="D2013" t="s">
        <v>496</v>
      </c>
      <c r="E2013" t="s">
        <v>794</v>
      </c>
    </row>
    <row r="2014" spans="2:5" x14ac:dyDescent="0.3">
      <c r="B2014" t="s">
        <v>3480</v>
      </c>
      <c r="C2014">
        <v>780019</v>
      </c>
      <c r="D2014" t="s">
        <v>496</v>
      </c>
      <c r="E2014" t="s">
        <v>587</v>
      </c>
    </row>
    <row r="2015" spans="2:5" x14ac:dyDescent="0.3">
      <c r="B2015" t="s">
        <v>3481</v>
      </c>
      <c r="C2015">
        <v>511618</v>
      </c>
      <c r="D2015" t="s">
        <v>3482</v>
      </c>
      <c r="E2015" t="s">
        <v>518</v>
      </c>
    </row>
    <row r="2016" spans="2:5" x14ac:dyDescent="0.3">
      <c r="B2016" t="s">
        <v>3483</v>
      </c>
      <c r="C2016">
        <v>542653</v>
      </c>
      <c r="D2016" t="s">
        <v>3484</v>
      </c>
      <c r="E2016" t="s">
        <v>1052</v>
      </c>
    </row>
    <row r="2017" spans="2:5" x14ac:dyDescent="0.3">
      <c r="B2017" t="s">
        <v>3485</v>
      </c>
      <c r="C2017">
        <v>530405</v>
      </c>
      <c r="D2017" t="s">
        <v>496</v>
      </c>
      <c r="E2017" t="s">
        <v>479</v>
      </c>
    </row>
    <row r="2018" spans="2:5" x14ac:dyDescent="0.3">
      <c r="B2018" t="s">
        <v>3486</v>
      </c>
      <c r="C2018">
        <v>533103</v>
      </c>
      <c r="D2018" t="s">
        <v>3487</v>
      </c>
      <c r="E2018" t="s">
        <v>511</v>
      </c>
    </row>
    <row r="2019" spans="2:5" x14ac:dyDescent="0.3">
      <c r="B2019" t="s">
        <v>3488</v>
      </c>
      <c r="C2019">
        <v>511034</v>
      </c>
      <c r="D2019" t="s">
        <v>3489</v>
      </c>
      <c r="E2019" t="s">
        <v>559</v>
      </c>
    </row>
    <row r="2020" spans="2:5" x14ac:dyDescent="0.3">
      <c r="B2020" t="s">
        <v>3490</v>
      </c>
      <c r="C2020">
        <v>507981</v>
      </c>
      <c r="D2020" t="s">
        <v>496</v>
      </c>
      <c r="E2020" t="s">
        <v>697</v>
      </c>
    </row>
    <row r="2021" spans="2:5" x14ac:dyDescent="0.3">
      <c r="B2021" t="s">
        <v>3491</v>
      </c>
      <c r="C2021">
        <v>539947</v>
      </c>
      <c r="D2021" t="s">
        <v>496</v>
      </c>
      <c r="E2021" t="s">
        <v>516</v>
      </c>
    </row>
    <row r="2022" spans="2:5" x14ac:dyDescent="0.3">
      <c r="B2022" t="s">
        <v>3492</v>
      </c>
      <c r="C2022">
        <v>532624</v>
      </c>
      <c r="D2022" t="s">
        <v>3493</v>
      </c>
      <c r="E2022" t="s">
        <v>1735</v>
      </c>
    </row>
    <row r="2023" spans="2:5" x14ac:dyDescent="0.3">
      <c r="B2023" t="s">
        <v>3494</v>
      </c>
      <c r="C2023">
        <v>500227</v>
      </c>
      <c r="D2023" t="s">
        <v>3495</v>
      </c>
      <c r="E2023" t="s">
        <v>544</v>
      </c>
    </row>
    <row r="2024" spans="2:5" x14ac:dyDescent="0.3">
      <c r="B2024" t="s">
        <v>3496</v>
      </c>
      <c r="C2024">
        <v>536773</v>
      </c>
      <c r="D2024" t="s">
        <v>3497</v>
      </c>
      <c r="E2024" t="s">
        <v>479</v>
      </c>
    </row>
    <row r="2025" spans="2:5" x14ac:dyDescent="0.3">
      <c r="B2025" t="s">
        <v>3498</v>
      </c>
      <c r="C2025">
        <v>500378</v>
      </c>
      <c r="D2025" t="s">
        <v>3499</v>
      </c>
      <c r="E2025" t="s">
        <v>894</v>
      </c>
    </row>
    <row r="2026" spans="2:5" x14ac:dyDescent="0.3">
      <c r="B2026" t="s">
        <v>3500</v>
      </c>
      <c r="C2026">
        <v>539597</v>
      </c>
      <c r="D2026" t="s">
        <v>3501</v>
      </c>
      <c r="E2026" t="s">
        <v>819</v>
      </c>
    </row>
    <row r="2027" spans="2:5" x14ac:dyDescent="0.3">
      <c r="B2027" t="s">
        <v>3502</v>
      </c>
      <c r="C2027">
        <v>532508</v>
      </c>
      <c r="D2027" t="s">
        <v>3503</v>
      </c>
      <c r="E2027" t="s">
        <v>528</v>
      </c>
    </row>
    <row r="2028" spans="2:5" x14ac:dyDescent="0.3">
      <c r="B2028" t="s">
        <v>3504</v>
      </c>
      <c r="C2028">
        <v>532286</v>
      </c>
      <c r="D2028" t="s">
        <v>3505</v>
      </c>
      <c r="E2028" t="s">
        <v>528</v>
      </c>
    </row>
    <row r="2029" spans="2:5" x14ac:dyDescent="0.3">
      <c r="B2029" t="s">
        <v>3506</v>
      </c>
      <c r="C2029">
        <v>531543</v>
      </c>
      <c r="D2029" t="s">
        <v>3507</v>
      </c>
      <c r="E2029" t="s">
        <v>511</v>
      </c>
    </row>
    <row r="2030" spans="2:5" x14ac:dyDescent="0.3">
      <c r="B2030" t="s">
        <v>3508</v>
      </c>
      <c r="C2030">
        <v>540311</v>
      </c>
      <c r="D2030" t="s">
        <v>3509</v>
      </c>
      <c r="E2030" t="s">
        <v>619</v>
      </c>
    </row>
    <row r="2031" spans="2:5" x14ac:dyDescent="0.3">
      <c r="B2031" t="s">
        <v>3510</v>
      </c>
      <c r="C2031">
        <v>539225</v>
      </c>
      <c r="D2031" t="s">
        <v>496</v>
      </c>
      <c r="E2031" t="s">
        <v>521</v>
      </c>
    </row>
    <row r="2032" spans="2:5" x14ac:dyDescent="0.3">
      <c r="B2032" t="s">
        <v>3511</v>
      </c>
      <c r="C2032">
        <v>536493</v>
      </c>
      <c r="D2032" t="s">
        <v>496</v>
      </c>
      <c r="E2032" t="s">
        <v>694</v>
      </c>
    </row>
    <row r="2033" spans="2:5" x14ac:dyDescent="0.3">
      <c r="B2033" t="s">
        <v>3512</v>
      </c>
      <c r="C2033">
        <v>532644</v>
      </c>
      <c r="D2033" t="s">
        <v>3513</v>
      </c>
      <c r="E2033" t="s">
        <v>509</v>
      </c>
    </row>
    <row r="2034" spans="2:5" x14ac:dyDescent="0.3">
      <c r="B2034" t="s">
        <v>3514</v>
      </c>
      <c r="C2034">
        <v>500380</v>
      </c>
      <c r="D2034" t="s">
        <v>3515</v>
      </c>
      <c r="E2034" t="s">
        <v>509</v>
      </c>
    </row>
    <row r="2035" spans="2:5" x14ac:dyDescent="0.3">
      <c r="B2035" t="s">
        <v>3516</v>
      </c>
      <c r="C2035">
        <v>532162</v>
      </c>
      <c r="D2035" t="s">
        <v>3517</v>
      </c>
      <c r="E2035" t="s">
        <v>490</v>
      </c>
    </row>
    <row r="2036" spans="2:5" x14ac:dyDescent="0.3">
      <c r="B2036" t="s">
        <v>3518</v>
      </c>
      <c r="C2036">
        <v>530007</v>
      </c>
      <c r="D2036" t="s">
        <v>3519</v>
      </c>
      <c r="E2036" t="s">
        <v>976</v>
      </c>
    </row>
    <row r="2037" spans="2:5" x14ac:dyDescent="0.3">
      <c r="B2037" t="s">
        <v>3520</v>
      </c>
      <c r="C2037">
        <v>538765</v>
      </c>
      <c r="D2037" t="s">
        <v>496</v>
      </c>
      <c r="E2037" t="s">
        <v>3256</v>
      </c>
    </row>
    <row r="2038" spans="2:5" x14ac:dyDescent="0.3">
      <c r="B2038" t="s">
        <v>3521</v>
      </c>
      <c r="C2038">
        <v>523405</v>
      </c>
      <c r="D2038" t="s">
        <v>3522</v>
      </c>
      <c r="E2038" t="s">
        <v>662</v>
      </c>
    </row>
    <row r="2039" spans="2:5" x14ac:dyDescent="0.3">
      <c r="B2039" t="s">
        <v>3523</v>
      </c>
      <c r="C2039">
        <v>522263</v>
      </c>
      <c r="D2039" t="s">
        <v>3524</v>
      </c>
      <c r="E2039" t="s">
        <v>894</v>
      </c>
    </row>
    <row r="2040" spans="2:5" x14ac:dyDescent="0.3">
      <c r="B2040" t="s">
        <v>3525</v>
      </c>
      <c r="C2040">
        <v>522263</v>
      </c>
      <c r="D2040" t="s">
        <v>3524</v>
      </c>
      <c r="E2040" t="s">
        <v>894</v>
      </c>
    </row>
    <row r="2041" spans="2:5" x14ac:dyDescent="0.3">
      <c r="B2041" t="s">
        <v>3526</v>
      </c>
      <c r="C2041">
        <v>511092</v>
      </c>
      <c r="D2041" t="s">
        <v>496</v>
      </c>
      <c r="E2041" t="s">
        <v>499</v>
      </c>
    </row>
    <row r="2042" spans="2:5" x14ac:dyDescent="0.3">
      <c r="B2042" t="s">
        <v>3527</v>
      </c>
      <c r="C2042">
        <v>523712</v>
      </c>
      <c r="D2042" t="s">
        <v>496</v>
      </c>
      <c r="E2042" t="s">
        <v>616</v>
      </c>
    </row>
    <row r="2043" spans="2:5" x14ac:dyDescent="0.3">
      <c r="B2043" t="s">
        <v>3528</v>
      </c>
      <c r="C2043">
        <v>513691</v>
      </c>
      <c r="D2043" t="s">
        <v>3529</v>
      </c>
      <c r="E2043" t="s">
        <v>851</v>
      </c>
    </row>
    <row r="2044" spans="2:5" x14ac:dyDescent="0.3">
      <c r="B2044" t="s">
        <v>3530</v>
      </c>
      <c r="C2044" t="s">
        <v>496</v>
      </c>
      <c r="D2044" t="s">
        <v>3531</v>
      </c>
      <c r="E2044" t="s">
        <v>587</v>
      </c>
    </row>
    <row r="2045" spans="2:5" x14ac:dyDescent="0.3">
      <c r="B2045" t="s">
        <v>3532</v>
      </c>
      <c r="C2045">
        <v>523398</v>
      </c>
      <c r="D2045" t="s">
        <v>3533</v>
      </c>
      <c r="E2045" t="s">
        <v>865</v>
      </c>
    </row>
    <row r="2046" spans="2:5" x14ac:dyDescent="0.3">
      <c r="B2046" t="s">
        <v>3534</v>
      </c>
      <c r="C2046">
        <v>523398</v>
      </c>
      <c r="D2046" t="s">
        <v>3533</v>
      </c>
      <c r="E2046" t="s">
        <v>865</v>
      </c>
    </row>
    <row r="2047" spans="2:5" x14ac:dyDescent="0.3">
      <c r="B2047" t="s">
        <v>3535</v>
      </c>
      <c r="C2047">
        <v>531861</v>
      </c>
      <c r="D2047" t="s">
        <v>496</v>
      </c>
      <c r="E2047" t="s">
        <v>479</v>
      </c>
    </row>
    <row r="2048" spans="2:5" x14ac:dyDescent="0.3">
      <c r="B2048" t="s">
        <v>3536</v>
      </c>
      <c r="C2048">
        <v>534659</v>
      </c>
      <c r="D2048" t="s">
        <v>496</v>
      </c>
      <c r="E2048" t="s">
        <v>482</v>
      </c>
    </row>
    <row r="2049" spans="2:5" x14ac:dyDescent="0.3">
      <c r="B2049" t="s">
        <v>3537</v>
      </c>
      <c r="C2049">
        <v>542446</v>
      </c>
      <c r="D2049" t="s">
        <v>3538</v>
      </c>
      <c r="E2049" t="s">
        <v>580</v>
      </c>
    </row>
    <row r="2050" spans="2:5" x14ac:dyDescent="0.3">
      <c r="B2050" t="s">
        <v>3539</v>
      </c>
      <c r="C2050">
        <v>538092</v>
      </c>
      <c r="D2050" t="s">
        <v>496</v>
      </c>
      <c r="E2050" t="s">
        <v>903</v>
      </c>
    </row>
    <row r="2051" spans="2:5" x14ac:dyDescent="0.3">
      <c r="B2051" t="s">
        <v>3540</v>
      </c>
      <c r="C2051">
        <v>505750</v>
      </c>
      <c r="D2051" t="s">
        <v>496</v>
      </c>
      <c r="E2051" t="s">
        <v>504</v>
      </c>
    </row>
    <row r="2052" spans="2:5" x14ac:dyDescent="0.3">
      <c r="B2052" t="s">
        <v>3541</v>
      </c>
      <c r="C2052">
        <v>508929</v>
      </c>
      <c r="D2052" t="s">
        <v>496</v>
      </c>
      <c r="E2052" t="s">
        <v>582</v>
      </c>
    </row>
    <row r="2053" spans="2:5" x14ac:dyDescent="0.3">
      <c r="B2053" t="s">
        <v>3542</v>
      </c>
      <c r="C2053">
        <v>530985</v>
      </c>
      <c r="D2053" t="s">
        <v>496</v>
      </c>
      <c r="E2053" t="s">
        <v>513</v>
      </c>
    </row>
    <row r="2054" spans="2:5" x14ac:dyDescent="0.3">
      <c r="B2054" t="s">
        <v>3543</v>
      </c>
      <c r="C2054">
        <v>506016</v>
      </c>
      <c r="D2054" t="s">
        <v>496</v>
      </c>
      <c r="E2054" t="s">
        <v>894</v>
      </c>
    </row>
    <row r="2055" spans="2:5" x14ac:dyDescent="0.3">
      <c r="B2055" t="s">
        <v>3544</v>
      </c>
      <c r="C2055">
        <v>504080</v>
      </c>
      <c r="D2055" t="s">
        <v>496</v>
      </c>
      <c r="E2055" t="s">
        <v>794</v>
      </c>
    </row>
    <row r="2056" spans="2:5" x14ac:dyDescent="0.3">
      <c r="B2056" t="s">
        <v>3545</v>
      </c>
      <c r="C2056">
        <v>533148</v>
      </c>
      <c r="D2056" t="s">
        <v>3546</v>
      </c>
      <c r="E2056" t="s">
        <v>635</v>
      </c>
    </row>
    <row r="2057" spans="2:5" x14ac:dyDescent="0.3">
      <c r="B2057" t="s">
        <v>3547</v>
      </c>
      <c r="C2057">
        <v>532642</v>
      </c>
      <c r="D2057" t="s">
        <v>3548</v>
      </c>
      <c r="E2057" t="s">
        <v>662</v>
      </c>
    </row>
    <row r="2058" spans="2:5" x14ac:dyDescent="0.3">
      <c r="B2058" t="s">
        <v>3549</v>
      </c>
      <c r="C2058">
        <v>500228</v>
      </c>
      <c r="D2058" t="s">
        <v>3550</v>
      </c>
      <c r="E2058" t="s">
        <v>528</v>
      </c>
    </row>
    <row r="2059" spans="2:5" x14ac:dyDescent="0.3">
      <c r="B2059" t="s">
        <v>3551</v>
      </c>
      <c r="C2059">
        <v>520057</v>
      </c>
      <c r="D2059" t="s">
        <v>3552</v>
      </c>
      <c r="E2059" t="s">
        <v>851</v>
      </c>
    </row>
    <row r="2060" spans="2:5" x14ac:dyDescent="0.3">
      <c r="B2060" t="s">
        <v>3553</v>
      </c>
      <c r="C2060">
        <v>520057</v>
      </c>
      <c r="D2060" t="s">
        <v>3554</v>
      </c>
      <c r="E2060" t="s">
        <v>851</v>
      </c>
    </row>
    <row r="2061" spans="2:5" x14ac:dyDescent="0.3">
      <c r="B2061" t="s">
        <v>3555</v>
      </c>
      <c r="C2061">
        <v>534600</v>
      </c>
      <c r="D2061" t="s">
        <v>496</v>
      </c>
      <c r="E2061" t="s">
        <v>819</v>
      </c>
    </row>
    <row r="2062" spans="2:5" x14ac:dyDescent="0.3">
      <c r="B2062" t="s">
        <v>3556</v>
      </c>
      <c r="C2062">
        <v>533155</v>
      </c>
      <c r="D2062" t="s">
        <v>3557</v>
      </c>
      <c r="E2062" t="s">
        <v>985</v>
      </c>
    </row>
    <row r="2063" spans="2:5" x14ac:dyDescent="0.3">
      <c r="B2063" t="s">
        <v>3558</v>
      </c>
      <c r="C2063">
        <v>533320</v>
      </c>
      <c r="D2063" t="s">
        <v>3559</v>
      </c>
      <c r="E2063" t="s">
        <v>640</v>
      </c>
    </row>
    <row r="2064" spans="2:5" x14ac:dyDescent="0.3">
      <c r="B2064" t="s">
        <v>3560</v>
      </c>
      <c r="C2064">
        <v>530019</v>
      </c>
      <c r="D2064" t="s">
        <v>3561</v>
      </c>
      <c r="E2064" t="s">
        <v>534</v>
      </c>
    </row>
    <row r="2065" spans="2:5" x14ac:dyDescent="0.3">
      <c r="B2065" t="s">
        <v>3562</v>
      </c>
      <c r="C2065" t="s">
        <v>496</v>
      </c>
      <c r="D2065" t="s">
        <v>3563</v>
      </c>
      <c r="E2065" t="s">
        <v>587</v>
      </c>
    </row>
    <row r="2066" spans="2:5" x14ac:dyDescent="0.3">
      <c r="B2066" t="s">
        <v>3564</v>
      </c>
      <c r="C2066">
        <v>516078</v>
      </c>
      <c r="D2066" t="s">
        <v>496</v>
      </c>
      <c r="E2066" t="s">
        <v>691</v>
      </c>
    </row>
    <row r="2067" spans="2:5" x14ac:dyDescent="0.3">
      <c r="B2067" t="s">
        <v>3565</v>
      </c>
      <c r="C2067">
        <v>511060</v>
      </c>
      <c r="D2067" t="s">
        <v>496</v>
      </c>
      <c r="E2067" t="s">
        <v>917</v>
      </c>
    </row>
    <row r="2068" spans="2:5" x14ac:dyDescent="0.3">
      <c r="B2068" t="s">
        <v>3566</v>
      </c>
      <c r="C2068">
        <v>539216</v>
      </c>
      <c r="D2068" t="s">
        <v>496</v>
      </c>
      <c r="E2068" t="s">
        <v>511</v>
      </c>
    </row>
    <row r="2069" spans="2:5" x14ac:dyDescent="0.3">
      <c r="B2069" t="s">
        <v>3567</v>
      </c>
      <c r="C2069">
        <v>507987</v>
      </c>
      <c r="D2069" t="s">
        <v>496</v>
      </c>
      <c r="E2069" t="s">
        <v>513</v>
      </c>
    </row>
    <row r="2070" spans="2:5" x14ac:dyDescent="0.3">
      <c r="B2070" t="s">
        <v>3568</v>
      </c>
      <c r="C2070">
        <v>534623</v>
      </c>
      <c r="D2070" t="s">
        <v>496</v>
      </c>
      <c r="E2070" t="s">
        <v>3256</v>
      </c>
    </row>
    <row r="2071" spans="2:5" x14ac:dyDescent="0.3">
      <c r="B2071" t="s">
        <v>3569</v>
      </c>
      <c r="C2071">
        <v>535648</v>
      </c>
      <c r="D2071" t="s">
        <v>3570</v>
      </c>
      <c r="E2071" t="s">
        <v>1020</v>
      </c>
    </row>
    <row r="2072" spans="2:5" x14ac:dyDescent="0.3">
      <c r="B2072" t="s">
        <v>3571</v>
      </c>
      <c r="C2072">
        <v>531035</v>
      </c>
      <c r="D2072" t="s">
        <v>496</v>
      </c>
      <c r="E2072" t="s">
        <v>1154</v>
      </c>
    </row>
    <row r="2073" spans="2:5" x14ac:dyDescent="0.3">
      <c r="B2073" t="s">
        <v>3572</v>
      </c>
      <c r="C2073">
        <v>519248</v>
      </c>
      <c r="D2073" t="s">
        <v>3573</v>
      </c>
      <c r="E2073" t="s">
        <v>745</v>
      </c>
    </row>
    <row r="2074" spans="2:5" x14ac:dyDescent="0.3">
      <c r="B2074" t="s">
        <v>3574</v>
      </c>
      <c r="C2074">
        <v>542544</v>
      </c>
      <c r="D2074" t="s">
        <v>3575</v>
      </c>
      <c r="E2074" t="s">
        <v>479</v>
      </c>
    </row>
    <row r="2075" spans="2:5" x14ac:dyDescent="0.3">
      <c r="B2075" t="s">
        <v>3576</v>
      </c>
      <c r="C2075">
        <v>532926</v>
      </c>
      <c r="D2075" t="s">
        <v>3577</v>
      </c>
      <c r="E2075" t="s">
        <v>2315</v>
      </c>
    </row>
    <row r="2076" spans="2:5" x14ac:dyDescent="0.3">
      <c r="B2076" t="s">
        <v>3578</v>
      </c>
      <c r="C2076">
        <v>504076</v>
      </c>
      <c r="D2076" t="s">
        <v>496</v>
      </c>
      <c r="E2076" t="s">
        <v>539</v>
      </c>
    </row>
    <row r="2077" spans="2:5" x14ac:dyDescent="0.3">
      <c r="B2077" t="s">
        <v>3579</v>
      </c>
      <c r="C2077">
        <v>514448</v>
      </c>
      <c r="D2077" t="s">
        <v>496</v>
      </c>
      <c r="E2077" t="s">
        <v>656</v>
      </c>
    </row>
    <row r="2078" spans="2:5" x14ac:dyDescent="0.3">
      <c r="B2078" t="s">
        <v>3580</v>
      </c>
      <c r="C2078">
        <v>513250</v>
      </c>
      <c r="D2078" t="s">
        <v>3581</v>
      </c>
      <c r="E2078" t="s">
        <v>539</v>
      </c>
    </row>
    <row r="2079" spans="2:5" x14ac:dyDescent="0.3">
      <c r="B2079" t="s">
        <v>3582</v>
      </c>
      <c r="C2079">
        <v>539246</v>
      </c>
      <c r="D2079" t="s">
        <v>496</v>
      </c>
      <c r="E2079" t="s">
        <v>518</v>
      </c>
    </row>
    <row r="2080" spans="2:5" x14ac:dyDescent="0.3">
      <c r="B2080" t="s">
        <v>3583</v>
      </c>
      <c r="C2080">
        <v>532673</v>
      </c>
      <c r="D2080" t="s">
        <v>3584</v>
      </c>
      <c r="E2080" t="s">
        <v>1195</v>
      </c>
    </row>
    <row r="2081" spans="2:5" x14ac:dyDescent="0.3">
      <c r="B2081" t="s">
        <v>3585</v>
      </c>
      <c r="C2081">
        <v>539686</v>
      </c>
      <c r="D2081" t="s">
        <v>496</v>
      </c>
      <c r="E2081" t="s">
        <v>635</v>
      </c>
    </row>
    <row r="2082" spans="2:5" x14ac:dyDescent="0.3">
      <c r="B2082" t="s">
        <v>3586</v>
      </c>
      <c r="C2082">
        <v>532889</v>
      </c>
      <c r="D2082" t="s">
        <v>3587</v>
      </c>
      <c r="E2082" t="s">
        <v>511</v>
      </c>
    </row>
    <row r="2083" spans="2:5" x14ac:dyDescent="0.3">
      <c r="B2083" t="s">
        <v>3588</v>
      </c>
      <c r="C2083">
        <v>511728</v>
      </c>
      <c r="D2083" t="s">
        <v>496</v>
      </c>
      <c r="E2083" t="s">
        <v>513</v>
      </c>
    </row>
    <row r="2084" spans="2:5" x14ac:dyDescent="0.3">
      <c r="B2084" t="s">
        <v>3589</v>
      </c>
      <c r="C2084">
        <v>514360</v>
      </c>
      <c r="D2084" t="s">
        <v>496</v>
      </c>
      <c r="E2084" t="s">
        <v>894</v>
      </c>
    </row>
    <row r="2085" spans="2:5" x14ac:dyDescent="0.3">
      <c r="B2085" t="s">
        <v>3590</v>
      </c>
      <c r="C2085">
        <v>542323</v>
      </c>
      <c r="D2085" t="s">
        <v>3591</v>
      </c>
      <c r="E2085" t="s">
        <v>635</v>
      </c>
    </row>
    <row r="2086" spans="2:5" x14ac:dyDescent="0.3">
      <c r="B2086" t="s">
        <v>3592</v>
      </c>
      <c r="C2086">
        <v>540756</v>
      </c>
      <c r="D2086" t="s">
        <v>496</v>
      </c>
      <c r="E2086" t="s">
        <v>3276</v>
      </c>
    </row>
    <row r="2087" spans="2:5" x14ac:dyDescent="0.3">
      <c r="B2087" t="s">
        <v>3593</v>
      </c>
      <c r="C2087">
        <v>539393</v>
      </c>
      <c r="D2087" t="s">
        <v>496</v>
      </c>
      <c r="E2087" t="s">
        <v>1174</v>
      </c>
    </row>
    <row r="2088" spans="2:5" x14ac:dyDescent="0.3">
      <c r="B2088" t="s">
        <v>3594</v>
      </c>
      <c r="C2088">
        <v>524322</v>
      </c>
      <c r="D2088" t="s">
        <v>496</v>
      </c>
      <c r="E2088" t="s">
        <v>534</v>
      </c>
    </row>
    <row r="2089" spans="2:5" x14ac:dyDescent="0.3">
      <c r="B2089" t="s">
        <v>3595</v>
      </c>
      <c r="C2089">
        <v>524109</v>
      </c>
      <c r="D2089" t="s">
        <v>3596</v>
      </c>
      <c r="E2089" t="s">
        <v>504</v>
      </c>
    </row>
    <row r="2090" spans="2:5" x14ac:dyDescent="0.3">
      <c r="B2090" t="s">
        <v>3597</v>
      </c>
      <c r="C2090">
        <v>524675</v>
      </c>
      <c r="D2090" t="s">
        <v>496</v>
      </c>
      <c r="E2090" t="s">
        <v>518</v>
      </c>
    </row>
    <row r="2091" spans="2:5" x14ac:dyDescent="0.3">
      <c r="B2091" t="s">
        <v>3598</v>
      </c>
      <c r="C2091">
        <v>531778</v>
      </c>
      <c r="D2091" t="s">
        <v>496</v>
      </c>
      <c r="E2091" t="s">
        <v>476</v>
      </c>
    </row>
    <row r="2092" spans="2:5" x14ac:dyDescent="0.3">
      <c r="B2092" t="s">
        <v>3599</v>
      </c>
      <c r="C2092">
        <v>504840</v>
      </c>
      <c r="D2092" t="s">
        <v>496</v>
      </c>
      <c r="E2092" t="s">
        <v>691</v>
      </c>
    </row>
    <row r="2093" spans="2:5" x14ac:dyDescent="0.3">
      <c r="B2093" t="s">
        <v>3600</v>
      </c>
      <c r="C2093">
        <v>531780</v>
      </c>
      <c r="D2093" t="s">
        <v>496</v>
      </c>
      <c r="E2093" t="s">
        <v>518</v>
      </c>
    </row>
    <row r="2094" spans="2:5" x14ac:dyDescent="0.3">
      <c r="B2094" t="s">
        <v>3601</v>
      </c>
      <c r="C2094">
        <v>500233</v>
      </c>
      <c r="D2094" t="s">
        <v>3602</v>
      </c>
      <c r="E2094" t="s">
        <v>773</v>
      </c>
    </row>
    <row r="2095" spans="2:5" x14ac:dyDescent="0.3">
      <c r="B2095" t="s">
        <v>3603</v>
      </c>
      <c r="C2095">
        <v>500234</v>
      </c>
      <c r="D2095" t="s">
        <v>3604</v>
      </c>
      <c r="E2095" t="s">
        <v>509</v>
      </c>
    </row>
    <row r="2096" spans="2:5" x14ac:dyDescent="0.3">
      <c r="B2096" t="s">
        <v>3605</v>
      </c>
      <c r="C2096">
        <v>521054</v>
      </c>
      <c r="D2096" t="s">
        <v>496</v>
      </c>
      <c r="E2096" t="s">
        <v>511</v>
      </c>
    </row>
    <row r="2097" spans="2:5" x14ac:dyDescent="0.3">
      <c r="B2097" t="s">
        <v>3606</v>
      </c>
      <c r="C2097">
        <v>530201</v>
      </c>
      <c r="D2097" t="s">
        <v>496</v>
      </c>
      <c r="E2097" t="s">
        <v>511</v>
      </c>
    </row>
    <row r="2098" spans="2:5" x14ac:dyDescent="0.3">
      <c r="B2098" t="s">
        <v>3607</v>
      </c>
      <c r="C2098">
        <v>539014</v>
      </c>
      <c r="D2098" t="s">
        <v>496</v>
      </c>
      <c r="E2098" t="s">
        <v>518</v>
      </c>
    </row>
    <row r="2099" spans="2:5" x14ac:dyDescent="0.3">
      <c r="B2099" t="s">
        <v>3608</v>
      </c>
      <c r="C2099">
        <v>522287</v>
      </c>
      <c r="D2099" t="s">
        <v>3609</v>
      </c>
      <c r="E2099" t="s">
        <v>539</v>
      </c>
    </row>
    <row r="2100" spans="2:5" x14ac:dyDescent="0.3">
      <c r="B2100" t="s">
        <v>3610</v>
      </c>
      <c r="C2100" t="s">
        <v>496</v>
      </c>
      <c r="D2100" t="s">
        <v>3611</v>
      </c>
      <c r="E2100" t="s">
        <v>587</v>
      </c>
    </row>
    <row r="2101" spans="2:5" x14ac:dyDescent="0.3">
      <c r="B2101" t="s">
        <v>3612</v>
      </c>
      <c r="C2101">
        <v>513509</v>
      </c>
      <c r="D2101" t="s">
        <v>3613</v>
      </c>
      <c r="E2101" t="s">
        <v>851</v>
      </c>
    </row>
    <row r="2102" spans="2:5" x14ac:dyDescent="0.3">
      <c r="B2102" t="s">
        <v>3614</v>
      </c>
      <c r="C2102">
        <v>533302</v>
      </c>
      <c r="D2102" t="s">
        <v>3615</v>
      </c>
      <c r="E2102" t="s">
        <v>516</v>
      </c>
    </row>
    <row r="2103" spans="2:5" x14ac:dyDescent="0.3">
      <c r="B2103" t="s">
        <v>3616</v>
      </c>
      <c r="C2103">
        <v>500235</v>
      </c>
      <c r="D2103" t="s">
        <v>3617</v>
      </c>
      <c r="E2103" t="s">
        <v>528</v>
      </c>
    </row>
    <row r="2104" spans="2:5" x14ac:dyDescent="0.3">
      <c r="B2104" t="s">
        <v>3618</v>
      </c>
      <c r="C2104">
        <v>532468</v>
      </c>
      <c r="D2104" t="s">
        <v>496</v>
      </c>
      <c r="E2104" t="s">
        <v>662</v>
      </c>
    </row>
    <row r="2105" spans="2:5" x14ac:dyDescent="0.3">
      <c r="B2105" t="s">
        <v>3619</v>
      </c>
      <c r="C2105">
        <v>514322</v>
      </c>
      <c r="D2105" t="s">
        <v>496</v>
      </c>
      <c r="E2105" t="s">
        <v>511</v>
      </c>
    </row>
    <row r="2106" spans="2:5" x14ac:dyDescent="0.3">
      <c r="B2106" t="s">
        <v>3620</v>
      </c>
      <c r="C2106">
        <v>511131</v>
      </c>
      <c r="D2106" t="s">
        <v>496</v>
      </c>
      <c r="E2106" t="s">
        <v>582</v>
      </c>
    </row>
    <row r="2107" spans="2:5" x14ac:dyDescent="0.3">
      <c r="B2107" t="s">
        <v>3621</v>
      </c>
      <c r="C2107">
        <v>526668</v>
      </c>
      <c r="D2107" t="s">
        <v>3622</v>
      </c>
      <c r="E2107" t="s">
        <v>697</v>
      </c>
    </row>
    <row r="2108" spans="2:5" x14ac:dyDescent="0.3">
      <c r="B2108" t="s">
        <v>3623</v>
      </c>
      <c r="C2108">
        <v>532741</v>
      </c>
      <c r="D2108" t="s">
        <v>3624</v>
      </c>
      <c r="E2108" t="s">
        <v>528</v>
      </c>
    </row>
    <row r="2109" spans="2:5" x14ac:dyDescent="0.3">
      <c r="B2109" t="s">
        <v>3625</v>
      </c>
      <c r="C2109">
        <v>524604</v>
      </c>
      <c r="D2109" t="s">
        <v>496</v>
      </c>
      <c r="E2109" t="s">
        <v>534</v>
      </c>
    </row>
    <row r="2110" spans="2:5" x14ac:dyDescent="0.3">
      <c r="B2110" t="s">
        <v>3626</v>
      </c>
      <c r="C2110">
        <v>780003</v>
      </c>
      <c r="D2110" t="s">
        <v>496</v>
      </c>
      <c r="E2110" t="s">
        <v>587</v>
      </c>
    </row>
    <row r="2111" spans="2:5" x14ac:dyDescent="0.3">
      <c r="B2111" t="s">
        <v>3627</v>
      </c>
      <c r="C2111">
        <v>506184</v>
      </c>
      <c r="D2111" t="s">
        <v>3628</v>
      </c>
      <c r="E2111" t="s">
        <v>610</v>
      </c>
    </row>
    <row r="2112" spans="2:5" x14ac:dyDescent="0.3">
      <c r="B2112" t="s">
        <v>3629</v>
      </c>
      <c r="C2112">
        <v>538896</v>
      </c>
      <c r="D2112" t="s">
        <v>496</v>
      </c>
      <c r="E2112" t="s">
        <v>544</v>
      </c>
    </row>
    <row r="2113" spans="2:5" x14ac:dyDescent="0.3">
      <c r="B2113" t="s">
        <v>3630</v>
      </c>
      <c r="C2113">
        <v>541005</v>
      </c>
      <c r="D2113" t="s">
        <v>496</v>
      </c>
      <c r="E2113" t="s">
        <v>903</v>
      </c>
    </row>
    <row r="2114" spans="2:5" x14ac:dyDescent="0.3">
      <c r="B2114" t="s">
        <v>3631</v>
      </c>
      <c r="C2114">
        <v>521242</v>
      </c>
      <c r="D2114" t="s">
        <v>496</v>
      </c>
      <c r="E2114" t="s">
        <v>511</v>
      </c>
    </row>
    <row r="2115" spans="2:5" x14ac:dyDescent="0.3">
      <c r="B2115" t="s">
        <v>3632</v>
      </c>
      <c r="C2115">
        <v>500236</v>
      </c>
      <c r="D2115" t="s">
        <v>3633</v>
      </c>
      <c r="E2115" t="s">
        <v>862</v>
      </c>
    </row>
    <row r="2116" spans="2:5" x14ac:dyDescent="0.3">
      <c r="B2116" t="s">
        <v>3634</v>
      </c>
      <c r="C2116">
        <v>513456</v>
      </c>
      <c r="D2116" t="s">
        <v>496</v>
      </c>
      <c r="E2116" t="s">
        <v>819</v>
      </c>
    </row>
    <row r="2117" spans="2:5" x14ac:dyDescent="0.3">
      <c r="B2117" t="s">
        <v>3635</v>
      </c>
      <c r="C2117">
        <v>506525</v>
      </c>
      <c r="D2117" t="s">
        <v>3636</v>
      </c>
      <c r="E2117" t="s">
        <v>544</v>
      </c>
    </row>
    <row r="2118" spans="2:5" x14ac:dyDescent="0.3">
      <c r="B2118" t="s">
        <v>3637</v>
      </c>
      <c r="C2118">
        <v>507779</v>
      </c>
      <c r="D2118" t="s">
        <v>496</v>
      </c>
      <c r="E2118" t="s">
        <v>691</v>
      </c>
    </row>
    <row r="2119" spans="2:5" x14ac:dyDescent="0.3">
      <c r="B2119" t="s">
        <v>3638</v>
      </c>
      <c r="C2119">
        <v>500165</v>
      </c>
      <c r="D2119" t="s">
        <v>3639</v>
      </c>
      <c r="E2119" t="s">
        <v>773</v>
      </c>
    </row>
    <row r="2120" spans="2:5" x14ac:dyDescent="0.3">
      <c r="B2120" t="s">
        <v>3640</v>
      </c>
      <c r="C2120">
        <v>540515</v>
      </c>
      <c r="D2120" t="s">
        <v>496</v>
      </c>
      <c r="E2120" t="s">
        <v>479</v>
      </c>
    </row>
    <row r="2121" spans="2:5" x14ac:dyDescent="0.3">
      <c r="B2121" t="s">
        <v>3641</v>
      </c>
      <c r="C2121">
        <v>512399</v>
      </c>
      <c r="D2121" t="s">
        <v>496</v>
      </c>
      <c r="E2121" t="s">
        <v>479</v>
      </c>
    </row>
    <row r="2122" spans="2:5" x14ac:dyDescent="0.3">
      <c r="B2122" t="s">
        <v>3642</v>
      </c>
      <c r="C2122">
        <v>512036</v>
      </c>
      <c r="D2122" t="s">
        <v>496</v>
      </c>
      <c r="E2122" t="s">
        <v>511</v>
      </c>
    </row>
    <row r="2123" spans="2:5" x14ac:dyDescent="0.3">
      <c r="B2123" t="s">
        <v>3643</v>
      </c>
      <c r="C2123">
        <v>539679</v>
      </c>
      <c r="D2123" t="s">
        <v>496</v>
      </c>
      <c r="E2123" t="s">
        <v>513</v>
      </c>
    </row>
    <row r="2124" spans="2:5" x14ac:dyDescent="0.3">
      <c r="B2124" t="s">
        <v>3644</v>
      </c>
      <c r="C2124" t="s">
        <v>496</v>
      </c>
      <c r="D2124" t="s">
        <v>3645</v>
      </c>
      <c r="E2124" t="s">
        <v>507</v>
      </c>
    </row>
    <row r="2125" spans="2:5" x14ac:dyDescent="0.3">
      <c r="B2125" t="s">
        <v>3646</v>
      </c>
      <c r="C2125">
        <v>526115</v>
      </c>
      <c r="D2125" t="s">
        <v>496</v>
      </c>
      <c r="E2125" t="s">
        <v>610</v>
      </c>
    </row>
    <row r="2126" spans="2:5" x14ac:dyDescent="0.3">
      <c r="B2126" t="s">
        <v>3647</v>
      </c>
      <c r="C2126">
        <v>541161</v>
      </c>
      <c r="D2126" t="s">
        <v>3648</v>
      </c>
      <c r="E2126" t="s">
        <v>582</v>
      </c>
    </row>
    <row r="2127" spans="2:5" x14ac:dyDescent="0.3">
      <c r="B2127" t="s">
        <v>3649</v>
      </c>
      <c r="C2127">
        <v>533451</v>
      </c>
      <c r="D2127" t="s">
        <v>3650</v>
      </c>
      <c r="E2127" t="s">
        <v>635</v>
      </c>
    </row>
    <row r="2128" spans="2:5" x14ac:dyDescent="0.3">
      <c r="B2128" t="s">
        <v>3651</v>
      </c>
      <c r="C2128">
        <v>538928</v>
      </c>
      <c r="D2128" t="s">
        <v>496</v>
      </c>
      <c r="E2128" t="s">
        <v>513</v>
      </c>
    </row>
    <row r="2129" spans="2:5" x14ac:dyDescent="0.3">
      <c r="B2129" t="s">
        <v>3652</v>
      </c>
      <c r="C2129">
        <v>537784</v>
      </c>
      <c r="D2129" t="s">
        <v>496</v>
      </c>
      <c r="E2129" t="s">
        <v>917</v>
      </c>
    </row>
    <row r="2130" spans="2:5" x14ac:dyDescent="0.3">
      <c r="B2130" t="s">
        <v>3653</v>
      </c>
      <c r="C2130">
        <v>590003</v>
      </c>
      <c r="D2130" t="s">
        <v>3654</v>
      </c>
      <c r="E2130" t="s">
        <v>814</v>
      </c>
    </row>
    <row r="2131" spans="2:5" x14ac:dyDescent="0.3">
      <c r="B2131" t="s">
        <v>3655</v>
      </c>
      <c r="C2131">
        <v>531687</v>
      </c>
      <c r="D2131" t="s">
        <v>3656</v>
      </c>
      <c r="E2131" t="s">
        <v>694</v>
      </c>
    </row>
    <row r="2132" spans="2:5" x14ac:dyDescent="0.3">
      <c r="B2132" t="s">
        <v>3657</v>
      </c>
      <c r="C2132">
        <v>539533</v>
      </c>
      <c r="D2132" t="s">
        <v>496</v>
      </c>
      <c r="E2132" t="s">
        <v>479</v>
      </c>
    </row>
    <row r="2133" spans="2:5" x14ac:dyDescent="0.3">
      <c r="B2133" t="s">
        <v>3658</v>
      </c>
      <c r="C2133">
        <v>502933</v>
      </c>
      <c r="D2133" t="s">
        <v>496</v>
      </c>
      <c r="E2133" t="s">
        <v>511</v>
      </c>
    </row>
    <row r="2134" spans="2:5" x14ac:dyDescent="0.3">
      <c r="B2134" t="s">
        <v>3659</v>
      </c>
      <c r="C2134">
        <v>532925</v>
      </c>
      <c r="D2134" t="s">
        <v>3660</v>
      </c>
      <c r="E2134" t="s">
        <v>894</v>
      </c>
    </row>
    <row r="2135" spans="2:5" x14ac:dyDescent="0.3">
      <c r="B2135" t="s">
        <v>3661</v>
      </c>
      <c r="C2135">
        <v>532899</v>
      </c>
      <c r="D2135" t="s">
        <v>3662</v>
      </c>
      <c r="E2135" t="s">
        <v>694</v>
      </c>
    </row>
    <row r="2136" spans="2:5" x14ac:dyDescent="0.3">
      <c r="B2136" t="s">
        <v>3663</v>
      </c>
      <c r="C2136">
        <v>524444</v>
      </c>
      <c r="D2136" t="s">
        <v>496</v>
      </c>
      <c r="E2136" t="s">
        <v>745</v>
      </c>
    </row>
    <row r="2137" spans="2:5" x14ac:dyDescent="0.3">
      <c r="B2137" t="s">
        <v>3664</v>
      </c>
      <c r="C2137">
        <v>535136</v>
      </c>
      <c r="D2137" t="s">
        <v>496</v>
      </c>
      <c r="E2137" t="s">
        <v>511</v>
      </c>
    </row>
    <row r="2138" spans="2:5" x14ac:dyDescent="0.3">
      <c r="B2138" t="s">
        <v>3665</v>
      </c>
      <c r="C2138">
        <v>590041</v>
      </c>
      <c r="D2138" t="s">
        <v>3666</v>
      </c>
      <c r="E2138" t="s">
        <v>642</v>
      </c>
    </row>
    <row r="2139" spans="2:5" x14ac:dyDescent="0.3">
      <c r="B2139" t="s">
        <v>3667</v>
      </c>
      <c r="C2139">
        <v>530255</v>
      </c>
      <c r="D2139" t="s">
        <v>496</v>
      </c>
      <c r="E2139" t="s">
        <v>490</v>
      </c>
    </row>
    <row r="2140" spans="2:5" x14ac:dyDescent="0.3">
      <c r="B2140" t="s">
        <v>3668</v>
      </c>
      <c r="C2140">
        <v>539276</v>
      </c>
      <c r="D2140" t="s">
        <v>3669</v>
      </c>
      <c r="E2140" t="s">
        <v>3276</v>
      </c>
    </row>
    <row r="2141" spans="2:5" x14ac:dyDescent="0.3">
      <c r="B2141" t="s">
        <v>3670</v>
      </c>
      <c r="C2141">
        <v>504084</v>
      </c>
      <c r="D2141" t="s">
        <v>496</v>
      </c>
      <c r="E2141" t="s">
        <v>794</v>
      </c>
    </row>
    <row r="2142" spans="2:5" x14ac:dyDescent="0.3">
      <c r="B2142" t="s">
        <v>3671</v>
      </c>
      <c r="C2142">
        <v>539562</v>
      </c>
      <c r="D2142" t="s">
        <v>496</v>
      </c>
      <c r="E2142" t="s">
        <v>479</v>
      </c>
    </row>
    <row r="2143" spans="2:5" x14ac:dyDescent="0.3">
      <c r="B2143" t="s">
        <v>3672</v>
      </c>
      <c r="C2143">
        <v>530357</v>
      </c>
      <c r="D2143" t="s">
        <v>496</v>
      </c>
      <c r="E2143" t="s">
        <v>479</v>
      </c>
    </row>
    <row r="2144" spans="2:5" x14ac:dyDescent="0.3">
      <c r="B2144" t="s">
        <v>3673</v>
      </c>
      <c r="C2144">
        <v>530357</v>
      </c>
      <c r="D2144" t="s">
        <v>496</v>
      </c>
      <c r="E2144" t="s">
        <v>479</v>
      </c>
    </row>
    <row r="2145" spans="2:5" x14ac:dyDescent="0.3">
      <c r="B2145" t="s">
        <v>3674</v>
      </c>
      <c r="C2145">
        <v>526067</v>
      </c>
      <c r="D2145" t="s">
        <v>496</v>
      </c>
      <c r="E2145" t="s">
        <v>691</v>
      </c>
    </row>
    <row r="2146" spans="2:5" x14ac:dyDescent="0.3">
      <c r="B2146" t="s">
        <v>3675</v>
      </c>
      <c r="C2146">
        <v>531784</v>
      </c>
      <c r="D2146" t="s">
        <v>496</v>
      </c>
      <c r="E2146" t="s">
        <v>894</v>
      </c>
    </row>
    <row r="2147" spans="2:5" x14ac:dyDescent="0.3">
      <c r="B2147" t="s">
        <v>3676</v>
      </c>
      <c r="C2147">
        <v>590066</v>
      </c>
      <c r="D2147" t="s">
        <v>3677</v>
      </c>
      <c r="E2147" t="s">
        <v>509</v>
      </c>
    </row>
    <row r="2148" spans="2:5" x14ac:dyDescent="0.3">
      <c r="B2148" t="s">
        <v>3678</v>
      </c>
      <c r="C2148">
        <v>533192</v>
      </c>
      <c r="D2148" t="s">
        <v>3679</v>
      </c>
      <c r="E2148" t="s">
        <v>1195</v>
      </c>
    </row>
    <row r="2149" spans="2:5" x14ac:dyDescent="0.3">
      <c r="B2149" t="s">
        <v>3680</v>
      </c>
      <c r="C2149">
        <v>540385</v>
      </c>
      <c r="D2149" t="s">
        <v>496</v>
      </c>
      <c r="E2149" t="s">
        <v>479</v>
      </c>
    </row>
    <row r="2150" spans="2:5" x14ac:dyDescent="0.3">
      <c r="B2150" t="s">
        <v>3681</v>
      </c>
      <c r="C2150">
        <v>532054</v>
      </c>
      <c r="D2150" t="s">
        <v>3682</v>
      </c>
      <c r="E2150" t="s">
        <v>610</v>
      </c>
    </row>
    <row r="2151" spans="2:5" x14ac:dyDescent="0.3">
      <c r="B2151" t="s">
        <v>3683</v>
      </c>
      <c r="C2151">
        <v>532714</v>
      </c>
      <c r="D2151" t="s">
        <v>3684</v>
      </c>
      <c r="E2151" t="s">
        <v>539</v>
      </c>
    </row>
    <row r="2152" spans="2:5" x14ac:dyDescent="0.3">
      <c r="B2152" t="s">
        <v>3685</v>
      </c>
      <c r="C2152">
        <v>508993</v>
      </c>
      <c r="D2152" t="s">
        <v>496</v>
      </c>
      <c r="E2152" t="s">
        <v>582</v>
      </c>
    </row>
    <row r="2153" spans="2:5" x14ac:dyDescent="0.3">
      <c r="B2153" t="s">
        <v>3686</v>
      </c>
      <c r="C2153">
        <v>518011</v>
      </c>
      <c r="D2153" t="s">
        <v>496</v>
      </c>
      <c r="E2153" t="s">
        <v>509</v>
      </c>
    </row>
    <row r="2154" spans="2:5" x14ac:dyDescent="0.3">
      <c r="B2154" t="s">
        <v>3687</v>
      </c>
      <c r="C2154" t="s">
        <v>496</v>
      </c>
      <c r="D2154" t="s">
        <v>3688</v>
      </c>
      <c r="E2154" t="s">
        <v>507</v>
      </c>
    </row>
    <row r="2155" spans="2:5" x14ac:dyDescent="0.3">
      <c r="B2155" t="s">
        <v>3689</v>
      </c>
      <c r="C2155">
        <v>517569</v>
      </c>
      <c r="D2155" t="s">
        <v>3690</v>
      </c>
      <c r="E2155" t="s">
        <v>794</v>
      </c>
    </row>
    <row r="2156" spans="2:5" x14ac:dyDescent="0.3">
      <c r="B2156" t="s">
        <v>3691</v>
      </c>
      <c r="C2156">
        <v>519602</v>
      </c>
      <c r="D2156" t="s">
        <v>3692</v>
      </c>
      <c r="E2156" t="s">
        <v>589</v>
      </c>
    </row>
    <row r="2157" spans="2:5" x14ac:dyDescent="0.3">
      <c r="B2157" t="s">
        <v>3693</v>
      </c>
      <c r="C2157">
        <v>506528</v>
      </c>
      <c r="D2157" t="s">
        <v>496</v>
      </c>
      <c r="E2157" t="s">
        <v>656</v>
      </c>
    </row>
    <row r="2158" spans="2:5" x14ac:dyDescent="0.3">
      <c r="B2158" t="s">
        <v>3694</v>
      </c>
      <c r="C2158">
        <v>531163</v>
      </c>
      <c r="D2158" t="s">
        <v>3695</v>
      </c>
      <c r="E2158" t="s">
        <v>656</v>
      </c>
    </row>
    <row r="2159" spans="2:5" x14ac:dyDescent="0.3">
      <c r="B2159" t="s">
        <v>3696</v>
      </c>
      <c r="C2159">
        <v>506530</v>
      </c>
      <c r="D2159" t="s">
        <v>496</v>
      </c>
      <c r="E2159" t="s">
        <v>691</v>
      </c>
    </row>
    <row r="2160" spans="2:5" x14ac:dyDescent="0.3">
      <c r="B2160" t="s">
        <v>3697</v>
      </c>
      <c r="C2160">
        <v>505890</v>
      </c>
      <c r="D2160" t="s">
        <v>496</v>
      </c>
      <c r="E2160" t="s">
        <v>504</v>
      </c>
    </row>
    <row r="2161" spans="2:5" x14ac:dyDescent="0.3">
      <c r="B2161" t="s">
        <v>3698</v>
      </c>
      <c r="C2161">
        <v>505890</v>
      </c>
      <c r="D2161" t="s">
        <v>496</v>
      </c>
      <c r="E2161" t="s">
        <v>504</v>
      </c>
    </row>
    <row r="2162" spans="2:5" x14ac:dyDescent="0.3">
      <c r="B2162" t="s">
        <v>3699</v>
      </c>
      <c r="C2162">
        <v>540953</v>
      </c>
      <c r="D2162" t="s">
        <v>496</v>
      </c>
      <c r="E2162" t="s">
        <v>610</v>
      </c>
    </row>
    <row r="2163" spans="2:5" x14ac:dyDescent="0.3">
      <c r="B2163" t="s">
        <v>3700</v>
      </c>
      <c r="C2163">
        <v>530163</v>
      </c>
      <c r="D2163" t="s">
        <v>496</v>
      </c>
      <c r="E2163" t="s">
        <v>534</v>
      </c>
    </row>
    <row r="2164" spans="2:5" x14ac:dyDescent="0.3">
      <c r="B2164" t="s">
        <v>3701</v>
      </c>
      <c r="C2164">
        <v>532686</v>
      </c>
      <c r="D2164" t="s">
        <v>3702</v>
      </c>
      <c r="E2164" t="s">
        <v>619</v>
      </c>
    </row>
    <row r="2165" spans="2:5" x14ac:dyDescent="0.3">
      <c r="B2165" t="s">
        <v>3703</v>
      </c>
      <c r="C2165">
        <v>532686</v>
      </c>
      <c r="D2165" t="s">
        <v>3702</v>
      </c>
      <c r="E2165" t="s">
        <v>619</v>
      </c>
    </row>
    <row r="2166" spans="2:5" x14ac:dyDescent="0.3">
      <c r="B2166" t="s">
        <v>3704</v>
      </c>
      <c r="C2166">
        <v>507180</v>
      </c>
      <c r="D2166" t="s">
        <v>3705</v>
      </c>
      <c r="E2166" t="s">
        <v>1195</v>
      </c>
    </row>
    <row r="2167" spans="2:5" x14ac:dyDescent="0.3">
      <c r="B2167" t="s">
        <v>3706</v>
      </c>
      <c r="C2167">
        <v>524174</v>
      </c>
      <c r="D2167" t="s">
        <v>496</v>
      </c>
      <c r="E2167" t="s">
        <v>544</v>
      </c>
    </row>
    <row r="2168" spans="2:5" x14ac:dyDescent="0.3">
      <c r="B2168" t="s">
        <v>3707</v>
      </c>
      <c r="C2168">
        <v>533289</v>
      </c>
      <c r="D2168" t="s">
        <v>3708</v>
      </c>
      <c r="E2168" t="s">
        <v>817</v>
      </c>
    </row>
    <row r="2169" spans="2:5" x14ac:dyDescent="0.3">
      <c r="B2169" t="s">
        <v>3709</v>
      </c>
      <c r="C2169">
        <v>502937</v>
      </c>
      <c r="D2169" t="s">
        <v>3710</v>
      </c>
      <c r="E2169" t="s">
        <v>485</v>
      </c>
    </row>
    <row r="2170" spans="2:5" x14ac:dyDescent="0.3">
      <c r="B2170" t="s">
        <v>3711</v>
      </c>
      <c r="C2170">
        <v>532732</v>
      </c>
      <c r="D2170" t="s">
        <v>3712</v>
      </c>
      <c r="E2170" t="s">
        <v>610</v>
      </c>
    </row>
    <row r="2171" spans="2:5" x14ac:dyDescent="0.3">
      <c r="B2171" t="s">
        <v>3713</v>
      </c>
      <c r="C2171">
        <v>507948</v>
      </c>
      <c r="D2171" t="s">
        <v>496</v>
      </c>
      <c r="E2171" t="s">
        <v>513</v>
      </c>
    </row>
    <row r="2172" spans="2:5" x14ac:dyDescent="0.3">
      <c r="B2172" t="s">
        <v>3714</v>
      </c>
      <c r="C2172">
        <v>512597</v>
      </c>
      <c r="D2172" t="s">
        <v>3715</v>
      </c>
      <c r="E2172" t="s">
        <v>513</v>
      </c>
    </row>
    <row r="2173" spans="2:5" x14ac:dyDescent="0.3">
      <c r="B2173" t="s">
        <v>3716</v>
      </c>
      <c r="C2173" t="s">
        <v>496</v>
      </c>
      <c r="D2173" t="s">
        <v>3717</v>
      </c>
      <c r="E2173" t="s">
        <v>513</v>
      </c>
    </row>
    <row r="2174" spans="2:5" x14ac:dyDescent="0.3">
      <c r="B2174" t="s">
        <v>3718</v>
      </c>
      <c r="C2174">
        <v>500239</v>
      </c>
      <c r="D2174" t="s">
        <v>496</v>
      </c>
      <c r="E2174" t="s">
        <v>511</v>
      </c>
    </row>
    <row r="2175" spans="2:5" x14ac:dyDescent="0.3">
      <c r="B2175" t="s">
        <v>3719</v>
      </c>
      <c r="C2175">
        <v>531609</v>
      </c>
      <c r="D2175" t="s">
        <v>496</v>
      </c>
      <c r="E2175" t="s">
        <v>691</v>
      </c>
    </row>
    <row r="2176" spans="2:5" x14ac:dyDescent="0.3">
      <c r="B2176" t="s">
        <v>3720</v>
      </c>
      <c r="C2176">
        <v>540775</v>
      </c>
      <c r="D2176" t="s">
        <v>3721</v>
      </c>
      <c r="E2176" t="s">
        <v>922</v>
      </c>
    </row>
    <row r="2177" spans="2:5" x14ac:dyDescent="0.3">
      <c r="B2177" t="s">
        <v>3722</v>
      </c>
      <c r="C2177">
        <v>540775</v>
      </c>
      <c r="D2177" t="s">
        <v>3721</v>
      </c>
      <c r="E2177" t="s">
        <v>922</v>
      </c>
    </row>
    <row r="2178" spans="2:5" x14ac:dyDescent="0.3">
      <c r="B2178" t="s">
        <v>3723</v>
      </c>
      <c r="C2178">
        <v>590068</v>
      </c>
      <c r="D2178" t="s">
        <v>3724</v>
      </c>
      <c r="E2178" t="s">
        <v>518</v>
      </c>
    </row>
    <row r="2179" spans="2:5" x14ac:dyDescent="0.3">
      <c r="B2179" t="s">
        <v>3725</v>
      </c>
      <c r="C2179">
        <v>507794</v>
      </c>
      <c r="D2179" t="s">
        <v>496</v>
      </c>
      <c r="E2179" t="s">
        <v>1004</v>
      </c>
    </row>
    <row r="2180" spans="2:5" x14ac:dyDescent="0.3">
      <c r="B2180" t="s">
        <v>3726</v>
      </c>
      <c r="C2180">
        <v>504269</v>
      </c>
      <c r="D2180" t="s">
        <v>3727</v>
      </c>
      <c r="E2180" t="s">
        <v>1261</v>
      </c>
    </row>
    <row r="2181" spans="2:5" x14ac:dyDescent="0.3">
      <c r="B2181" t="s">
        <v>3728</v>
      </c>
      <c r="C2181">
        <v>590068</v>
      </c>
      <c r="D2181" t="s">
        <v>3724</v>
      </c>
      <c r="E2181" t="s">
        <v>518</v>
      </c>
    </row>
    <row r="2182" spans="2:5" x14ac:dyDescent="0.3">
      <c r="B2182" t="s">
        <v>3729</v>
      </c>
      <c r="C2182">
        <v>519064</v>
      </c>
      <c r="D2182" t="s">
        <v>496</v>
      </c>
      <c r="E2182" t="s">
        <v>694</v>
      </c>
    </row>
    <row r="2183" spans="2:5" x14ac:dyDescent="0.3">
      <c r="B2183" t="s">
        <v>3730</v>
      </c>
      <c r="C2183">
        <v>531892</v>
      </c>
      <c r="D2183" t="s">
        <v>3731</v>
      </c>
      <c r="E2183" t="s">
        <v>479</v>
      </c>
    </row>
    <row r="2184" spans="2:5" x14ac:dyDescent="0.3">
      <c r="B2184" t="s">
        <v>3732</v>
      </c>
      <c r="C2184">
        <v>506178</v>
      </c>
      <c r="D2184" t="s">
        <v>496</v>
      </c>
      <c r="E2184" t="s">
        <v>518</v>
      </c>
    </row>
    <row r="2185" spans="2:5" x14ac:dyDescent="0.3">
      <c r="B2185" t="s">
        <v>3733</v>
      </c>
      <c r="C2185">
        <v>521127</v>
      </c>
      <c r="D2185" t="s">
        <v>496</v>
      </c>
      <c r="E2185" t="s">
        <v>511</v>
      </c>
    </row>
    <row r="2186" spans="2:5" x14ac:dyDescent="0.3">
      <c r="B2186" t="s">
        <v>3734</v>
      </c>
      <c r="C2186">
        <v>539788</v>
      </c>
      <c r="D2186" t="s">
        <v>496</v>
      </c>
      <c r="E2186" t="s">
        <v>530</v>
      </c>
    </row>
    <row r="2187" spans="2:5" x14ac:dyDescent="0.3">
      <c r="B2187" t="s">
        <v>3735</v>
      </c>
      <c r="C2187">
        <v>507435</v>
      </c>
      <c r="D2187" t="s">
        <v>496</v>
      </c>
      <c r="E2187" t="s">
        <v>1128</v>
      </c>
    </row>
    <row r="2188" spans="2:5" x14ac:dyDescent="0.3">
      <c r="B2188" t="s">
        <v>3736</v>
      </c>
      <c r="C2188">
        <v>507435</v>
      </c>
      <c r="D2188" t="s">
        <v>496</v>
      </c>
      <c r="E2188" t="s">
        <v>1128</v>
      </c>
    </row>
    <row r="2189" spans="2:5" x14ac:dyDescent="0.3">
      <c r="B2189" t="s">
        <v>3737</v>
      </c>
      <c r="C2189">
        <v>535730</v>
      </c>
      <c r="D2189" t="s">
        <v>496</v>
      </c>
      <c r="E2189" t="s">
        <v>511</v>
      </c>
    </row>
    <row r="2190" spans="2:5" x14ac:dyDescent="0.3">
      <c r="B2190" t="s">
        <v>3738</v>
      </c>
      <c r="C2190">
        <v>531692</v>
      </c>
      <c r="D2190" t="s">
        <v>496</v>
      </c>
      <c r="E2190" t="s">
        <v>697</v>
      </c>
    </row>
    <row r="2191" spans="2:5" x14ac:dyDescent="0.3">
      <c r="B2191" t="s">
        <v>3739</v>
      </c>
      <c r="C2191">
        <v>513693</v>
      </c>
      <c r="D2191" t="s">
        <v>496</v>
      </c>
      <c r="E2191" t="s">
        <v>528</v>
      </c>
    </row>
    <row r="2192" spans="2:5" x14ac:dyDescent="0.3">
      <c r="B2192" t="s">
        <v>3740</v>
      </c>
      <c r="C2192">
        <v>540812</v>
      </c>
      <c r="D2192" t="s">
        <v>496</v>
      </c>
      <c r="E2192" t="s">
        <v>966</v>
      </c>
    </row>
    <row r="2193" spans="2:5" x14ac:dyDescent="0.3">
      <c r="B2193" t="s">
        <v>3741</v>
      </c>
      <c r="C2193">
        <v>507946</v>
      </c>
      <c r="D2193" t="s">
        <v>496</v>
      </c>
      <c r="E2193" t="s">
        <v>518</v>
      </c>
    </row>
    <row r="2194" spans="2:5" x14ac:dyDescent="0.3">
      <c r="B2194" t="s">
        <v>3742</v>
      </c>
      <c r="C2194">
        <v>507946</v>
      </c>
      <c r="D2194" t="s">
        <v>496</v>
      </c>
      <c r="E2194" t="s">
        <v>518</v>
      </c>
    </row>
    <row r="2195" spans="2:5" x14ac:dyDescent="0.3">
      <c r="B2195" t="s">
        <v>3743</v>
      </c>
      <c r="C2195">
        <v>535566</v>
      </c>
      <c r="D2195" t="s">
        <v>496</v>
      </c>
      <c r="E2195" t="s">
        <v>513</v>
      </c>
    </row>
    <row r="2196" spans="2:5" x14ac:dyDescent="0.3">
      <c r="B2196" t="s">
        <v>3744</v>
      </c>
      <c r="C2196">
        <v>524699</v>
      </c>
      <c r="D2196" t="s">
        <v>496</v>
      </c>
      <c r="E2196" t="s">
        <v>544</v>
      </c>
    </row>
    <row r="2197" spans="2:5" x14ac:dyDescent="0.3">
      <c r="B2197" t="s">
        <v>3745</v>
      </c>
      <c r="C2197">
        <v>522101</v>
      </c>
      <c r="D2197" t="s">
        <v>496</v>
      </c>
      <c r="E2197" t="s">
        <v>504</v>
      </c>
    </row>
    <row r="2198" spans="2:5" x14ac:dyDescent="0.3">
      <c r="B2198" t="s">
        <v>3746</v>
      </c>
      <c r="C2198">
        <v>523218</v>
      </c>
      <c r="D2198" t="s">
        <v>3747</v>
      </c>
      <c r="E2198" t="s">
        <v>1038</v>
      </c>
    </row>
    <row r="2199" spans="2:5" x14ac:dyDescent="0.3">
      <c r="B2199" t="s">
        <v>3748</v>
      </c>
      <c r="C2199">
        <v>524500</v>
      </c>
      <c r="D2199" t="s">
        <v>3749</v>
      </c>
      <c r="E2199" t="s">
        <v>534</v>
      </c>
    </row>
    <row r="2200" spans="2:5" x14ac:dyDescent="0.3">
      <c r="B2200" t="s">
        <v>3750</v>
      </c>
      <c r="C2200">
        <v>524500</v>
      </c>
      <c r="D2200" t="s">
        <v>3749</v>
      </c>
      <c r="E2200" t="s">
        <v>534</v>
      </c>
    </row>
    <row r="2201" spans="2:5" x14ac:dyDescent="0.3">
      <c r="B2201" t="s">
        <v>3751</v>
      </c>
      <c r="C2201">
        <v>532067</v>
      </c>
      <c r="D2201" t="s">
        <v>496</v>
      </c>
      <c r="E2201" t="s">
        <v>640</v>
      </c>
    </row>
    <row r="2202" spans="2:5" x14ac:dyDescent="0.3">
      <c r="B2202" t="s">
        <v>3752</v>
      </c>
      <c r="C2202">
        <v>532067</v>
      </c>
      <c r="D2202" t="s">
        <v>496</v>
      </c>
      <c r="E2202" t="s">
        <v>640</v>
      </c>
    </row>
    <row r="2203" spans="2:5" x14ac:dyDescent="0.3">
      <c r="B2203" t="s">
        <v>3753</v>
      </c>
      <c r="C2203">
        <v>530313</v>
      </c>
      <c r="D2203" t="s">
        <v>3754</v>
      </c>
      <c r="E2203" t="s">
        <v>534</v>
      </c>
    </row>
    <row r="2204" spans="2:5" x14ac:dyDescent="0.3">
      <c r="B2204" t="s">
        <v>3755</v>
      </c>
      <c r="C2204">
        <v>500240</v>
      </c>
      <c r="D2204" t="s">
        <v>496</v>
      </c>
      <c r="E2204" t="s">
        <v>1154</v>
      </c>
    </row>
    <row r="2205" spans="2:5" x14ac:dyDescent="0.3">
      <c r="B2205" t="s">
        <v>3756</v>
      </c>
      <c r="C2205">
        <v>531274</v>
      </c>
      <c r="D2205" t="s">
        <v>496</v>
      </c>
      <c r="E2205" t="s">
        <v>513</v>
      </c>
    </row>
    <row r="2206" spans="2:5" x14ac:dyDescent="0.3">
      <c r="B2206" t="s">
        <v>3757</v>
      </c>
      <c r="C2206">
        <v>524019</v>
      </c>
      <c r="D2206" t="s">
        <v>3758</v>
      </c>
      <c r="E2206" t="s">
        <v>616</v>
      </c>
    </row>
    <row r="2207" spans="2:5" x14ac:dyDescent="0.3">
      <c r="B2207" t="s">
        <v>3759</v>
      </c>
      <c r="C2207">
        <v>524019</v>
      </c>
      <c r="D2207" t="s">
        <v>3758</v>
      </c>
      <c r="E2207" t="s">
        <v>616</v>
      </c>
    </row>
    <row r="2208" spans="2:5" x14ac:dyDescent="0.3">
      <c r="B2208" t="s">
        <v>3760</v>
      </c>
      <c r="C2208">
        <v>530215</v>
      </c>
      <c r="D2208" t="s">
        <v>496</v>
      </c>
      <c r="E2208" t="s">
        <v>582</v>
      </c>
    </row>
    <row r="2209" spans="2:5" x14ac:dyDescent="0.3">
      <c r="B2209" t="s">
        <v>3761</v>
      </c>
      <c r="C2209">
        <v>512329</v>
      </c>
      <c r="D2209" t="s">
        <v>496</v>
      </c>
      <c r="E2209" t="s">
        <v>917</v>
      </c>
    </row>
    <row r="2210" spans="2:5" x14ac:dyDescent="0.3">
      <c r="B2210" t="s">
        <v>3762</v>
      </c>
      <c r="C2210">
        <v>540680</v>
      </c>
      <c r="D2210" t="s">
        <v>3763</v>
      </c>
      <c r="E2210" t="s">
        <v>528</v>
      </c>
    </row>
    <row r="2211" spans="2:5" x14ac:dyDescent="0.3">
      <c r="B2211" t="s">
        <v>3764</v>
      </c>
      <c r="C2211">
        <v>531413</v>
      </c>
      <c r="D2211" t="s">
        <v>496</v>
      </c>
      <c r="E2211" t="s">
        <v>2489</v>
      </c>
    </row>
    <row r="2212" spans="2:5" x14ac:dyDescent="0.3">
      <c r="B2212" t="s">
        <v>3765</v>
      </c>
      <c r="C2212">
        <v>537750</v>
      </c>
      <c r="D2212" t="s">
        <v>496</v>
      </c>
      <c r="E2212" t="s">
        <v>516</v>
      </c>
    </row>
    <row r="2213" spans="2:5" x14ac:dyDescent="0.3">
      <c r="B2213" t="s">
        <v>3766</v>
      </c>
      <c r="C2213">
        <v>532967</v>
      </c>
      <c r="D2213" t="s">
        <v>3767</v>
      </c>
      <c r="E2213" t="s">
        <v>656</v>
      </c>
    </row>
    <row r="2214" spans="2:5" x14ac:dyDescent="0.3">
      <c r="B2214" t="s">
        <v>3768</v>
      </c>
      <c r="C2214">
        <v>500241</v>
      </c>
      <c r="D2214" t="s">
        <v>3769</v>
      </c>
      <c r="E2214" t="s">
        <v>504</v>
      </c>
    </row>
    <row r="2215" spans="2:5" x14ac:dyDescent="0.3">
      <c r="B2215" t="s">
        <v>3770</v>
      </c>
      <c r="C2215">
        <v>533193</v>
      </c>
      <c r="D2215" t="s">
        <v>3771</v>
      </c>
      <c r="E2215" t="s">
        <v>794</v>
      </c>
    </row>
    <row r="2216" spans="2:5" x14ac:dyDescent="0.3">
      <c r="B2216" t="s">
        <v>3772</v>
      </c>
      <c r="C2216">
        <v>500245</v>
      </c>
      <c r="D2216" t="s">
        <v>496</v>
      </c>
      <c r="E2216" t="s">
        <v>528</v>
      </c>
    </row>
    <row r="2217" spans="2:5" x14ac:dyDescent="0.3">
      <c r="B2217" t="s">
        <v>3773</v>
      </c>
      <c r="C2217">
        <v>500243</v>
      </c>
      <c r="D2217" t="s">
        <v>3774</v>
      </c>
      <c r="E2217" t="s">
        <v>504</v>
      </c>
    </row>
    <row r="2218" spans="2:5" x14ac:dyDescent="0.3">
      <c r="B2218" t="s">
        <v>3775</v>
      </c>
      <c r="C2218">
        <v>533293</v>
      </c>
      <c r="D2218" t="s">
        <v>3776</v>
      </c>
      <c r="E2218" t="s">
        <v>851</v>
      </c>
    </row>
    <row r="2219" spans="2:5" x14ac:dyDescent="0.3">
      <c r="B2219" t="s">
        <v>3777</v>
      </c>
      <c r="C2219">
        <v>505283</v>
      </c>
      <c r="D2219" t="s">
        <v>496</v>
      </c>
      <c r="E2219" t="s">
        <v>504</v>
      </c>
    </row>
    <row r="2220" spans="2:5" x14ac:dyDescent="0.3">
      <c r="B2220" t="s">
        <v>3778</v>
      </c>
      <c r="C2220">
        <v>530145</v>
      </c>
      <c r="D2220" t="s">
        <v>496</v>
      </c>
      <c r="E2220" t="s">
        <v>616</v>
      </c>
    </row>
    <row r="2221" spans="2:5" x14ac:dyDescent="0.3">
      <c r="B2221" t="s">
        <v>3779</v>
      </c>
      <c r="C2221">
        <v>521248</v>
      </c>
      <c r="D2221" t="s">
        <v>3780</v>
      </c>
      <c r="E2221" t="s">
        <v>610</v>
      </c>
    </row>
    <row r="2222" spans="2:5" x14ac:dyDescent="0.3">
      <c r="B2222" t="s">
        <v>3781</v>
      </c>
      <c r="C2222">
        <v>532304</v>
      </c>
      <c r="D2222" t="s">
        <v>496</v>
      </c>
      <c r="E2222" t="s">
        <v>479</v>
      </c>
    </row>
    <row r="2223" spans="2:5" x14ac:dyDescent="0.3">
      <c r="B2223" t="s">
        <v>3782</v>
      </c>
      <c r="C2223">
        <v>532304</v>
      </c>
      <c r="D2223" t="s">
        <v>496</v>
      </c>
      <c r="E2223" t="s">
        <v>479</v>
      </c>
    </row>
    <row r="2224" spans="2:5" x14ac:dyDescent="0.3">
      <c r="B2224" t="s">
        <v>3783</v>
      </c>
      <c r="C2224">
        <v>530235</v>
      </c>
      <c r="D2224" t="s">
        <v>496</v>
      </c>
      <c r="E2224" t="s">
        <v>513</v>
      </c>
    </row>
    <row r="2225" spans="2:5" x14ac:dyDescent="0.3">
      <c r="B2225" t="s">
        <v>3784</v>
      </c>
      <c r="C2225">
        <v>526409</v>
      </c>
      <c r="D2225" t="s">
        <v>496</v>
      </c>
      <c r="E2225" t="s">
        <v>616</v>
      </c>
    </row>
    <row r="2226" spans="2:5" x14ac:dyDescent="0.3">
      <c r="B2226" t="s">
        <v>3785</v>
      </c>
      <c r="C2226">
        <v>526409</v>
      </c>
      <c r="D2226" t="s">
        <v>496</v>
      </c>
      <c r="E2226" t="s">
        <v>616</v>
      </c>
    </row>
    <row r="2227" spans="2:5" x14ac:dyDescent="0.3">
      <c r="B2227" t="s">
        <v>3786</v>
      </c>
      <c r="C2227">
        <v>523652</v>
      </c>
      <c r="D2227" t="s">
        <v>496</v>
      </c>
      <c r="E2227" t="s">
        <v>616</v>
      </c>
    </row>
    <row r="2228" spans="2:5" x14ac:dyDescent="0.3">
      <c r="B2228" t="s">
        <v>3787</v>
      </c>
      <c r="C2228">
        <v>521238</v>
      </c>
      <c r="D2228" t="s">
        <v>496</v>
      </c>
      <c r="E2228" t="s">
        <v>821</v>
      </c>
    </row>
    <row r="2229" spans="2:5" x14ac:dyDescent="0.3">
      <c r="B2229" t="s">
        <v>3788</v>
      </c>
      <c r="C2229" t="s">
        <v>496</v>
      </c>
      <c r="D2229" t="s">
        <v>3789</v>
      </c>
      <c r="E2229" t="s">
        <v>507</v>
      </c>
    </row>
    <row r="2230" spans="2:5" x14ac:dyDescent="0.3">
      <c r="B2230" t="s">
        <v>3790</v>
      </c>
      <c r="C2230">
        <v>530771</v>
      </c>
      <c r="D2230" t="s">
        <v>496</v>
      </c>
      <c r="E2230" t="s">
        <v>513</v>
      </c>
    </row>
    <row r="2231" spans="2:5" x14ac:dyDescent="0.3">
      <c r="B2231" t="s">
        <v>3791</v>
      </c>
      <c r="C2231">
        <v>514221</v>
      </c>
      <c r="D2231" t="s">
        <v>496</v>
      </c>
      <c r="E2231" t="s">
        <v>511</v>
      </c>
    </row>
    <row r="2232" spans="2:5" x14ac:dyDescent="0.3">
      <c r="B2232" t="s">
        <v>3792</v>
      </c>
      <c r="C2232">
        <v>517170</v>
      </c>
      <c r="D2232" t="s">
        <v>3793</v>
      </c>
      <c r="E2232" t="s">
        <v>794</v>
      </c>
    </row>
    <row r="2233" spans="2:5" x14ac:dyDescent="0.3">
      <c r="B2233" t="s">
        <v>3794</v>
      </c>
      <c r="C2233">
        <v>524520</v>
      </c>
      <c r="D2233" t="s">
        <v>496</v>
      </c>
      <c r="E2233" t="s">
        <v>685</v>
      </c>
    </row>
    <row r="2234" spans="2:5" x14ac:dyDescent="0.3">
      <c r="B2234" t="s">
        <v>3795</v>
      </c>
      <c r="C2234">
        <v>524520</v>
      </c>
      <c r="D2234" t="s">
        <v>496</v>
      </c>
      <c r="E2234" t="s">
        <v>685</v>
      </c>
    </row>
    <row r="2235" spans="2:5" x14ac:dyDescent="0.3">
      <c r="B2235" t="s">
        <v>3796</v>
      </c>
      <c r="C2235">
        <v>531578</v>
      </c>
      <c r="D2235" t="s">
        <v>496</v>
      </c>
      <c r="E2235" t="s">
        <v>582</v>
      </c>
    </row>
    <row r="2236" spans="2:5" x14ac:dyDescent="0.3">
      <c r="B2236" t="s">
        <v>3797</v>
      </c>
      <c r="C2236">
        <v>519415</v>
      </c>
      <c r="D2236" t="s">
        <v>496</v>
      </c>
      <c r="E2236" t="s">
        <v>556</v>
      </c>
    </row>
    <row r="2237" spans="2:5" x14ac:dyDescent="0.3">
      <c r="B2237" t="s">
        <v>3798</v>
      </c>
      <c r="C2237">
        <v>540468</v>
      </c>
      <c r="D2237" t="s">
        <v>496</v>
      </c>
      <c r="E2237" t="s">
        <v>1461</v>
      </c>
    </row>
    <row r="2238" spans="2:5" x14ac:dyDescent="0.3">
      <c r="B2238" t="s">
        <v>3799</v>
      </c>
      <c r="C2238">
        <v>532942</v>
      </c>
      <c r="D2238" t="s">
        <v>3800</v>
      </c>
      <c r="E2238" t="s">
        <v>894</v>
      </c>
    </row>
    <row r="2239" spans="2:5" x14ac:dyDescent="0.3">
      <c r="B2239" t="s">
        <v>3801</v>
      </c>
      <c r="C2239">
        <v>512559</v>
      </c>
      <c r="D2239" t="s">
        <v>3802</v>
      </c>
      <c r="E2239" t="s">
        <v>694</v>
      </c>
    </row>
    <row r="2240" spans="2:5" x14ac:dyDescent="0.3">
      <c r="B2240" t="s">
        <v>3803</v>
      </c>
      <c r="C2240">
        <v>523207</v>
      </c>
      <c r="D2240" t="s">
        <v>3804</v>
      </c>
      <c r="E2240" t="s">
        <v>1042</v>
      </c>
    </row>
    <row r="2241" spans="2:5" x14ac:dyDescent="0.3">
      <c r="B2241" t="s">
        <v>3805</v>
      </c>
      <c r="C2241">
        <v>532924</v>
      </c>
      <c r="D2241" t="s">
        <v>3806</v>
      </c>
      <c r="E2241" t="s">
        <v>582</v>
      </c>
    </row>
    <row r="2242" spans="2:5" x14ac:dyDescent="0.3">
      <c r="B2242" t="s">
        <v>3807</v>
      </c>
      <c r="C2242">
        <v>539910</v>
      </c>
      <c r="D2242" t="s">
        <v>496</v>
      </c>
      <c r="E2242" t="s">
        <v>499</v>
      </c>
    </row>
    <row r="2243" spans="2:5" x14ac:dyDescent="0.3">
      <c r="B2243" t="s">
        <v>3808</v>
      </c>
      <c r="C2243">
        <v>514128</v>
      </c>
      <c r="D2243" t="s">
        <v>496</v>
      </c>
      <c r="E2243" t="s">
        <v>511</v>
      </c>
    </row>
    <row r="2244" spans="2:5" x14ac:dyDescent="0.3">
      <c r="B2244" t="s">
        <v>3809</v>
      </c>
      <c r="C2244">
        <v>524280</v>
      </c>
      <c r="D2244" t="s">
        <v>3810</v>
      </c>
      <c r="E2244" t="s">
        <v>534</v>
      </c>
    </row>
    <row r="2245" spans="2:5" x14ac:dyDescent="0.3">
      <c r="B2245" t="s">
        <v>3811</v>
      </c>
      <c r="C2245">
        <v>500247</v>
      </c>
      <c r="D2245" t="s">
        <v>3812</v>
      </c>
      <c r="E2245" t="s">
        <v>814</v>
      </c>
    </row>
    <row r="2246" spans="2:5" x14ac:dyDescent="0.3">
      <c r="B2246" t="s">
        <v>3813</v>
      </c>
      <c r="C2246">
        <v>590097</v>
      </c>
      <c r="D2246" t="s">
        <v>3814</v>
      </c>
      <c r="E2246" t="s">
        <v>479</v>
      </c>
    </row>
    <row r="2247" spans="2:5" x14ac:dyDescent="0.3">
      <c r="B2247" t="s">
        <v>3815</v>
      </c>
      <c r="C2247">
        <v>590107</v>
      </c>
      <c r="D2247" t="s">
        <v>3816</v>
      </c>
      <c r="E2247" t="s">
        <v>479</v>
      </c>
    </row>
    <row r="2248" spans="2:5" x14ac:dyDescent="0.3">
      <c r="B2248" t="s">
        <v>3817</v>
      </c>
      <c r="C2248">
        <v>532985</v>
      </c>
      <c r="D2248" t="s">
        <v>3818</v>
      </c>
      <c r="E2248" t="s">
        <v>479</v>
      </c>
    </row>
    <row r="2249" spans="2:5" x14ac:dyDescent="0.3">
      <c r="B2249" t="s">
        <v>3819</v>
      </c>
      <c r="C2249">
        <v>507474</v>
      </c>
      <c r="D2249" t="s">
        <v>496</v>
      </c>
      <c r="E2249" t="s">
        <v>576</v>
      </c>
    </row>
    <row r="2250" spans="2:5" x14ac:dyDescent="0.3">
      <c r="B2250" t="s">
        <v>3820</v>
      </c>
      <c r="C2250" t="s">
        <v>496</v>
      </c>
      <c r="D2250" t="s">
        <v>3821</v>
      </c>
      <c r="E2250" t="s">
        <v>587</v>
      </c>
    </row>
    <row r="2251" spans="2:5" x14ac:dyDescent="0.3">
      <c r="B2251" t="s">
        <v>3822</v>
      </c>
      <c r="C2251">
        <v>530299</v>
      </c>
      <c r="D2251" t="s">
        <v>3823</v>
      </c>
      <c r="E2251" t="s">
        <v>518</v>
      </c>
    </row>
    <row r="2252" spans="2:5" x14ac:dyDescent="0.3">
      <c r="B2252" t="s">
        <v>3824</v>
      </c>
      <c r="C2252" t="s">
        <v>496</v>
      </c>
      <c r="D2252" t="s">
        <v>3825</v>
      </c>
      <c r="E2252" t="s">
        <v>587</v>
      </c>
    </row>
    <row r="2253" spans="2:5" x14ac:dyDescent="0.3">
      <c r="B2253" t="s">
        <v>3826</v>
      </c>
      <c r="C2253">
        <v>511138</v>
      </c>
      <c r="D2253" t="s">
        <v>496</v>
      </c>
      <c r="E2253" t="s">
        <v>513</v>
      </c>
    </row>
    <row r="2254" spans="2:5" x14ac:dyDescent="0.3">
      <c r="B2254" t="s">
        <v>3827</v>
      </c>
      <c r="C2254">
        <v>539599</v>
      </c>
      <c r="D2254" t="s">
        <v>496</v>
      </c>
      <c r="E2254" t="s">
        <v>530</v>
      </c>
    </row>
    <row r="2255" spans="2:5" x14ac:dyDescent="0.3">
      <c r="B2255" t="s">
        <v>3828</v>
      </c>
      <c r="C2255">
        <v>523323</v>
      </c>
      <c r="D2255" t="s">
        <v>496</v>
      </c>
      <c r="E2255" t="s">
        <v>685</v>
      </c>
    </row>
    <row r="2256" spans="2:5" x14ac:dyDescent="0.3">
      <c r="B2256" t="s">
        <v>3829</v>
      </c>
      <c r="C2256">
        <v>505585</v>
      </c>
      <c r="D2256" t="s">
        <v>496</v>
      </c>
      <c r="E2256" t="s">
        <v>917</v>
      </c>
    </row>
    <row r="2257" spans="2:5" x14ac:dyDescent="0.3">
      <c r="B2257" t="s">
        <v>3830</v>
      </c>
      <c r="C2257">
        <v>507598</v>
      </c>
      <c r="D2257" t="s">
        <v>496</v>
      </c>
      <c r="E2257" t="s">
        <v>576</v>
      </c>
    </row>
    <row r="2258" spans="2:5" x14ac:dyDescent="0.3">
      <c r="B2258" t="s">
        <v>3831</v>
      </c>
      <c r="C2258">
        <v>532400</v>
      </c>
      <c r="D2258" t="s">
        <v>3832</v>
      </c>
      <c r="E2258" t="s">
        <v>482</v>
      </c>
    </row>
    <row r="2259" spans="2:5" x14ac:dyDescent="0.3">
      <c r="B2259" t="s">
        <v>3833</v>
      </c>
      <c r="C2259">
        <v>542651</v>
      </c>
      <c r="D2259" t="s">
        <v>3834</v>
      </c>
      <c r="E2259" t="s">
        <v>3835</v>
      </c>
    </row>
    <row r="2260" spans="2:5" x14ac:dyDescent="0.3">
      <c r="B2260" t="s">
        <v>3836</v>
      </c>
      <c r="C2260">
        <v>542459</v>
      </c>
      <c r="D2260" t="s">
        <v>3837</v>
      </c>
      <c r="E2260" t="s">
        <v>3835</v>
      </c>
    </row>
    <row r="2261" spans="2:5" x14ac:dyDescent="0.3">
      <c r="B2261" t="s">
        <v>3838</v>
      </c>
      <c r="C2261">
        <v>501261</v>
      </c>
      <c r="D2261" t="s">
        <v>496</v>
      </c>
      <c r="E2261" t="s">
        <v>479</v>
      </c>
    </row>
    <row r="2262" spans="2:5" x14ac:dyDescent="0.3">
      <c r="B2262" t="s">
        <v>3839</v>
      </c>
      <c r="C2262">
        <v>530813</v>
      </c>
      <c r="D2262" t="s">
        <v>3840</v>
      </c>
      <c r="E2262" t="s">
        <v>556</v>
      </c>
    </row>
    <row r="2263" spans="2:5" x14ac:dyDescent="0.3">
      <c r="B2263" t="s">
        <v>3841</v>
      </c>
      <c r="C2263">
        <v>524518</v>
      </c>
      <c r="D2263" t="s">
        <v>3842</v>
      </c>
      <c r="E2263" t="s">
        <v>534</v>
      </c>
    </row>
    <row r="2264" spans="2:5" x14ac:dyDescent="0.3">
      <c r="B2264" t="s">
        <v>3843</v>
      </c>
      <c r="C2264">
        <v>530139</v>
      </c>
      <c r="D2264" t="s">
        <v>496</v>
      </c>
      <c r="E2264" t="s">
        <v>513</v>
      </c>
    </row>
    <row r="2265" spans="2:5" x14ac:dyDescent="0.3">
      <c r="B2265" t="s">
        <v>3844</v>
      </c>
      <c r="C2265">
        <v>531328</v>
      </c>
      <c r="D2265" t="s">
        <v>496</v>
      </c>
      <c r="E2265" t="s">
        <v>1461</v>
      </c>
    </row>
    <row r="2266" spans="2:5" x14ac:dyDescent="0.3">
      <c r="B2266" t="s">
        <v>3845</v>
      </c>
      <c r="C2266">
        <v>533482</v>
      </c>
      <c r="D2266" t="s">
        <v>3846</v>
      </c>
      <c r="E2266" t="s">
        <v>894</v>
      </c>
    </row>
    <row r="2267" spans="2:5" x14ac:dyDescent="0.3">
      <c r="B2267" t="s">
        <v>3847</v>
      </c>
      <c r="C2267" t="s">
        <v>496</v>
      </c>
      <c r="D2267" t="s">
        <v>3848</v>
      </c>
      <c r="E2267" t="s">
        <v>507</v>
      </c>
    </row>
    <row r="2268" spans="2:5" x14ac:dyDescent="0.3">
      <c r="B2268" t="s">
        <v>3849</v>
      </c>
      <c r="C2268">
        <v>539384</v>
      </c>
      <c r="D2268" t="s">
        <v>496</v>
      </c>
      <c r="E2268" t="s">
        <v>513</v>
      </c>
    </row>
    <row r="2269" spans="2:5" x14ac:dyDescent="0.3">
      <c r="B2269" t="s">
        <v>3850</v>
      </c>
      <c r="C2269">
        <v>504392</v>
      </c>
      <c r="D2269" t="s">
        <v>496</v>
      </c>
      <c r="E2269" t="s">
        <v>479</v>
      </c>
    </row>
    <row r="2270" spans="2:5" x14ac:dyDescent="0.3">
      <c r="B2270" t="s">
        <v>3851</v>
      </c>
      <c r="C2270">
        <v>526423</v>
      </c>
      <c r="D2270" t="s">
        <v>496</v>
      </c>
      <c r="E2270" t="s">
        <v>616</v>
      </c>
    </row>
    <row r="2271" spans="2:5" x14ac:dyDescent="0.3">
      <c r="B2271" t="s">
        <v>3852</v>
      </c>
      <c r="C2271">
        <v>526423</v>
      </c>
      <c r="D2271" t="s">
        <v>496</v>
      </c>
      <c r="E2271" t="s">
        <v>616</v>
      </c>
    </row>
    <row r="2272" spans="2:5" x14ac:dyDescent="0.3">
      <c r="B2272" t="s">
        <v>3853</v>
      </c>
      <c r="C2272">
        <v>533210</v>
      </c>
      <c r="D2272" t="s">
        <v>496</v>
      </c>
      <c r="E2272" t="s">
        <v>745</v>
      </c>
    </row>
    <row r="2273" spans="2:5" x14ac:dyDescent="0.3">
      <c r="B2273" t="s">
        <v>3854</v>
      </c>
      <c r="C2273" t="s">
        <v>496</v>
      </c>
      <c r="D2273" t="s">
        <v>3855</v>
      </c>
      <c r="E2273" t="s">
        <v>507</v>
      </c>
    </row>
    <row r="2274" spans="2:5" x14ac:dyDescent="0.3">
      <c r="B2274" t="s">
        <v>3856</v>
      </c>
      <c r="C2274">
        <v>523550</v>
      </c>
      <c r="D2274" t="s">
        <v>496</v>
      </c>
      <c r="E2274" t="s">
        <v>485</v>
      </c>
    </row>
    <row r="2275" spans="2:5" x14ac:dyDescent="0.3">
      <c r="B2275" t="s">
        <v>3857</v>
      </c>
      <c r="C2275">
        <v>500249</v>
      </c>
      <c r="D2275" t="s">
        <v>3858</v>
      </c>
      <c r="E2275" t="s">
        <v>504</v>
      </c>
    </row>
    <row r="2276" spans="2:5" x14ac:dyDescent="0.3">
      <c r="B2276" t="s">
        <v>3859</v>
      </c>
      <c r="C2276">
        <v>519421</v>
      </c>
      <c r="D2276" t="s">
        <v>496</v>
      </c>
      <c r="E2276" t="s">
        <v>556</v>
      </c>
    </row>
    <row r="2277" spans="2:5" x14ac:dyDescent="0.3">
      <c r="B2277" t="s">
        <v>3860</v>
      </c>
      <c r="C2277" t="s">
        <v>496</v>
      </c>
      <c r="D2277" t="s">
        <v>3861</v>
      </c>
      <c r="E2277" t="s">
        <v>507</v>
      </c>
    </row>
    <row r="2278" spans="2:5" x14ac:dyDescent="0.3">
      <c r="B2278" t="s">
        <v>3862</v>
      </c>
      <c r="C2278">
        <v>503626</v>
      </c>
      <c r="D2278" t="s">
        <v>496</v>
      </c>
      <c r="E2278" t="s">
        <v>479</v>
      </c>
    </row>
    <row r="2279" spans="2:5" x14ac:dyDescent="0.3">
      <c r="B2279" t="s">
        <v>3863</v>
      </c>
      <c r="C2279">
        <v>532997</v>
      </c>
      <c r="D2279" t="s">
        <v>3864</v>
      </c>
      <c r="E2279" t="s">
        <v>635</v>
      </c>
    </row>
    <row r="2280" spans="2:5" x14ac:dyDescent="0.3">
      <c r="B2280" t="s">
        <v>3865</v>
      </c>
      <c r="C2280">
        <v>530149</v>
      </c>
      <c r="D2280" t="s">
        <v>496</v>
      </c>
      <c r="E2280" t="s">
        <v>511</v>
      </c>
    </row>
    <row r="2281" spans="2:5" x14ac:dyDescent="0.3">
      <c r="B2281" t="s">
        <v>3866</v>
      </c>
      <c r="C2281">
        <v>532081</v>
      </c>
      <c r="D2281" t="s">
        <v>3867</v>
      </c>
      <c r="E2281" t="s">
        <v>499</v>
      </c>
    </row>
    <row r="2282" spans="2:5" x14ac:dyDescent="0.3">
      <c r="B2282" t="s">
        <v>3868</v>
      </c>
      <c r="C2282">
        <v>532937</v>
      </c>
      <c r="D2282" t="s">
        <v>496</v>
      </c>
      <c r="E2282" t="s">
        <v>490</v>
      </c>
    </row>
    <row r="2283" spans="2:5" x14ac:dyDescent="0.3">
      <c r="B2283" t="s">
        <v>3869</v>
      </c>
      <c r="C2283">
        <v>539408</v>
      </c>
      <c r="D2283" t="s">
        <v>496</v>
      </c>
      <c r="E2283" t="s">
        <v>513</v>
      </c>
    </row>
    <row r="2284" spans="2:5" x14ac:dyDescent="0.3">
      <c r="B2284" t="s">
        <v>3870</v>
      </c>
      <c r="C2284">
        <v>505299</v>
      </c>
      <c r="D2284" t="s">
        <v>496</v>
      </c>
      <c r="E2284" t="s">
        <v>504</v>
      </c>
    </row>
    <row r="2285" spans="2:5" x14ac:dyDescent="0.3">
      <c r="B2285" t="s">
        <v>3871</v>
      </c>
      <c r="C2285">
        <v>513703</v>
      </c>
      <c r="D2285" t="s">
        <v>496</v>
      </c>
      <c r="E2285" t="s">
        <v>511</v>
      </c>
    </row>
    <row r="2286" spans="2:5" x14ac:dyDescent="0.3">
      <c r="B2286" t="s">
        <v>3872</v>
      </c>
      <c r="C2286">
        <v>523594</v>
      </c>
      <c r="D2286" t="s">
        <v>496</v>
      </c>
      <c r="E2286" t="s">
        <v>616</v>
      </c>
    </row>
    <row r="2287" spans="2:5" x14ac:dyDescent="0.3">
      <c r="B2287" t="s">
        <v>3873</v>
      </c>
      <c r="C2287">
        <v>511048</v>
      </c>
      <c r="D2287" t="s">
        <v>496</v>
      </c>
      <c r="E2287" t="s">
        <v>518</v>
      </c>
    </row>
    <row r="2288" spans="2:5" x14ac:dyDescent="0.3">
      <c r="B2288" t="s">
        <v>3874</v>
      </c>
      <c r="C2288">
        <v>514240</v>
      </c>
      <c r="D2288" t="s">
        <v>496</v>
      </c>
      <c r="E2288" t="s">
        <v>511</v>
      </c>
    </row>
    <row r="2289" spans="2:5" x14ac:dyDescent="0.3">
      <c r="B2289" t="s">
        <v>3875</v>
      </c>
      <c r="C2289">
        <v>536170</v>
      </c>
      <c r="D2289" t="s">
        <v>496</v>
      </c>
      <c r="E2289" t="s">
        <v>518</v>
      </c>
    </row>
    <row r="2290" spans="2:5" x14ac:dyDescent="0.3">
      <c r="B2290" t="s">
        <v>3876</v>
      </c>
      <c r="C2290">
        <v>530421</v>
      </c>
      <c r="D2290" t="s">
        <v>496</v>
      </c>
      <c r="E2290" t="s">
        <v>544</v>
      </c>
    </row>
    <row r="2291" spans="2:5" x14ac:dyDescent="0.3">
      <c r="B2291" t="s">
        <v>3877</v>
      </c>
      <c r="C2291">
        <v>531206</v>
      </c>
      <c r="D2291" t="s">
        <v>496</v>
      </c>
      <c r="E2291" t="s">
        <v>513</v>
      </c>
    </row>
    <row r="2292" spans="2:5" x14ac:dyDescent="0.3">
      <c r="B2292" t="s">
        <v>3878</v>
      </c>
      <c r="C2292">
        <v>531882</v>
      </c>
      <c r="D2292" t="s">
        <v>3879</v>
      </c>
      <c r="E2292" t="s">
        <v>556</v>
      </c>
    </row>
    <row r="2293" spans="2:5" x14ac:dyDescent="0.3">
      <c r="B2293" t="s">
        <v>3880</v>
      </c>
      <c r="C2293">
        <v>539997</v>
      </c>
      <c r="D2293" t="s">
        <v>496</v>
      </c>
      <c r="E2293" t="s">
        <v>534</v>
      </c>
    </row>
    <row r="2294" spans="2:5" x14ac:dyDescent="0.3">
      <c r="B2294" t="s">
        <v>3881</v>
      </c>
      <c r="C2294">
        <v>537669</v>
      </c>
      <c r="D2294" t="s">
        <v>496</v>
      </c>
      <c r="E2294" t="s">
        <v>574</v>
      </c>
    </row>
    <row r="2295" spans="2:5" x14ac:dyDescent="0.3">
      <c r="B2295" t="s">
        <v>3882</v>
      </c>
      <c r="C2295">
        <v>533519</v>
      </c>
      <c r="D2295" t="s">
        <v>3883</v>
      </c>
      <c r="E2295" t="s">
        <v>662</v>
      </c>
    </row>
    <row r="2296" spans="2:5" x14ac:dyDescent="0.3">
      <c r="B2296" t="s">
        <v>3884</v>
      </c>
      <c r="C2296">
        <v>540115</v>
      </c>
      <c r="D2296" t="s">
        <v>3885</v>
      </c>
      <c r="E2296" t="s">
        <v>502</v>
      </c>
    </row>
    <row r="2297" spans="2:5" x14ac:dyDescent="0.3">
      <c r="B2297" t="s">
        <v>3886</v>
      </c>
      <c r="C2297">
        <v>526947</v>
      </c>
      <c r="D2297" t="s">
        <v>3887</v>
      </c>
      <c r="E2297" t="s">
        <v>1542</v>
      </c>
    </row>
    <row r="2298" spans="2:5" x14ac:dyDescent="0.3">
      <c r="B2298" t="s">
        <v>3888</v>
      </c>
      <c r="C2298">
        <v>505693</v>
      </c>
      <c r="D2298" t="s">
        <v>3889</v>
      </c>
      <c r="E2298" t="s">
        <v>681</v>
      </c>
    </row>
    <row r="2299" spans="2:5" x14ac:dyDescent="0.3">
      <c r="B2299" t="s">
        <v>3890</v>
      </c>
      <c r="C2299">
        <v>524202</v>
      </c>
      <c r="D2299" t="s">
        <v>496</v>
      </c>
      <c r="E2299" t="s">
        <v>576</v>
      </c>
    </row>
    <row r="2300" spans="2:5" x14ac:dyDescent="0.3">
      <c r="B2300" t="s">
        <v>3891</v>
      </c>
      <c r="C2300">
        <v>524202</v>
      </c>
      <c r="D2300" t="s">
        <v>496</v>
      </c>
      <c r="E2300" t="s">
        <v>576</v>
      </c>
    </row>
    <row r="2301" spans="2:5" x14ac:dyDescent="0.3">
      <c r="B2301" t="s">
        <v>3892</v>
      </c>
      <c r="C2301">
        <v>540026</v>
      </c>
      <c r="D2301" t="s">
        <v>496</v>
      </c>
      <c r="E2301" t="s">
        <v>582</v>
      </c>
    </row>
    <row r="2302" spans="2:5" x14ac:dyDescent="0.3">
      <c r="B2302" t="s">
        <v>3893</v>
      </c>
      <c r="C2302">
        <v>530577</v>
      </c>
      <c r="D2302" t="s">
        <v>496</v>
      </c>
      <c r="E2302" t="s">
        <v>513</v>
      </c>
    </row>
    <row r="2303" spans="2:5" x14ac:dyDescent="0.3">
      <c r="B2303" t="s">
        <v>3894</v>
      </c>
      <c r="C2303">
        <v>524522</v>
      </c>
      <c r="D2303" t="s">
        <v>496</v>
      </c>
      <c r="E2303" t="s">
        <v>544</v>
      </c>
    </row>
    <row r="2304" spans="2:5" x14ac:dyDescent="0.3">
      <c r="B2304" t="s">
        <v>3895</v>
      </c>
      <c r="C2304" t="s">
        <v>496</v>
      </c>
      <c r="D2304" t="s">
        <v>3896</v>
      </c>
      <c r="E2304" t="s">
        <v>507</v>
      </c>
    </row>
    <row r="2305" spans="2:5" x14ac:dyDescent="0.3">
      <c r="B2305" t="s">
        <v>3897</v>
      </c>
      <c r="C2305">
        <v>531842</v>
      </c>
      <c r="D2305" t="s">
        <v>496</v>
      </c>
      <c r="E2305" t="s">
        <v>518</v>
      </c>
    </row>
    <row r="2306" spans="2:5" x14ac:dyDescent="0.3">
      <c r="B2306" t="s">
        <v>3898</v>
      </c>
      <c r="C2306">
        <v>535387</v>
      </c>
      <c r="D2306" t="s">
        <v>496</v>
      </c>
      <c r="E2306" t="s">
        <v>511</v>
      </c>
    </row>
    <row r="2307" spans="2:5" x14ac:dyDescent="0.3">
      <c r="B2307" t="s">
        <v>3899</v>
      </c>
      <c r="C2307">
        <v>535387</v>
      </c>
      <c r="D2307" t="s">
        <v>496</v>
      </c>
      <c r="E2307" t="s">
        <v>511</v>
      </c>
    </row>
    <row r="2308" spans="2:5" x14ac:dyDescent="0.3">
      <c r="B2308" t="s">
        <v>3900</v>
      </c>
      <c r="C2308">
        <v>505302</v>
      </c>
      <c r="D2308" t="s">
        <v>496</v>
      </c>
      <c r="E2308" t="s">
        <v>504</v>
      </c>
    </row>
    <row r="2309" spans="2:5" x14ac:dyDescent="0.3">
      <c r="B2309" t="s">
        <v>3901</v>
      </c>
      <c r="C2309">
        <v>504258</v>
      </c>
      <c r="D2309" t="s">
        <v>496</v>
      </c>
      <c r="E2309" t="s">
        <v>794</v>
      </c>
    </row>
    <row r="2310" spans="2:5" x14ac:dyDescent="0.3">
      <c r="B2310" t="s">
        <v>3902</v>
      </c>
      <c r="C2310" t="s">
        <v>496</v>
      </c>
      <c r="D2310" t="s">
        <v>3903</v>
      </c>
      <c r="E2310" t="s">
        <v>587</v>
      </c>
    </row>
    <row r="2311" spans="2:5" x14ac:dyDescent="0.3">
      <c r="B2311" t="s">
        <v>3904</v>
      </c>
      <c r="C2311">
        <v>500252</v>
      </c>
      <c r="D2311" t="s">
        <v>3905</v>
      </c>
      <c r="E2311" t="s">
        <v>504</v>
      </c>
    </row>
    <row r="2312" spans="2:5" x14ac:dyDescent="0.3">
      <c r="B2312" t="s">
        <v>3906</v>
      </c>
      <c r="C2312">
        <v>502958</v>
      </c>
      <c r="D2312" t="s">
        <v>496</v>
      </c>
      <c r="E2312" t="s">
        <v>511</v>
      </c>
    </row>
    <row r="2313" spans="2:5" x14ac:dyDescent="0.3">
      <c r="B2313" t="s">
        <v>3907</v>
      </c>
      <c r="C2313">
        <v>506079</v>
      </c>
      <c r="D2313" t="s">
        <v>3908</v>
      </c>
      <c r="E2313" t="s">
        <v>819</v>
      </c>
    </row>
    <row r="2314" spans="2:5" x14ac:dyDescent="0.3">
      <c r="B2314" t="s">
        <v>3909</v>
      </c>
      <c r="C2314">
        <v>534690</v>
      </c>
      <c r="D2314" t="s">
        <v>3910</v>
      </c>
      <c r="E2314" t="s">
        <v>814</v>
      </c>
    </row>
    <row r="2315" spans="2:5" x14ac:dyDescent="0.3">
      <c r="B2315" t="s">
        <v>3911</v>
      </c>
      <c r="C2315">
        <v>590075</v>
      </c>
      <c r="D2315" t="s">
        <v>3912</v>
      </c>
      <c r="E2315" t="s">
        <v>511</v>
      </c>
    </row>
    <row r="2316" spans="2:5" x14ac:dyDescent="0.3">
      <c r="B2316" t="s">
        <v>3913</v>
      </c>
      <c r="C2316">
        <v>539841</v>
      </c>
      <c r="D2316" t="s">
        <v>496</v>
      </c>
      <c r="E2316" t="s">
        <v>817</v>
      </c>
    </row>
    <row r="2317" spans="2:5" x14ac:dyDescent="0.3">
      <c r="B2317" t="s">
        <v>3914</v>
      </c>
      <c r="C2317">
        <v>509048</v>
      </c>
      <c r="D2317" t="s">
        <v>496</v>
      </c>
      <c r="E2317" t="s">
        <v>582</v>
      </c>
    </row>
    <row r="2318" spans="2:5" x14ac:dyDescent="0.3">
      <c r="B2318" t="s">
        <v>3915</v>
      </c>
      <c r="C2318">
        <v>532275</v>
      </c>
      <c r="D2318" t="s">
        <v>496</v>
      </c>
      <c r="E2318" t="s">
        <v>513</v>
      </c>
    </row>
    <row r="2319" spans="2:5" x14ac:dyDescent="0.3">
      <c r="B2319" t="s">
        <v>3916</v>
      </c>
      <c r="C2319">
        <v>533012</v>
      </c>
      <c r="D2319" t="s">
        <v>3917</v>
      </c>
      <c r="E2319" t="s">
        <v>582</v>
      </c>
    </row>
    <row r="2320" spans="2:5" x14ac:dyDescent="0.3">
      <c r="B2320" t="s">
        <v>3918</v>
      </c>
      <c r="C2320">
        <v>540005</v>
      </c>
      <c r="D2320" t="s">
        <v>3919</v>
      </c>
      <c r="E2320" t="s">
        <v>482</v>
      </c>
    </row>
    <row r="2321" spans="2:5" x14ac:dyDescent="0.3">
      <c r="B2321" t="s">
        <v>3920</v>
      </c>
      <c r="C2321">
        <v>500510</v>
      </c>
      <c r="D2321" t="s">
        <v>3921</v>
      </c>
      <c r="E2321" t="s">
        <v>894</v>
      </c>
    </row>
    <row r="2322" spans="2:5" x14ac:dyDescent="0.3">
      <c r="B2322" t="s">
        <v>3922</v>
      </c>
      <c r="C2322">
        <v>540702</v>
      </c>
      <c r="D2322" t="s">
        <v>3923</v>
      </c>
      <c r="E2322" t="s">
        <v>685</v>
      </c>
    </row>
    <row r="2323" spans="2:5" x14ac:dyDescent="0.3">
      <c r="B2323" t="s">
        <v>3924</v>
      </c>
      <c r="C2323">
        <v>531164</v>
      </c>
      <c r="D2323" t="s">
        <v>496</v>
      </c>
      <c r="E2323" t="s">
        <v>610</v>
      </c>
    </row>
    <row r="2324" spans="2:5" x14ac:dyDescent="0.3">
      <c r="B2324" t="s">
        <v>3925</v>
      </c>
      <c r="C2324">
        <v>539909</v>
      </c>
      <c r="D2324" t="s">
        <v>496</v>
      </c>
      <c r="E2324" t="s">
        <v>513</v>
      </c>
    </row>
    <row r="2325" spans="2:5" x14ac:dyDescent="0.3">
      <c r="B2325" t="s">
        <v>3926</v>
      </c>
      <c r="C2325" t="s">
        <v>496</v>
      </c>
      <c r="D2325" t="s">
        <v>3927</v>
      </c>
      <c r="E2325" t="s">
        <v>507</v>
      </c>
    </row>
    <row r="2326" spans="2:5" x14ac:dyDescent="0.3">
      <c r="B2326" t="s">
        <v>3928</v>
      </c>
      <c r="C2326">
        <v>540222</v>
      </c>
      <c r="D2326" t="s">
        <v>3929</v>
      </c>
      <c r="E2326" t="s">
        <v>534</v>
      </c>
    </row>
    <row r="2327" spans="2:5" x14ac:dyDescent="0.3">
      <c r="B2327" t="s">
        <v>3930</v>
      </c>
      <c r="C2327">
        <v>532829</v>
      </c>
      <c r="D2327" t="s">
        <v>496</v>
      </c>
      <c r="E2327" t="s">
        <v>922</v>
      </c>
    </row>
    <row r="2328" spans="2:5" x14ac:dyDescent="0.3">
      <c r="B2328" t="s">
        <v>3931</v>
      </c>
      <c r="C2328" t="s">
        <v>496</v>
      </c>
      <c r="D2328" t="s">
        <v>3932</v>
      </c>
      <c r="E2328" t="s">
        <v>507</v>
      </c>
    </row>
    <row r="2329" spans="2:5" x14ac:dyDescent="0.3">
      <c r="B2329" t="s">
        <v>3933</v>
      </c>
      <c r="C2329">
        <v>531288</v>
      </c>
      <c r="D2329" t="s">
        <v>496</v>
      </c>
      <c r="E2329" t="s">
        <v>513</v>
      </c>
    </row>
    <row r="2330" spans="2:5" x14ac:dyDescent="0.3">
      <c r="B2330" t="s">
        <v>3934</v>
      </c>
      <c r="C2330">
        <v>540360</v>
      </c>
      <c r="D2330" t="s">
        <v>496</v>
      </c>
      <c r="E2330" t="s">
        <v>479</v>
      </c>
    </row>
    <row r="2331" spans="2:5" x14ac:dyDescent="0.3">
      <c r="B2331" t="s">
        <v>3935</v>
      </c>
      <c r="C2331">
        <v>508306</v>
      </c>
      <c r="D2331" t="s">
        <v>496</v>
      </c>
      <c r="E2331" t="s">
        <v>903</v>
      </c>
    </row>
    <row r="2332" spans="2:5" x14ac:dyDescent="0.3">
      <c r="B2332" t="s">
        <v>3936</v>
      </c>
      <c r="C2332">
        <v>517415</v>
      </c>
      <c r="D2332" t="s">
        <v>496</v>
      </c>
      <c r="E2332" t="s">
        <v>826</v>
      </c>
    </row>
    <row r="2333" spans="2:5" x14ac:dyDescent="0.3">
      <c r="B2333" t="s">
        <v>3937</v>
      </c>
      <c r="C2333">
        <v>517518</v>
      </c>
      <c r="D2333" t="s">
        <v>3938</v>
      </c>
      <c r="E2333" t="s">
        <v>504</v>
      </c>
    </row>
    <row r="2334" spans="2:5" x14ac:dyDescent="0.3">
      <c r="B2334" t="s">
        <v>3939</v>
      </c>
      <c r="C2334">
        <v>509046</v>
      </c>
      <c r="D2334" t="s">
        <v>496</v>
      </c>
      <c r="E2334" t="s">
        <v>917</v>
      </c>
    </row>
    <row r="2335" spans="2:5" x14ac:dyDescent="0.3">
      <c r="B2335" t="s">
        <v>3940</v>
      </c>
      <c r="C2335">
        <v>780021</v>
      </c>
      <c r="D2335" t="s">
        <v>496</v>
      </c>
      <c r="E2335" t="s">
        <v>587</v>
      </c>
    </row>
    <row r="2336" spans="2:5" x14ac:dyDescent="0.3">
      <c r="B2336" t="s">
        <v>3941</v>
      </c>
      <c r="C2336">
        <v>541233</v>
      </c>
      <c r="D2336" t="s">
        <v>3942</v>
      </c>
      <c r="E2336" t="s">
        <v>697</v>
      </c>
    </row>
    <row r="2337" spans="2:5" x14ac:dyDescent="0.3">
      <c r="B2337" t="s">
        <v>3943</v>
      </c>
      <c r="C2337">
        <v>533602</v>
      </c>
      <c r="D2337" t="s">
        <v>496</v>
      </c>
      <c r="E2337" t="s">
        <v>516</v>
      </c>
    </row>
    <row r="2338" spans="2:5" x14ac:dyDescent="0.3">
      <c r="B2338" t="s">
        <v>3944</v>
      </c>
      <c r="C2338">
        <v>541196</v>
      </c>
      <c r="D2338" t="s">
        <v>496</v>
      </c>
      <c r="E2338" t="s">
        <v>580</v>
      </c>
    </row>
    <row r="2339" spans="2:5" x14ac:dyDescent="0.3">
      <c r="B2339" t="s">
        <v>3945</v>
      </c>
      <c r="C2339" t="s">
        <v>496</v>
      </c>
      <c r="D2339" t="s">
        <v>3946</v>
      </c>
      <c r="E2339" t="s">
        <v>507</v>
      </c>
    </row>
    <row r="2340" spans="2:5" x14ac:dyDescent="0.3">
      <c r="B2340" t="s">
        <v>3947</v>
      </c>
      <c r="C2340" t="s">
        <v>496</v>
      </c>
      <c r="D2340" t="s">
        <v>3946</v>
      </c>
      <c r="E2340" t="s">
        <v>507</v>
      </c>
    </row>
    <row r="2341" spans="2:5" x14ac:dyDescent="0.3">
      <c r="B2341" t="s">
        <v>3948</v>
      </c>
      <c r="C2341">
        <v>500250</v>
      </c>
      <c r="D2341" t="s">
        <v>3949</v>
      </c>
      <c r="E2341" t="s">
        <v>851</v>
      </c>
    </row>
    <row r="2342" spans="2:5" x14ac:dyDescent="0.3">
      <c r="B2342" t="s">
        <v>3950</v>
      </c>
      <c r="C2342">
        <v>533007</v>
      </c>
      <c r="D2342" t="s">
        <v>3951</v>
      </c>
      <c r="E2342" t="s">
        <v>1416</v>
      </c>
    </row>
    <row r="2343" spans="2:5" x14ac:dyDescent="0.3">
      <c r="B2343" t="s">
        <v>3952</v>
      </c>
      <c r="C2343" t="s">
        <v>496</v>
      </c>
      <c r="D2343" t="s">
        <v>3953</v>
      </c>
      <c r="E2343" t="s">
        <v>507</v>
      </c>
    </row>
    <row r="2344" spans="2:5" x14ac:dyDescent="0.3">
      <c r="B2344" t="s">
        <v>3954</v>
      </c>
      <c r="C2344">
        <v>526596</v>
      </c>
      <c r="D2344" t="s">
        <v>3955</v>
      </c>
      <c r="E2344" t="s">
        <v>922</v>
      </c>
    </row>
    <row r="2345" spans="2:5" x14ac:dyDescent="0.3">
      <c r="B2345" t="s">
        <v>3956</v>
      </c>
      <c r="C2345">
        <v>511593</v>
      </c>
      <c r="D2345" t="s">
        <v>496</v>
      </c>
      <c r="E2345" t="s">
        <v>513</v>
      </c>
    </row>
    <row r="2346" spans="2:5" x14ac:dyDescent="0.3">
      <c r="B2346" t="s">
        <v>3957</v>
      </c>
      <c r="C2346">
        <v>531027</v>
      </c>
      <c r="D2346" t="s">
        <v>496</v>
      </c>
      <c r="E2346" t="s">
        <v>479</v>
      </c>
    </row>
    <row r="2347" spans="2:5" x14ac:dyDescent="0.3">
      <c r="B2347" t="s">
        <v>3958</v>
      </c>
      <c r="C2347">
        <v>500253</v>
      </c>
      <c r="D2347" t="s">
        <v>3959</v>
      </c>
      <c r="E2347" t="s">
        <v>554</v>
      </c>
    </row>
    <row r="2348" spans="2:5" x14ac:dyDescent="0.3">
      <c r="B2348" t="s">
        <v>3960</v>
      </c>
      <c r="C2348">
        <v>539927</v>
      </c>
      <c r="D2348" t="s">
        <v>496</v>
      </c>
      <c r="E2348" t="s">
        <v>580</v>
      </c>
    </row>
    <row r="2349" spans="2:5" x14ac:dyDescent="0.3">
      <c r="B2349" t="s">
        <v>3961</v>
      </c>
      <c r="C2349">
        <v>507759</v>
      </c>
      <c r="D2349" t="s">
        <v>496</v>
      </c>
      <c r="E2349" t="s">
        <v>544</v>
      </c>
    </row>
    <row r="2350" spans="2:5" x14ac:dyDescent="0.3">
      <c r="B2350" t="s">
        <v>3962</v>
      </c>
      <c r="C2350">
        <v>517463</v>
      </c>
      <c r="D2350" t="s">
        <v>3963</v>
      </c>
      <c r="E2350" t="s">
        <v>1038</v>
      </c>
    </row>
    <row r="2351" spans="2:5" x14ac:dyDescent="0.3">
      <c r="B2351" t="s">
        <v>3964</v>
      </c>
      <c r="C2351">
        <v>531241</v>
      </c>
      <c r="D2351" t="s">
        <v>3965</v>
      </c>
      <c r="E2351" t="s">
        <v>1042</v>
      </c>
    </row>
    <row r="2352" spans="2:5" x14ac:dyDescent="0.3">
      <c r="B2352" t="s">
        <v>3966</v>
      </c>
      <c r="C2352">
        <v>531633</v>
      </c>
      <c r="D2352" t="s">
        <v>3967</v>
      </c>
      <c r="E2352" t="s">
        <v>534</v>
      </c>
    </row>
    <row r="2353" spans="2:5" x14ac:dyDescent="0.3">
      <c r="B2353" t="s">
        <v>3968</v>
      </c>
      <c r="C2353">
        <v>523457</v>
      </c>
      <c r="D2353" t="s">
        <v>3969</v>
      </c>
      <c r="E2353" t="s">
        <v>1532</v>
      </c>
    </row>
    <row r="2354" spans="2:5" x14ac:dyDescent="0.3">
      <c r="B2354" t="s">
        <v>3970</v>
      </c>
      <c r="C2354">
        <v>523457</v>
      </c>
      <c r="D2354" t="s">
        <v>3971</v>
      </c>
      <c r="E2354" t="s">
        <v>1532</v>
      </c>
    </row>
    <row r="2355" spans="2:5" x14ac:dyDescent="0.3">
      <c r="B2355" t="s">
        <v>3972</v>
      </c>
      <c r="C2355">
        <v>524748</v>
      </c>
      <c r="D2355" t="s">
        <v>496</v>
      </c>
      <c r="E2355" t="s">
        <v>544</v>
      </c>
    </row>
    <row r="2356" spans="2:5" x14ac:dyDescent="0.3">
      <c r="B2356" t="s">
        <v>3973</v>
      </c>
      <c r="C2356">
        <v>526604</v>
      </c>
      <c r="D2356" t="s">
        <v>496</v>
      </c>
      <c r="E2356" t="s">
        <v>504</v>
      </c>
    </row>
    <row r="2357" spans="2:5" x14ac:dyDescent="0.3">
      <c r="B2357" t="s">
        <v>3974</v>
      </c>
      <c r="C2357">
        <v>507912</v>
      </c>
      <c r="D2357" t="s">
        <v>496</v>
      </c>
      <c r="E2357" t="s">
        <v>479</v>
      </c>
    </row>
    <row r="2358" spans="2:5" x14ac:dyDescent="0.3">
      <c r="B2358" t="s">
        <v>3975</v>
      </c>
      <c r="C2358">
        <v>540192</v>
      </c>
      <c r="D2358" t="s">
        <v>496</v>
      </c>
      <c r="E2358" t="s">
        <v>479</v>
      </c>
    </row>
    <row r="2359" spans="2:5" x14ac:dyDescent="0.3">
      <c r="B2359" t="s">
        <v>3976</v>
      </c>
      <c r="C2359">
        <v>512455</v>
      </c>
      <c r="D2359" t="s">
        <v>496</v>
      </c>
      <c r="E2359" t="s">
        <v>528</v>
      </c>
    </row>
    <row r="2360" spans="2:5" x14ac:dyDescent="0.3">
      <c r="B2360" t="s">
        <v>3977</v>
      </c>
      <c r="C2360">
        <v>539992</v>
      </c>
      <c r="D2360" t="s">
        <v>3978</v>
      </c>
      <c r="E2360" t="s">
        <v>504</v>
      </c>
    </row>
    <row r="2361" spans="2:5" x14ac:dyDescent="0.3">
      <c r="B2361" t="s">
        <v>3979</v>
      </c>
      <c r="C2361">
        <v>590082</v>
      </c>
      <c r="D2361" t="s">
        <v>496</v>
      </c>
      <c r="E2361" t="s">
        <v>479</v>
      </c>
    </row>
    <row r="2362" spans="2:5" x14ac:dyDescent="0.3">
      <c r="B2362" t="s">
        <v>3980</v>
      </c>
      <c r="C2362">
        <v>532740</v>
      </c>
      <c r="D2362" t="s">
        <v>3981</v>
      </c>
      <c r="E2362" t="s">
        <v>504</v>
      </c>
    </row>
    <row r="2363" spans="2:5" x14ac:dyDescent="0.3">
      <c r="B2363" t="s">
        <v>3982</v>
      </c>
      <c r="C2363">
        <v>526568</v>
      </c>
      <c r="D2363" t="s">
        <v>496</v>
      </c>
      <c r="E2363" t="s">
        <v>903</v>
      </c>
    </row>
    <row r="2364" spans="2:5" x14ac:dyDescent="0.3">
      <c r="B2364" t="s">
        <v>3983</v>
      </c>
      <c r="C2364">
        <v>534422</v>
      </c>
      <c r="D2364" t="s">
        <v>496</v>
      </c>
      <c r="E2364" t="s">
        <v>966</v>
      </c>
    </row>
    <row r="2365" spans="2:5" x14ac:dyDescent="0.3">
      <c r="B2365" t="s">
        <v>3984</v>
      </c>
      <c r="C2365">
        <v>500284</v>
      </c>
      <c r="D2365" t="s">
        <v>496</v>
      </c>
      <c r="E2365" t="s">
        <v>544</v>
      </c>
    </row>
    <row r="2366" spans="2:5" x14ac:dyDescent="0.3">
      <c r="B2366" t="s">
        <v>3985</v>
      </c>
      <c r="C2366">
        <v>530065</v>
      </c>
      <c r="D2366" t="s">
        <v>496</v>
      </c>
      <c r="E2366" t="s">
        <v>697</v>
      </c>
    </row>
    <row r="2367" spans="2:5" x14ac:dyDescent="0.3">
      <c r="B2367" t="s">
        <v>3986</v>
      </c>
      <c r="C2367">
        <v>540952</v>
      </c>
      <c r="D2367" t="s">
        <v>496</v>
      </c>
      <c r="E2367" t="s">
        <v>610</v>
      </c>
    </row>
    <row r="2368" spans="2:5" x14ac:dyDescent="0.3">
      <c r="B2368" t="s">
        <v>3987</v>
      </c>
      <c r="C2368">
        <v>523475</v>
      </c>
      <c r="D2368" t="s">
        <v>496</v>
      </c>
      <c r="E2368" t="s">
        <v>556</v>
      </c>
    </row>
    <row r="2369" spans="2:5" x14ac:dyDescent="0.3">
      <c r="B2369" t="s">
        <v>3988</v>
      </c>
      <c r="C2369">
        <v>532998</v>
      </c>
      <c r="D2369" t="s">
        <v>3989</v>
      </c>
      <c r="E2369" t="s">
        <v>966</v>
      </c>
    </row>
    <row r="2370" spans="2:5" x14ac:dyDescent="0.3">
      <c r="B2370" t="s">
        <v>3990</v>
      </c>
      <c r="C2370">
        <v>533343</v>
      </c>
      <c r="D2370" t="s">
        <v>3991</v>
      </c>
      <c r="E2370" t="s">
        <v>610</v>
      </c>
    </row>
    <row r="2371" spans="2:5" x14ac:dyDescent="0.3">
      <c r="B2371" t="s">
        <v>3992</v>
      </c>
      <c r="C2371">
        <v>539227</v>
      </c>
      <c r="D2371" t="s">
        <v>496</v>
      </c>
      <c r="E2371" t="s">
        <v>504</v>
      </c>
    </row>
    <row r="2372" spans="2:5" x14ac:dyDescent="0.3">
      <c r="B2372" t="s">
        <v>3993</v>
      </c>
      <c r="C2372">
        <v>514036</v>
      </c>
      <c r="D2372" t="s">
        <v>496</v>
      </c>
      <c r="E2372" t="s">
        <v>511</v>
      </c>
    </row>
    <row r="2373" spans="2:5" x14ac:dyDescent="0.3">
      <c r="B2373" t="s">
        <v>3994</v>
      </c>
      <c r="C2373">
        <v>532783</v>
      </c>
      <c r="D2373" t="s">
        <v>3995</v>
      </c>
      <c r="E2373" t="s">
        <v>556</v>
      </c>
    </row>
    <row r="2374" spans="2:5" x14ac:dyDescent="0.3">
      <c r="B2374" t="s">
        <v>3996</v>
      </c>
      <c r="C2374">
        <v>526179</v>
      </c>
      <c r="D2374" t="s">
        <v>496</v>
      </c>
      <c r="E2374" t="s">
        <v>733</v>
      </c>
    </row>
    <row r="2375" spans="2:5" x14ac:dyDescent="0.3">
      <c r="B2375" t="s">
        <v>3997</v>
      </c>
      <c r="C2375">
        <v>512048</v>
      </c>
      <c r="D2375" t="s">
        <v>496</v>
      </c>
      <c r="E2375" t="s">
        <v>582</v>
      </c>
    </row>
    <row r="2376" spans="2:5" x14ac:dyDescent="0.3">
      <c r="B2376" t="s">
        <v>3998</v>
      </c>
      <c r="C2376">
        <v>532796</v>
      </c>
      <c r="D2376" t="s">
        <v>3999</v>
      </c>
      <c r="E2376" t="s">
        <v>851</v>
      </c>
    </row>
    <row r="2377" spans="2:5" x14ac:dyDescent="0.3">
      <c r="B2377" t="s">
        <v>4000</v>
      </c>
      <c r="C2377">
        <v>517206</v>
      </c>
      <c r="D2377" t="s">
        <v>4001</v>
      </c>
      <c r="E2377" t="s">
        <v>851</v>
      </c>
    </row>
    <row r="2378" spans="2:5" x14ac:dyDescent="0.3">
      <c r="B2378" t="s">
        <v>4002</v>
      </c>
      <c r="C2378">
        <v>500257</v>
      </c>
      <c r="D2378" t="s">
        <v>4003</v>
      </c>
      <c r="E2378" t="s">
        <v>534</v>
      </c>
    </row>
    <row r="2379" spans="2:5" x14ac:dyDescent="0.3">
      <c r="B2379" t="s">
        <v>4004</v>
      </c>
      <c r="C2379">
        <v>539542</v>
      </c>
      <c r="D2379" t="s">
        <v>4005</v>
      </c>
      <c r="E2379" t="s">
        <v>610</v>
      </c>
    </row>
    <row r="2380" spans="2:5" x14ac:dyDescent="0.3">
      <c r="B2380" t="s">
        <v>4006</v>
      </c>
      <c r="C2380">
        <v>531402</v>
      </c>
      <c r="D2380" t="s">
        <v>496</v>
      </c>
      <c r="E2380" t="s">
        <v>518</v>
      </c>
    </row>
    <row r="2381" spans="2:5" x14ac:dyDescent="0.3">
      <c r="B2381" t="s">
        <v>4007</v>
      </c>
      <c r="C2381">
        <v>500259</v>
      </c>
      <c r="D2381" t="s">
        <v>4008</v>
      </c>
      <c r="E2381" t="s">
        <v>534</v>
      </c>
    </row>
    <row r="2382" spans="2:5" x14ac:dyDescent="0.3">
      <c r="B2382" t="s">
        <v>4009</v>
      </c>
      <c r="C2382">
        <v>530689</v>
      </c>
      <c r="D2382" t="s">
        <v>496</v>
      </c>
      <c r="E2382" t="s">
        <v>678</v>
      </c>
    </row>
    <row r="2383" spans="2:5" x14ac:dyDescent="0.3">
      <c r="B2383" t="s">
        <v>4010</v>
      </c>
      <c r="C2383">
        <v>505320</v>
      </c>
      <c r="D2383" t="s">
        <v>496</v>
      </c>
      <c r="E2383" t="s">
        <v>504</v>
      </c>
    </row>
    <row r="2384" spans="2:5" x14ac:dyDescent="0.3">
      <c r="B2384" t="s">
        <v>4011</v>
      </c>
      <c r="C2384">
        <v>534532</v>
      </c>
      <c r="D2384" t="s">
        <v>4012</v>
      </c>
      <c r="E2384" t="s">
        <v>610</v>
      </c>
    </row>
    <row r="2385" spans="2:5" x14ac:dyDescent="0.3">
      <c r="B2385" t="s">
        <v>4013</v>
      </c>
      <c r="C2385">
        <v>526935</v>
      </c>
      <c r="D2385" t="s">
        <v>496</v>
      </c>
      <c r="E2385" t="s">
        <v>479</v>
      </c>
    </row>
    <row r="2386" spans="2:5" x14ac:dyDescent="0.3">
      <c r="B2386" t="s">
        <v>4014</v>
      </c>
      <c r="C2386">
        <v>538890</v>
      </c>
      <c r="D2386" t="s">
        <v>496</v>
      </c>
      <c r="E2386" t="s">
        <v>511</v>
      </c>
    </row>
    <row r="2387" spans="2:5" x14ac:dyDescent="0.3">
      <c r="B2387" t="s">
        <v>4015</v>
      </c>
      <c r="C2387">
        <v>538890</v>
      </c>
      <c r="D2387" t="s">
        <v>496</v>
      </c>
      <c r="E2387" t="s">
        <v>511</v>
      </c>
    </row>
    <row r="2388" spans="2:5" x14ac:dyDescent="0.3">
      <c r="B2388" t="s">
        <v>4016</v>
      </c>
      <c r="C2388" t="s">
        <v>496</v>
      </c>
      <c r="D2388" t="s">
        <v>4017</v>
      </c>
      <c r="E2388" t="s">
        <v>507</v>
      </c>
    </row>
    <row r="2389" spans="2:5" x14ac:dyDescent="0.3">
      <c r="B2389" t="s">
        <v>4018</v>
      </c>
      <c r="C2389">
        <v>506543</v>
      </c>
      <c r="D2389" t="s">
        <v>496</v>
      </c>
      <c r="E2389" t="s">
        <v>1004</v>
      </c>
    </row>
    <row r="2390" spans="2:5" x14ac:dyDescent="0.3">
      <c r="B2390" t="s">
        <v>4019</v>
      </c>
      <c r="C2390">
        <v>532906</v>
      </c>
      <c r="D2390" t="s">
        <v>4020</v>
      </c>
      <c r="E2390" t="s">
        <v>894</v>
      </c>
    </row>
    <row r="2391" spans="2:5" x14ac:dyDescent="0.3">
      <c r="B2391" t="s">
        <v>4021</v>
      </c>
      <c r="C2391">
        <v>507836</v>
      </c>
      <c r="D2391" t="s">
        <v>496</v>
      </c>
      <c r="E2391" t="s">
        <v>697</v>
      </c>
    </row>
    <row r="2392" spans="2:5" x14ac:dyDescent="0.3">
      <c r="B2392" t="s">
        <v>4022</v>
      </c>
      <c r="C2392">
        <v>507836</v>
      </c>
      <c r="D2392" t="s">
        <v>496</v>
      </c>
      <c r="E2392" t="s">
        <v>697</v>
      </c>
    </row>
    <row r="2393" spans="2:5" x14ac:dyDescent="0.3">
      <c r="B2393" t="s">
        <v>4023</v>
      </c>
      <c r="C2393">
        <v>541973</v>
      </c>
      <c r="D2393" t="s">
        <v>496</v>
      </c>
      <c r="E2393" t="s">
        <v>697</v>
      </c>
    </row>
    <row r="2394" spans="2:5" x14ac:dyDescent="0.3">
      <c r="B2394" t="s">
        <v>4024</v>
      </c>
      <c r="C2394">
        <v>523248</v>
      </c>
      <c r="D2394" t="s">
        <v>496</v>
      </c>
      <c r="E2394" t="s">
        <v>616</v>
      </c>
    </row>
    <row r="2395" spans="2:5" x14ac:dyDescent="0.3">
      <c r="B2395" t="s">
        <v>4025</v>
      </c>
      <c r="C2395">
        <v>501471</v>
      </c>
      <c r="D2395" t="s">
        <v>496</v>
      </c>
      <c r="E2395" t="s">
        <v>518</v>
      </c>
    </row>
    <row r="2396" spans="2:5" x14ac:dyDescent="0.3">
      <c r="B2396" t="s">
        <v>4026</v>
      </c>
      <c r="C2396" t="s">
        <v>496</v>
      </c>
      <c r="D2396" t="s">
        <v>4027</v>
      </c>
      <c r="E2396" t="s">
        <v>507</v>
      </c>
    </row>
    <row r="2397" spans="2:5" x14ac:dyDescent="0.3">
      <c r="B2397" t="s">
        <v>4028</v>
      </c>
      <c r="C2397">
        <v>512600</v>
      </c>
      <c r="D2397" t="s">
        <v>496</v>
      </c>
      <c r="E2397" t="s">
        <v>518</v>
      </c>
    </row>
    <row r="2398" spans="2:5" x14ac:dyDescent="0.3">
      <c r="B2398" t="s">
        <v>4029</v>
      </c>
      <c r="C2398" t="s">
        <v>496</v>
      </c>
      <c r="D2398" t="s">
        <v>4030</v>
      </c>
      <c r="E2398" t="s">
        <v>507</v>
      </c>
    </row>
    <row r="2399" spans="2:5" x14ac:dyDescent="0.3">
      <c r="B2399" t="s">
        <v>4031</v>
      </c>
      <c r="C2399">
        <v>539894</v>
      </c>
      <c r="D2399" t="s">
        <v>496</v>
      </c>
      <c r="E2399" t="s">
        <v>894</v>
      </c>
    </row>
    <row r="2400" spans="2:5" x14ac:dyDescent="0.3">
      <c r="B2400" t="s">
        <v>4032</v>
      </c>
      <c r="C2400">
        <v>515093</v>
      </c>
      <c r="D2400" t="s">
        <v>4033</v>
      </c>
      <c r="E2400" t="s">
        <v>1024</v>
      </c>
    </row>
    <row r="2401" spans="2:5" x14ac:dyDescent="0.3">
      <c r="B2401" t="s">
        <v>4034</v>
      </c>
      <c r="C2401">
        <v>780009</v>
      </c>
      <c r="D2401" t="s">
        <v>496</v>
      </c>
      <c r="E2401" t="s">
        <v>587</v>
      </c>
    </row>
    <row r="2402" spans="2:5" x14ac:dyDescent="0.3">
      <c r="B2402" t="s">
        <v>4035</v>
      </c>
      <c r="C2402">
        <v>531497</v>
      </c>
      <c r="D2402" t="s">
        <v>4036</v>
      </c>
      <c r="E2402" t="s">
        <v>894</v>
      </c>
    </row>
    <row r="2403" spans="2:5" x14ac:dyDescent="0.3">
      <c r="B2403" t="s">
        <v>4037</v>
      </c>
      <c r="C2403">
        <v>519279</v>
      </c>
      <c r="D2403" t="s">
        <v>496</v>
      </c>
      <c r="E2403" t="s">
        <v>694</v>
      </c>
    </row>
    <row r="2404" spans="2:5" x14ac:dyDescent="0.3">
      <c r="B2404" t="s">
        <v>4038</v>
      </c>
      <c r="C2404">
        <v>515059</v>
      </c>
      <c r="D2404" t="s">
        <v>496</v>
      </c>
      <c r="E2404" t="s">
        <v>745</v>
      </c>
    </row>
    <row r="2405" spans="2:5" x14ac:dyDescent="0.3">
      <c r="B2405" t="s">
        <v>4039</v>
      </c>
      <c r="C2405">
        <v>511000</v>
      </c>
      <c r="D2405" t="s">
        <v>496</v>
      </c>
      <c r="E2405" t="s">
        <v>513</v>
      </c>
    </row>
    <row r="2406" spans="2:5" x14ac:dyDescent="0.3">
      <c r="B2406" t="s">
        <v>4040</v>
      </c>
      <c r="C2406">
        <v>531910</v>
      </c>
      <c r="D2406" t="s">
        <v>496</v>
      </c>
      <c r="E2406" t="s">
        <v>534</v>
      </c>
    </row>
    <row r="2407" spans="2:5" x14ac:dyDescent="0.3">
      <c r="B2407" t="s">
        <v>4041</v>
      </c>
      <c r="C2407" t="s">
        <v>496</v>
      </c>
      <c r="D2407" t="s">
        <v>4042</v>
      </c>
      <c r="E2407" t="s">
        <v>507</v>
      </c>
    </row>
    <row r="2408" spans="2:5" x14ac:dyDescent="0.3">
      <c r="B2408" t="s">
        <v>4043</v>
      </c>
      <c r="C2408" t="s">
        <v>496</v>
      </c>
      <c r="D2408" t="s">
        <v>4044</v>
      </c>
      <c r="E2408" t="s">
        <v>507</v>
      </c>
    </row>
    <row r="2409" spans="2:5" x14ac:dyDescent="0.3">
      <c r="B2409" t="s">
        <v>4045</v>
      </c>
      <c r="C2409">
        <v>590134</v>
      </c>
      <c r="D2409" t="s">
        <v>4046</v>
      </c>
      <c r="E2409" t="s">
        <v>1004</v>
      </c>
    </row>
    <row r="2410" spans="2:5" x14ac:dyDescent="0.3">
      <c r="B2410" t="s">
        <v>4047</v>
      </c>
      <c r="C2410">
        <v>538401</v>
      </c>
      <c r="D2410" t="s">
        <v>496</v>
      </c>
      <c r="E2410" t="s">
        <v>1038</v>
      </c>
    </row>
    <row r="2411" spans="2:5" x14ac:dyDescent="0.3">
      <c r="B2411" t="s">
        <v>4048</v>
      </c>
      <c r="C2411">
        <v>500264</v>
      </c>
      <c r="D2411" t="s">
        <v>496</v>
      </c>
      <c r="E2411" t="s">
        <v>511</v>
      </c>
    </row>
    <row r="2412" spans="2:5" x14ac:dyDescent="0.3">
      <c r="B2412" t="s">
        <v>4049</v>
      </c>
      <c r="C2412">
        <v>540650</v>
      </c>
      <c r="D2412" t="s">
        <v>4050</v>
      </c>
      <c r="E2412" t="s">
        <v>1195</v>
      </c>
    </row>
    <row r="2413" spans="2:5" x14ac:dyDescent="0.3">
      <c r="B2413" t="s">
        <v>4051</v>
      </c>
      <c r="C2413">
        <v>524000</v>
      </c>
      <c r="D2413" t="s">
        <v>4052</v>
      </c>
      <c r="E2413" t="s">
        <v>513</v>
      </c>
    </row>
    <row r="2414" spans="2:5" x14ac:dyDescent="0.3">
      <c r="B2414" t="s">
        <v>4053</v>
      </c>
      <c r="C2414">
        <v>517449</v>
      </c>
      <c r="D2414" t="s">
        <v>496</v>
      </c>
      <c r="E2414" t="s">
        <v>1416</v>
      </c>
    </row>
    <row r="2415" spans="2:5" x14ac:dyDescent="0.3">
      <c r="B2415" t="s">
        <v>4054</v>
      </c>
      <c r="C2415">
        <v>512377</v>
      </c>
      <c r="D2415" t="s">
        <v>496</v>
      </c>
      <c r="E2415" t="s">
        <v>917</v>
      </c>
    </row>
    <row r="2416" spans="2:5" x14ac:dyDescent="0.3">
      <c r="B2416" t="s">
        <v>4055</v>
      </c>
      <c r="C2416">
        <v>532896</v>
      </c>
      <c r="D2416" t="s">
        <v>4056</v>
      </c>
      <c r="E2416" t="s">
        <v>490</v>
      </c>
    </row>
    <row r="2417" spans="2:5" x14ac:dyDescent="0.3">
      <c r="B2417" t="s">
        <v>4057</v>
      </c>
      <c r="C2417">
        <v>523384</v>
      </c>
      <c r="D2417" t="s">
        <v>4058</v>
      </c>
      <c r="E2417" t="s">
        <v>513</v>
      </c>
    </row>
    <row r="2418" spans="2:5" x14ac:dyDescent="0.3">
      <c r="B2418" t="s">
        <v>4059</v>
      </c>
      <c r="C2418">
        <v>519612</v>
      </c>
      <c r="D2418" t="s">
        <v>496</v>
      </c>
      <c r="E2418" t="s">
        <v>556</v>
      </c>
    </row>
    <row r="2419" spans="2:5" x14ac:dyDescent="0.3">
      <c r="B2419" t="s">
        <v>4060</v>
      </c>
      <c r="C2419">
        <v>514450</v>
      </c>
      <c r="D2419" t="s">
        <v>496</v>
      </c>
      <c r="E2419" t="s">
        <v>1416</v>
      </c>
    </row>
    <row r="2420" spans="2:5" x14ac:dyDescent="0.3">
      <c r="B2420" t="s">
        <v>4061</v>
      </c>
      <c r="C2420">
        <v>513460</v>
      </c>
      <c r="D2420" t="s">
        <v>496</v>
      </c>
      <c r="E2420" t="s">
        <v>819</v>
      </c>
    </row>
    <row r="2421" spans="2:5" x14ac:dyDescent="0.3">
      <c r="B2421" t="s">
        <v>4062</v>
      </c>
      <c r="C2421">
        <v>513554</v>
      </c>
      <c r="D2421" t="s">
        <v>4063</v>
      </c>
      <c r="E2421" t="s">
        <v>819</v>
      </c>
    </row>
    <row r="2422" spans="2:5" x14ac:dyDescent="0.3">
      <c r="B2422" t="s">
        <v>4064</v>
      </c>
      <c r="C2422">
        <v>531515</v>
      </c>
      <c r="D2422" t="s">
        <v>496</v>
      </c>
      <c r="E2422" t="s">
        <v>518</v>
      </c>
    </row>
    <row r="2423" spans="2:5" x14ac:dyDescent="0.3">
      <c r="B2423" t="s">
        <v>4065</v>
      </c>
      <c r="C2423">
        <v>539957</v>
      </c>
      <c r="D2423" t="s">
        <v>4066</v>
      </c>
      <c r="E2423" t="s">
        <v>521</v>
      </c>
    </row>
    <row r="2424" spans="2:5" x14ac:dyDescent="0.3">
      <c r="B2424" t="s">
        <v>4067</v>
      </c>
      <c r="C2424">
        <v>500108</v>
      </c>
      <c r="D2424" t="s">
        <v>4068</v>
      </c>
      <c r="E2424" t="s">
        <v>1440</v>
      </c>
    </row>
    <row r="2425" spans="2:5" x14ac:dyDescent="0.3">
      <c r="B2425" t="s">
        <v>4069</v>
      </c>
      <c r="C2425">
        <v>530441</v>
      </c>
      <c r="D2425" t="s">
        <v>496</v>
      </c>
      <c r="E2425" t="s">
        <v>917</v>
      </c>
    </row>
    <row r="2426" spans="2:5" x14ac:dyDescent="0.3">
      <c r="B2426" t="s">
        <v>4070</v>
      </c>
      <c r="C2426">
        <v>530441</v>
      </c>
      <c r="D2426" t="s">
        <v>496</v>
      </c>
      <c r="E2426" t="s">
        <v>917</v>
      </c>
    </row>
    <row r="2427" spans="2:5" x14ac:dyDescent="0.3">
      <c r="B2427" t="s">
        <v>4071</v>
      </c>
      <c r="C2427">
        <v>505523</v>
      </c>
      <c r="D2427" t="s">
        <v>496</v>
      </c>
      <c r="E2427" t="s">
        <v>518</v>
      </c>
    </row>
    <row r="2428" spans="2:5" x14ac:dyDescent="0.3">
      <c r="B2428" t="s">
        <v>4072</v>
      </c>
      <c r="C2428">
        <v>500266</v>
      </c>
      <c r="D2428" t="s">
        <v>4073</v>
      </c>
      <c r="E2428" t="s">
        <v>516</v>
      </c>
    </row>
    <row r="2429" spans="2:5" x14ac:dyDescent="0.3">
      <c r="B2429" t="s">
        <v>4074</v>
      </c>
      <c r="C2429">
        <v>500265</v>
      </c>
      <c r="D2429" t="s">
        <v>4075</v>
      </c>
      <c r="E2429" t="s">
        <v>894</v>
      </c>
    </row>
    <row r="2430" spans="2:5" x14ac:dyDescent="0.3">
      <c r="B2430" t="s">
        <v>4076</v>
      </c>
      <c r="C2430">
        <v>526795</v>
      </c>
      <c r="D2430" t="s">
        <v>496</v>
      </c>
      <c r="E2430" t="s">
        <v>568</v>
      </c>
    </row>
    <row r="2431" spans="2:5" x14ac:dyDescent="0.3">
      <c r="B2431" t="s">
        <v>4077</v>
      </c>
      <c r="C2431">
        <v>512337</v>
      </c>
      <c r="D2431" t="s">
        <v>496</v>
      </c>
      <c r="E2431" t="s">
        <v>518</v>
      </c>
    </row>
    <row r="2432" spans="2:5" x14ac:dyDescent="0.3">
      <c r="B2432" t="s">
        <v>4078</v>
      </c>
      <c r="C2432">
        <v>539383</v>
      </c>
      <c r="D2432" t="s">
        <v>496</v>
      </c>
      <c r="E2432" t="s">
        <v>482</v>
      </c>
    </row>
    <row r="2433" spans="2:5" x14ac:dyDescent="0.3">
      <c r="B2433" t="s">
        <v>4079</v>
      </c>
      <c r="C2433">
        <v>531648</v>
      </c>
      <c r="D2433" t="s">
        <v>496</v>
      </c>
      <c r="E2433" t="s">
        <v>570</v>
      </c>
    </row>
    <row r="2434" spans="2:5" x14ac:dyDescent="0.3">
      <c r="B2434" t="s">
        <v>4080</v>
      </c>
      <c r="C2434">
        <v>542677</v>
      </c>
      <c r="D2434" t="s">
        <v>4081</v>
      </c>
      <c r="E2434" t="s">
        <v>582</v>
      </c>
    </row>
    <row r="2435" spans="2:5" x14ac:dyDescent="0.3">
      <c r="B2435" t="s">
        <v>4082</v>
      </c>
      <c r="C2435" t="s">
        <v>496</v>
      </c>
      <c r="D2435" t="s">
        <v>4083</v>
      </c>
      <c r="E2435" t="s">
        <v>507</v>
      </c>
    </row>
    <row r="2436" spans="2:5" x14ac:dyDescent="0.3">
      <c r="B2436" t="s">
        <v>4084</v>
      </c>
      <c r="C2436" t="s">
        <v>496</v>
      </c>
      <c r="D2436" t="s">
        <v>4085</v>
      </c>
      <c r="E2436" t="s">
        <v>507</v>
      </c>
    </row>
    <row r="2437" spans="2:5" x14ac:dyDescent="0.3">
      <c r="B2437" t="s">
        <v>4086</v>
      </c>
      <c r="C2437">
        <v>532720</v>
      </c>
      <c r="D2437" t="s">
        <v>4087</v>
      </c>
      <c r="E2437" t="s">
        <v>513</v>
      </c>
    </row>
    <row r="2438" spans="2:5" x14ac:dyDescent="0.3">
      <c r="B2438" t="s">
        <v>4088</v>
      </c>
      <c r="C2438">
        <v>500520</v>
      </c>
      <c r="D2438" t="s">
        <v>4089</v>
      </c>
      <c r="E2438" t="s">
        <v>2426</v>
      </c>
    </row>
    <row r="2439" spans="2:5" x14ac:dyDescent="0.3">
      <c r="B2439" t="s">
        <v>4090</v>
      </c>
      <c r="C2439">
        <v>532756</v>
      </c>
      <c r="D2439" t="s">
        <v>4091</v>
      </c>
      <c r="E2439" t="s">
        <v>1416</v>
      </c>
    </row>
    <row r="2440" spans="2:5" x14ac:dyDescent="0.3">
      <c r="B2440" t="s">
        <v>4092</v>
      </c>
      <c r="C2440">
        <v>533088</v>
      </c>
      <c r="D2440" t="s">
        <v>4093</v>
      </c>
      <c r="E2440" t="s">
        <v>697</v>
      </c>
    </row>
    <row r="2441" spans="2:5" x14ac:dyDescent="0.3">
      <c r="B2441" t="s">
        <v>4094</v>
      </c>
      <c r="C2441">
        <v>533088</v>
      </c>
      <c r="D2441" t="s">
        <v>4093</v>
      </c>
      <c r="E2441" t="s">
        <v>697</v>
      </c>
    </row>
    <row r="2442" spans="2:5" x14ac:dyDescent="0.3">
      <c r="B2442" t="s">
        <v>4095</v>
      </c>
      <c r="C2442">
        <v>532313</v>
      </c>
      <c r="D2442" t="s">
        <v>4096</v>
      </c>
      <c r="E2442" t="s">
        <v>582</v>
      </c>
    </row>
    <row r="2443" spans="2:5" x14ac:dyDescent="0.3">
      <c r="B2443" t="s">
        <v>4097</v>
      </c>
      <c r="C2443">
        <v>540768</v>
      </c>
      <c r="D2443" t="s">
        <v>4098</v>
      </c>
      <c r="E2443" t="s">
        <v>817</v>
      </c>
    </row>
    <row r="2444" spans="2:5" x14ac:dyDescent="0.3">
      <c r="B2444" t="s">
        <v>4099</v>
      </c>
      <c r="C2444">
        <v>542503</v>
      </c>
      <c r="D2444" t="s">
        <v>4100</v>
      </c>
      <c r="E2444" t="s">
        <v>2474</v>
      </c>
    </row>
    <row r="2445" spans="2:5" x14ac:dyDescent="0.3">
      <c r="B2445" t="s">
        <v>4101</v>
      </c>
      <c r="C2445">
        <v>590078</v>
      </c>
      <c r="D2445" t="s">
        <v>4102</v>
      </c>
      <c r="E2445" t="s">
        <v>528</v>
      </c>
    </row>
    <row r="2446" spans="2:5" x14ac:dyDescent="0.3">
      <c r="B2446" t="s">
        <v>4103</v>
      </c>
      <c r="C2446">
        <v>513430</v>
      </c>
      <c r="D2446" t="s">
        <v>496</v>
      </c>
      <c r="E2446" t="s">
        <v>801</v>
      </c>
    </row>
    <row r="2447" spans="2:5" x14ac:dyDescent="0.3">
      <c r="B2447" t="s">
        <v>4104</v>
      </c>
      <c r="C2447">
        <v>539289</v>
      </c>
      <c r="D2447" t="s">
        <v>4105</v>
      </c>
      <c r="E2447" t="s">
        <v>482</v>
      </c>
    </row>
    <row r="2448" spans="2:5" x14ac:dyDescent="0.3">
      <c r="B2448" t="s">
        <v>4106</v>
      </c>
      <c r="C2448">
        <v>500267</v>
      </c>
      <c r="D2448" t="s">
        <v>496</v>
      </c>
      <c r="E2448" t="s">
        <v>1154</v>
      </c>
    </row>
    <row r="2449" spans="2:5" x14ac:dyDescent="0.3">
      <c r="B2449" t="s">
        <v>4107</v>
      </c>
      <c r="C2449">
        <v>539229</v>
      </c>
      <c r="D2449" t="s">
        <v>496</v>
      </c>
      <c r="E2449" t="s">
        <v>485</v>
      </c>
    </row>
    <row r="2450" spans="2:5" x14ac:dyDescent="0.3">
      <c r="B2450" t="s">
        <v>4108</v>
      </c>
      <c r="C2450">
        <v>506919</v>
      </c>
      <c r="D2450" t="s">
        <v>496</v>
      </c>
      <c r="E2450" t="s">
        <v>534</v>
      </c>
    </row>
    <row r="2451" spans="2:5" x14ac:dyDescent="0.3">
      <c r="B2451" t="s">
        <v>4109</v>
      </c>
      <c r="C2451">
        <v>539400</v>
      </c>
      <c r="D2451" t="s">
        <v>496</v>
      </c>
      <c r="E2451" t="s">
        <v>610</v>
      </c>
    </row>
    <row r="2452" spans="2:5" x14ac:dyDescent="0.3">
      <c r="B2452" t="s">
        <v>4110</v>
      </c>
      <c r="C2452">
        <v>539400</v>
      </c>
      <c r="D2452" t="s">
        <v>496</v>
      </c>
      <c r="E2452" t="s">
        <v>610</v>
      </c>
    </row>
    <row r="2453" spans="2:5" x14ac:dyDescent="0.3">
      <c r="B2453" t="s">
        <v>4111</v>
      </c>
      <c r="C2453">
        <v>532728</v>
      </c>
      <c r="D2453" t="s">
        <v>4112</v>
      </c>
      <c r="E2453" t="s">
        <v>490</v>
      </c>
    </row>
    <row r="2454" spans="2:5" x14ac:dyDescent="0.3">
      <c r="B2454" t="s">
        <v>4113</v>
      </c>
      <c r="C2454">
        <v>513269</v>
      </c>
      <c r="D2454" t="s">
        <v>4114</v>
      </c>
      <c r="E2454" t="s">
        <v>894</v>
      </c>
    </row>
    <row r="2455" spans="2:5" x14ac:dyDescent="0.3">
      <c r="B2455" t="s">
        <v>4115</v>
      </c>
      <c r="C2455">
        <v>513269</v>
      </c>
      <c r="D2455" t="s">
        <v>4114</v>
      </c>
      <c r="E2455" t="s">
        <v>894</v>
      </c>
    </row>
    <row r="2456" spans="2:5" x14ac:dyDescent="0.3">
      <c r="B2456" t="s">
        <v>4116</v>
      </c>
      <c r="C2456">
        <v>533169</v>
      </c>
      <c r="D2456" t="s">
        <v>4117</v>
      </c>
      <c r="E2456" t="s">
        <v>894</v>
      </c>
    </row>
    <row r="2457" spans="2:5" x14ac:dyDescent="0.3">
      <c r="B2457" t="s">
        <v>4118</v>
      </c>
      <c r="C2457">
        <v>539045</v>
      </c>
      <c r="D2457" t="s">
        <v>4119</v>
      </c>
      <c r="E2457" t="s">
        <v>801</v>
      </c>
    </row>
    <row r="2458" spans="2:5" x14ac:dyDescent="0.3">
      <c r="B2458" t="s">
        <v>4120</v>
      </c>
      <c r="C2458">
        <v>539046</v>
      </c>
      <c r="D2458" t="s">
        <v>4121</v>
      </c>
      <c r="E2458" t="s">
        <v>528</v>
      </c>
    </row>
    <row r="2459" spans="2:5" x14ac:dyDescent="0.3">
      <c r="B2459" t="s">
        <v>4122</v>
      </c>
      <c r="C2459">
        <v>532932</v>
      </c>
      <c r="D2459" t="s">
        <v>4123</v>
      </c>
      <c r="E2459" t="s">
        <v>691</v>
      </c>
    </row>
    <row r="2460" spans="2:5" x14ac:dyDescent="0.3">
      <c r="B2460" t="s">
        <v>4124</v>
      </c>
      <c r="C2460">
        <v>539044</v>
      </c>
      <c r="D2460" t="s">
        <v>4125</v>
      </c>
      <c r="E2460" t="s">
        <v>528</v>
      </c>
    </row>
    <row r="2461" spans="2:5" x14ac:dyDescent="0.3">
      <c r="B2461" t="s">
        <v>4126</v>
      </c>
      <c r="C2461">
        <v>500268</v>
      </c>
      <c r="D2461" t="s">
        <v>4127</v>
      </c>
      <c r="E2461" t="s">
        <v>710</v>
      </c>
    </row>
    <row r="2462" spans="2:5" x14ac:dyDescent="0.3">
      <c r="B2462" t="s">
        <v>4128</v>
      </c>
      <c r="C2462">
        <v>531213</v>
      </c>
      <c r="D2462" t="s">
        <v>4129</v>
      </c>
      <c r="E2462" t="s">
        <v>513</v>
      </c>
    </row>
    <row r="2463" spans="2:5" x14ac:dyDescent="0.3">
      <c r="B2463" t="s">
        <v>4130</v>
      </c>
      <c r="C2463">
        <v>540402</v>
      </c>
      <c r="D2463" t="s">
        <v>496</v>
      </c>
      <c r="E2463" t="s">
        <v>582</v>
      </c>
    </row>
    <row r="2464" spans="2:5" x14ac:dyDescent="0.3">
      <c r="B2464" t="s">
        <v>4131</v>
      </c>
      <c r="C2464" t="s">
        <v>496</v>
      </c>
      <c r="D2464" t="s">
        <v>4132</v>
      </c>
      <c r="E2464" t="s">
        <v>507</v>
      </c>
    </row>
    <row r="2465" spans="2:5" x14ac:dyDescent="0.3">
      <c r="B2465" t="s">
        <v>4133</v>
      </c>
      <c r="C2465">
        <v>533204</v>
      </c>
      <c r="D2465" t="s">
        <v>4134</v>
      </c>
      <c r="E2465" t="s">
        <v>511</v>
      </c>
    </row>
    <row r="2466" spans="2:5" x14ac:dyDescent="0.3">
      <c r="B2466" t="s">
        <v>4135</v>
      </c>
      <c r="C2466">
        <v>505850</v>
      </c>
      <c r="D2466" t="s">
        <v>4136</v>
      </c>
      <c r="E2466" t="s">
        <v>513</v>
      </c>
    </row>
    <row r="2467" spans="2:5" x14ac:dyDescent="0.3">
      <c r="B2467" t="s">
        <v>4137</v>
      </c>
      <c r="C2467">
        <v>502157</v>
      </c>
      <c r="D2467" t="s">
        <v>4138</v>
      </c>
      <c r="E2467" t="s">
        <v>509</v>
      </c>
    </row>
    <row r="2468" spans="2:5" x14ac:dyDescent="0.3">
      <c r="B2468" t="s">
        <v>4139</v>
      </c>
      <c r="C2468">
        <v>532637</v>
      </c>
      <c r="D2468" t="s">
        <v>4140</v>
      </c>
      <c r="E2468" t="s">
        <v>534</v>
      </c>
    </row>
    <row r="2469" spans="2:5" x14ac:dyDescent="0.3">
      <c r="B2469" t="s">
        <v>4141</v>
      </c>
      <c r="C2469">
        <v>537800</v>
      </c>
      <c r="D2469" t="s">
        <v>496</v>
      </c>
      <c r="E2469" t="s">
        <v>513</v>
      </c>
    </row>
    <row r="2470" spans="2:5" x14ac:dyDescent="0.3">
      <c r="B2470" t="s">
        <v>4142</v>
      </c>
      <c r="C2470">
        <v>514418</v>
      </c>
      <c r="D2470" t="s">
        <v>496</v>
      </c>
      <c r="E2470" t="s">
        <v>544</v>
      </c>
    </row>
    <row r="2471" spans="2:5" x14ac:dyDescent="0.3">
      <c r="B2471" t="s">
        <v>4143</v>
      </c>
      <c r="C2471">
        <v>539275</v>
      </c>
      <c r="D2471" t="s">
        <v>496</v>
      </c>
      <c r="E2471" t="s">
        <v>694</v>
      </c>
    </row>
    <row r="2472" spans="2:5" x14ac:dyDescent="0.3">
      <c r="B2472" t="s">
        <v>4144</v>
      </c>
      <c r="C2472">
        <v>516007</v>
      </c>
      <c r="D2472" t="s">
        <v>4145</v>
      </c>
      <c r="E2472" t="s">
        <v>991</v>
      </c>
    </row>
    <row r="2473" spans="2:5" x14ac:dyDescent="0.3">
      <c r="B2473" t="s">
        <v>4146</v>
      </c>
      <c r="C2473">
        <v>530011</v>
      </c>
      <c r="D2473" t="s">
        <v>4147</v>
      </c>
      <c r="E2473" t="s">
        <v>1004</v>
      </c>
    </row>
    <row r="2474" spans="2:5" x14ac:dyDescent="0.3">
      <c r="B2474" t="s">
        <v>4148</v>
      </c>
      <c r="C2474">
        <v>500109</v>
      </c>
      <c r="D2474" t="s">
        <v>4149</v>
      </c>
      <c r="E2474" t="s">
        <v>1425</v>
      </c>
    </row>
    <row r="2475" spans="2:5" x14ac:dyDescent="0.3">
      <c r="B2475" t="s">
        <v>4150</v>
      </c>
      <c r="C2475">
        <v>530243</v>
      </c>
      <c r="D2475" t="s">
        <v>496</v>
      </c>
      <c r="E2475" t="s">
        <v>589</v>
      </c>
    </row>
    <row r="2476" spans="2:5" x14ac:dyDescent="0.3">
      <c r="B2476" t="s">
        <v>4151</v>
      </c>
      <c r="C2476">
        <v>507938</v>
      </c>
      <c r="D2476" t="s">
        <v>496</v>
      </c>
      <c r="E2476" t="s">
        <v>513</v>
      </c>
    </row>
    <row r="2477" spans="2:5" x14ac:dyDescent="0.3">
      <c r="B2477" t="s">
        <v>4152</v>
      </c>
      <c r="C2477">
        <v>533078</v>
      </c>
      <c r="D2477" t="s">
        <v>496</v>
      </c>
      <c r="E2477" t="s">
        <v>582</v>
      </c>
    </row>
    <row r="2478" spans="2:5" x14ac:dyDescent="0.3">
      <c r="B2478" t="s">
        <v>4153</v>
      </c>
      <c r="C2478">
        <v>540396</v>
      </c>
      <c r="D2478" t="s">
        <v>496</v>
      </c>
      <c r="E2478" t="s">
        <v>511</v>
      </c>
    </row>
    <row r="2479" spans="2:5" x14ac:dyDescent="0.3">
      <c r="B2479" t="s">
        <v>4154</v>
      </c>
      <c r="C2479">
        <v>540396</v>
      </c>
      <c r="D2479" t="s">
        <v>496</v>
      </c>
      <c r="E2479" t="s">
        <v>511</v>
      </c>
    </row>
    <row r="2480" spans="2:5" x14ac:dyDescent="0.3">
      <c r="B2480" t="s">
        <v>4155</v>
      </c>
      <c r="C2480">
        <v>541974</v>
      </c>
      <c r="D2480" t="s">
        <v>496</v>
      </c>
      <c r="E2480" t="s">
        <v>745</v>
      </c>
    </row>
    <row r="2481" spans="2:5" x14ac:dyDescent="0.3">
      <c r="B2481" t="s">
        <v>4156</v>
      </c>
      <c r="C2481">
        <v>539207</v>
      </c>
      <c r="D2481" t="s">
        <v>4157</v>
      </c>
      <c r="E2481" t="s">
        <v>931</v>
      </c>
    </row>
    <row r="2482" spans="2:5" x14ac:dyDescent="0.3">
      <c r="B2482" t="s">
        <v>4158</v>
      </c>
      <c r="C2482">
        <v>530537</v>
      </c>
      <c r="D2482" t="s">
        <v>496</v>
      </c>
      <c r="E2482" t="s">
        <v>554</v>
      </c>
    </row>
    <row r="2483" spans="2:5" x14ac:dyDescent="0.3">
      <c r="B2483" t="s">
        <v>4159</v>
      </c>
      <c r="C2483">
        <v>511758</v>
      </c>
      <c r="D2483" t="s">
        <v>496</v>
      </c>
      <c r="E2483" t="s">
        <v>513</v>
      </c>
    </row>
    <row r="2484" spans="2:5" x14ac:dyDescent="0.3">
      <c r="B2484" t="s">
        <v>4160</v>
      </c>
      <c r="C2484">
        <v>512303</v>
      </c>
      <c r="D2484" t="s">
        <v>496</v>
      </c>
      <c r="E2484" t="s">
        <v>917</v>
      </c>
    </row>
    <row r="2485" spans="2:5" x14ac:dyDescent="0.3">
      <c r="B2485" t="s">
        <v>4161</v>
      </c>
      <c r="C2485">
        <v>505324</v>
      </c>
      <c r="D2485" t="s">
        <v>4162</v>
      </c>
      <c r="E2485" t="s">
        <v>504</v>
      </c>
    </row>
    <row r="2486" spans="2:5" x14ac:dyDescent="0.3">
      <c r="B2486" t="s">
        <v>4163</v>
      </c>
      <c r="C2486">
        <v>505324</v>
      </c>
      <c r="D2486" t="s">
        <v>4162</v>
      </c>
      <c r="E2486" t="s">
        <v>504</v>
      </c>
    </row>
    <row r="2487" spans="2:5" x14ac:dyDescent="0.3">
      <c r="B2487" t="s">
        <v>4164</v>
      </c>
      <c r="C2487">
        <v>538970</v>
      </c>
      <c r="D2487" t="s">
        <v>496</v>
      </c>
      <c r="E2487" t="s">
        <v>582</v>
      </c>
    </row>
    <row r="2488" spans="2:5" x14ac:dyDescent="0.3">
      <c r="B2488" t="s">
        <v>4165</v>
      </c>
      <c r="C2488">
        <v>521018</v>
      </c>
      <c r="D2488" t="s">
        <v>4166</v>
      </c>
      <c r="E2488" t="s">
        <v>511</v>
      </c>
    </row>
    <row r="2489" spans="2:5" x14ac:dyDescent="0.3">
      <c r="B2489" t="s">
        <v>4167</v>
      </c>
      <c r="C2489">
        <v>503101</v>
      </c>
      <c r="D2489" t="s">
        <v>4168</v>
      </c>
      <c r="E2489" t="s">
        <v>582</v>
      </c>
    </row>
    <row r="2490" spans="2:5" x14ac:dyDescent="0.3">
      <c r="B2490" t="s">
        <v>4169</v>
      </c>
      <c r="C2490">
        <v>502250</v>
      </c>
      <c r="D2490" t="s">
        <v>496</v>
      </c>
      <c r="E2490" t="s">
        <v>1024</v>
      </c>
    </row>
    <row r="2491" spans="2:5" x14ac:dyDescent="0.3">
      <c r="B2491" t="s">
        <v>4170</v>
      </c>
      <c r="C2491">
        <v>513544</v>
      </c>
      <c r="D2491" t="s">
        <v>496</v>
      </c>
      <c r="E2491" t="s">
        <v>570</v>
      </c>
    </row>
    <row r="2492" spans="2:5" x14ac:dyDescent="0.3">
      <c r="B2492" t="s">
        <v>4171</v>
      </c>
      <c r="C2492">
        <v>530543</v>
      </c>
      <c r="D2492" t="s">
        <v>496</v>
      </c>
      <c r="E2492" t="s">
        <v>582</v>
      </c>
    </row>
    <row r="2493" spans="2:5" x14ac:dyDescent="0.3">
      <c r="B2493" t="s">
        <v>4172</v>
      </c>
      <c r="C2493">
        <v>540254</v>
      </c>
      <c r="D2493" t="s">
        <v>496</v>
      </c>
      <c r="E2493" t="s">
        <v>513</v>
      </c>
    </row>
    <row r="2494" spans="2:5" x14ac:dyDescent="0.3">
      <c r="B2494" t="s">
        <v>4173</v>
      </c>
      <c r="C2494">
        <v>500206</v>
      </c>
      <c r="D2494" t="s">
        <v>496</v>
      </c>
      <c r="E2494" t="s">
        <v>513</v>
      </c>
    </row>
    <row r="2495" spans="2:5" x14ac:dyDescent="0.3">
      <c r="B2495" t="s">
        <v>4174</v>
      </c>
      <c r="C2495">
        <v>531642</v>
      </c>
      <c r="D2495" t="s">
        <v>4175</v>
      </c>
      <c r="E2495" t="s">
        <v>678</v>
      </c>
    </row>
    <row r="2496" spans="2:5" x14ac:dyDescent="0.3">
      <c r="B2496" t="s">
        <v>4176</v>
      </c>
      <c r="C2496" t="s">
        <v>496</v>
      </c>
      <c r="D2496" t="s">
        <v>4177</v>
      </c>
      <c r="E2496" t="s">
        <v>507</v>
      </c>
    </row>
    <row r="2497" spans="2:5" x14ac:dyDescent="0.3">
      <c r="B2497" t="s">
        <v>4178</v>
      </c>
      <c r="C2497" t="s">
        <v>496</v>
      </c>
      <c r="D2497" t="s">
        <v>4177</v>
      </c>
      <c r="E2497" t="s">
        <v>507</v>
      </c>
    </row>
    <row r="2498" spans="2:5" x14ac:dyDescent="0.3">
      <c r="B2498" t="s">
        <v>4179</v>
      </c>
      <c r="C2498">
        <v>531503</v>
      </c>
      <c r="D2498" t="s">
        <v>496</v>
      </c>
      <c r="E2498" t="s">
        <v>511</v>
      </c>
    </row>
    <row r="2499" spans="2:5" x14ac:dyDescent="0.3">
      <c r="B2499" t="s">
        <v>4180</v>
      </c>
      <c r="C2499">
        <v>526891</v>
      </c>
      <c r="D2499" t="s">
        <v>496</v>
      </c>
      <c r="E2499" t="s">
        <v>479</v>
      </c>
    </row>
    <row r="2500" spans="2:5" x14ac:dyDescent="0.3">
      <c r="B2500" t="s">
        <v>4181</v>
      </c>
      <c r="C2500">
        <v>524404</v>
      </c>
      <c r="D2500" t="s">
        <v>4182</v>
      </c>
      <c r="E2500" t="s">
        <v>534</v>
      </c>
    </row>
    <row r="2501" spans="2:5" x14ac:dyDescent="0.3">
      <c r="B2501" t="s">
        <v>4183</v>
      </c>
      <c r="C2501" t="s">
        <v>496</v>
      </c>
      <c r="D2501" t="s">
        <v>4184</v>
      </c>
      <c r="E2501" t="s">
        <v>507</v>
      </c>
    </row>
    <row r="2502" spans="2:5" x14ac:dyDescent="0.3">
      <c r="B2502" t="s">
        <v>4185</v>
      </c>
      <c r="C2502">
        <v>517467</v>
      </c>
      <c r="D2502" t="s">
        <v>496</v>
      </c>
      <c r="E2502" t="s">
        <v>794</v>
      </c>
    </row>
    <row r="2503" spans="2:5" x14ac:dyDescent="0.3">
      <c r="B2503" t="s">
        <v>4186</v>
      </c>
      <c r="C2503">
        <v>523566</v>
      </c>
      <c r="D2503" t="s">
        <v>496</v>
      </c>
      <c r="E2503" t="s">
        <v>582</v>
      </c>
    </row>
    <row r="2504" spans="2:5" x14ac:dyDescent="0.3">
      <c r="B2504" t="s">
        <v>4187</v>
      </c>
      <c r="C2504">
        <v>531540</v>
      </c>
      <c r="D2504" t="s">
        <v>496</v>
      </c>
      <c r="E2504" t="s">
        <v>894</v>
      </c>
    </row>
    <row r="2505" spans="2:5" x14ac:dyDescent="0.3">
      <c r="B2505" t="s">
        <v>4188</v>
      </c>
      <c r="C2505">
        <v>531319</v>
      </c>
      <c r="D2505" t="s">
        <v>496</v>
      </c>
      <c r="E2505" t="s">
        <v>513</v>
      </c>
    </row>
    <row r="2506" spans="2:5" x14ac:dyDescent="0.3">
      <c r="B2506" t="s">
        <v>4189</v>
      </c>
      <c r="C2506">
        <v>532500</v>
      </c>
      <c r="D2506" t="s">
        <v>4190</v>
      </c>
      <c r="E2506" t="s">
        <v>2426</v>
      </c>
    </row>
    <row r="2507" spans="2:5" x14ac:dyDescent="0.3">
      <c r="B2507" t="s">
        <v>4191</v>
      </c>
      <c r="C2507">
        <v>532500</v>
      </c>
      <c r="D2507" t="s">
        <v>4190</v>
      </c>
      <c r="E2507" t="s">
        <v>2426</v>
      </c>
    </row>
    <row r="2508" spans="2:5" x14ac:dyDescent="0.3">
      <c r="B2508" t="s">
        <v>4192</v>
      </c>
      <c r="C2508" t="s">
        <v>496</v>
      </c>
      <c r="D2508" t="s">
        <v>4193</v>
      </c>
      <c r="E2508" t="s">
        <v>507</v>
      </c>
    </row>
    <row r="2509" spans="2:5" x14ac:dyDescent="0.3">
      <c r="B2509" t="s">
        <v>4194</v>
      </c>
      <c r="C2509">
        <v>540749</v>
      </c>
      <c r="D2509" t="s">
        <v>4195</v>
      </c>
      <c r="E2509" t="s">
        <v>513</v>
      </c>
    </row>
    <row r="2510" spans="2:5" x14ac:dyDescent="0.3">
      <c r="B2510" t="s">
        <v>4196</v>
      </c>
      <c r="C2510" t="s">
        <v>496</v>
      </c>
      <c r="D2510" t="s">
        <v>4197</v>
      </c>
      <c r="E2510" t="s">
        <v>587</v>
      </c>
    </row>
    <row r="2511" spans="2:5" x14ac:dyDescent="0.3">
      <c r="B2511" t="s">
        <v>4198</v>
      </c>
      <c r="C2511">
        <v>523704</v>
      </c>
      <c r="D2511" t="s">
        <v>4199</v>
      </c>
      <c r="E2511" t="s">
        <v>589</v>
      </c>
    </row>
    <row r="2512" spans="2:5" x14ac:dyDescent="0.3">
      <c r="B2512" t="s">
        <v>4200</v>
      </c>
      <c r="C2512">
        <v>506867</v>
      </c>
      <c r="D2512" t="s">
        <v>496</v>
      </c>
      <c r="E2512" t="s">
        <v>511</v>
      </c>
    </row>
    <row r="2513" spans="2:5" x14ac:dyDescent="0.3">
      <c r="B2513" t="s">
        <v>4201</v>
      </c>
      <c r="C2513">
        <v>511768</v>
      </c>
      <c r="D2513" t="s">
        <v>496</v>
      </c>
      <c r="E2513" t="s">
        <v>513</v>
      </c>
    </row>
    <row r="2514" spans="2:5" x14ac:dyDescent="0.3">
      <c r="B2514" t="s">
        <v>4202</v>
      </c>
      <c r="C2514">
        <v>511688</v>
      </c>
      <c r="D2514" t="s">
        <v>496</v>
      </c>
      <c r="E2514" t="s">
        <v>513</v>
      </c>
    </row>
    <row r="2515" spans="2:5" x14ac:dyDescent="0.3">
      <c r="B2515" t="s">
        <v>4203</v>
      </c>
      <c r="C2515">
        <v>540704</v>
      </c>
      <c r="D2515" t="s">
        <v>4204</v>
      </c>
      <c r="E2515" t="s">
        <v>502</v>
      </c>
    </row>
    <row r="2516" spans="2:5" x14ac:dyDescent="0.3">
      <c r="B2516" t="s">
        <v>4205</v>
      </c>
      <c r="C2516">
        <v>539219</v>
      </c>
      <c r="D2516" t="s">
        <v>496</v>
      </c>
      <c r="E2516" t="s">
        <v>1416</v>
      </c>
    </row>
    <row r="2517" spans="2:5" x14ac:dyDescent="0.3">
      <c r="B2517" t="s">
        <v>4206</v>
      </c>
      <c r="C2517">
        <v>500248</v>
      </c>
      <c r="D2517" t="s">
        <v>496</v>
      </c>
      <c r="E2517" t="s">
        <v>616</v>
      </c>
    </row>
    <row r="2518" spans="2:5" x14ac:dyDescent="0.3">
      <c r="B2518" t="s">
        <v>4207</v>
      </c>
      <c r="C2518">
        <v>523371</v>
      </c>
      <c r="D2518" t="s">
        <v>4208</v>
      </c>
      <c r="E2518" t="s">
        <v>1195</v>
      </c>
    </row>
    <row r="2519" spans="2:5" x14ac:dyDescent="0.3">
      <c r="B2519" t="s">
        <v>4209</v>
      </c>
      <c r="C2519">
        <v>539981</v>
      </c>
      <c r="D2519" t="s">
        <v>4210</v>
      </c>
      <c r="E2519" t="s">
        <v>662</v>
      </c>
    </row>
    <row r="2520" spans="2:5" x14ac:dyDescent="0.3">
      <c r="B2520" t="s">
        <v>4211</v>
      </c>
      <c r="C2520">
        <v>534563</v>
      </c>
      <c r="D2520" t="s">
        <v>4212</v>
      </c>
      <c r="E2520" t="s">
        <v>504</v>
      </c>
    </row>
    <row r="2521" spans="2:5" x14ac:dyDescent="0.3">
      <c r="B2521" t="s">
        <v>4213</v>
      </c>
      <c r="C2521">
        <v>500271</v>
      </c>
      <c r="D2521" t="s">
        <v>4214</v>
      </c>
      <c r="E2521" t="s">
        <v>2909</v>
      </c>
    </row>
    <row r="2522" spans="2:5" x14ac:dyDescent="0.3">
      <c r="B2522" t="s">
        <v>4215</v>
      </c>
      <c r="C2522">
        <v>539981</v>
      </c>
      <c r="D2522" t="s">
        <v>4216</v>
      </c>
      <c r="E2522" t="s">
        <v>662</v>
      </c>
    </row>
    <row r="2523" spans="2:5" x14ac:dyDescent="0.3">
      <c r="B2523" t="s">
        <v>4217</v>
      </c>
      <c r="C2523">
        <v>539940</v>
      </c>
      <c r="D2523" t="s">
        <v>4218</v>
      </c>
      <c r="E2523" t="s">
        <v>662</v>
      </c>
    </row>
    <row r="2524" spans="2:5" x14ac:dyDescent="0.3">
      <c r="B2524" t="s">
        <v>4219</v>
      </c>
      <c r="C2524">
        <v>534338</v>
      </c>
      <c r="D2524" t="s">
        <v>496</v>
      </c>
      <c r="E2524" t="s">
        <v>582</v>
      </c>
    </row>
    <row r="2525" spans="2:5" x14ac:dyDescent="0.3">
      <c r="B2525" t="s">
        <v>4220</v>
      </c>
      <c r="C2525">
        <v>526538</v>
      </c>
      <c r="D2525" t="s">
        <v>496</v>
      </c>
      <c r="E2525" t="s">
        <v>534</v>
      </c>
    </row>
    <row r="2526" spans="2:5" x14ac:dyDescent="0.3">
      <c r="B2526" t="s">
        <v>4221</v>
      </c>
      <c r="C2526">
        <v>540401</v>
      </c>
      <c r="D2526" t="s">
        <v>496</v>
      </c>
      <c r="E2526" t="s">
        <v>518</v>
      </c>
    </row>
    <row r="2527" spans="2:5" x14ac:dyDescent="0.3">
      <c r="B2527" t="s">
        <v>4222</v>
      </c>
      <c r="C2527">
        <v>539519</v>
      </c>
      <c r="D2527" t="s">
        <v>496</v>
      </c>
      <c r="E2527" t="s">
        <v>530</v>
      </c>
    </row>
    <row r="2528" spans="2:5" x14ac:dyDescent="0.3">
      <c r="B2528" t="s">
        <v>4223</v>
      </c>
      <c r="C2528">
        <v>531221</v>
      </c>
      <c r="D2528" t="s">
        <v>496</v>
      </c>
      <c r="E2528" t="s">
        <v>1024</v>
      </c>
    </row>
    <row r="2529" spans="2:5" x14ac:dyDescent="0.3">
      <c r="B2529" t="s">
        <v>4224</v>
      </c>
      <c r="C2529">
        <v>531680</v>
      </c>
      <c r="D2529" t="s">
        <v>496</v>
      </c>
      <c r="E2529" t="s">
        <v>610</v>
      </c>
    </row>
    <row r="2530" spans="2:5" x14ac:dyDescent="0.3">
      <c r="B2530" t="s">
        <v>4225</v>
      </c>
      <c r="C2530">
        <v>522249</v>
      </c>
      <c r="D2530" t="s">
        <v>4226</v>
      </c>
      <c r="E2530" t="s">
        <v>511</v>
      </c>
    </row>
    <row r="2531" spans="2:5" x14ac:dyDescent="0.3">
      <c r="B2531" t="s">
        <v>4227</v>
      </c>
      <c r="C2531">
        <v>523792</v>
      </c>
      <c r="D2531" t="s">
        <v>4228</v>
      </c>
      <c r="E2531" t="s">
        <v>504</v>
      </c>
    </row>
    <row r="2532" spans="2:5" x14ac:dyDescent="0.3">
      <c r="B2532" t="s">
        <v>4229</v>
      </c>
      <c r="C2532">
        <v>533152</v>
      </c>
      <c r="D2532" t="s">
        <v>4230</v>
      </c>
      <c r="E2532" t="s">
        <v>894</v>
      </c>
    </row>
    <row r="2533" spans="2:5" x14ac:dyDescent="0.3">
      <c r="B2533" t="s">
        <v>4231</v>
      </c>
      <c r="C2533">
        <v>532852</v>
      </c>
      <c r="D2533" t="s">
        <v>4232</v>
      </c>
      <c r="E2533" t="s">
        <v>516</v>
      </c>
    </row>
    <row r="2534" spans="2:5" x14ac:dyDescent="0.3">
      <c r="B2534" t="s">
        <v>4233</v>
      </c>
      <c r="C2534">
        <v>532654</v>
      </c>
      <c r="D2534" t="s">
        <v>4234</v>
      </c>
      <c r="E2534" t="s">
        <v>903</v>
      </c>
    </row>
    <row r="2535" spans="2:5" x14ac:dyDescent="0.3">
      <c r="B2535" t="s">
        <v>4235</v>
      </c>
      <c r="C2535">
        <v>532654</v>
      </c>
      <c r="D2535" t="s">
        <v>4234</v>
      </c>
      <c r="E2535" t="s">
        <v>903</v>
      </c>
    </row>
    <row r="2536" spans="2:5" x14ac:dyDescent="0.3">
      <c r="B2536" t="s">
        <v>4236</v>
      </c>
      <c r="C2536">
        <v>532629</v>
      </c>
      <c r="D2536" t="s">
        <v>4237</v>
      </c>
      <c r="E2536" t="s">
        <v>894</v>
      </c>
    </row>
    <row r="2537" spans="2:5" x14ac:dyDescent="0.3">
      <c r="B2537" t="s">
        <v>4238</v>
      </c>
      <c r="C2537">
        <v>512267</v>
      </c>
      <c r="D2537" t="s">
        <v>496</v>
      </c>
      <c r="E2537" t="s">
        <v>499</v>
      </c>
    </row>
    <row r="2538" spans="2:5" x14ac:dyDescent="0.3">
      <c r="B2538" t="s">
        <v>4239</v>
      </c>
      <c r="C2538">
        <v>531146</v>
      </c>
      <c r="D2538" t="s">
        <v>496</v>
      </c>
      <c r="E2538" t="s">
        <v>534</v>
      </c>
    </row>
    <row r="2539" spans="2:5" x14ac:dyDescent="0.3">
      <c r="B2539" t="s">
        <v>4240</v>
      </c>
      <c r="C2539">
        <v>523144</v>
      </c>
      <c r="D2539" t="s">
        <v>496</v>
      </c>
      <c r="E2539" t="s">
        <v>534</v>
      </c>
    </row>
    <row r="2540" spans="2:5" x14ac:dyDescent="0.3">
      <c r="B2540" t="s">
        <v>4241</v>
      </c>
      <c r="C2540">
        <v>539938</v>
      </c>
      <c r="D2540" t="s">
        <v>4242</v>
      </c>
      <c r="E2540" t="s">
        <v>479</v>
      </c>
    </row>
    <row r="2541" spans="2:5" x14ac:dyDescent="0.3">
      <c r="B2541" t="s">
        <v>4243</v>
      </c>
      <c r="C2541">
        <v>540937</v>
      </c>
      <c r="D2541" t="s">
        <v>496</v>
      </c>
      <c r="E2541" t="s">
        <v>534</v>
      </c>
    </row>
    <row r="2542" spans="2:5" x14ac:dyDescent="0.3">
      <c r="B2542" t="s">
        <v>4244</v>
      </c>
      <c r="C2542">
        <v>526301</v>
      </c>
      <c r="D2542" t="s">
        <v>496</v>
      </c>
      <c r="E2542" t="s">
        <v>685</v>
      </c>
    </row>
    <row r="2543" spans="2:5" x14ac:dyDescent="0.3">
      <c r="B2543" t="s">
        <v>4245</v>
      </c>
      <c r="C2543">
        <v>538834</v>
      </c>
      <c r="D2543" t="s">
        <v>496</v>
      </c>
      <c r="E2543" t="s">
        <v>513</v>
      </c>
    </row>
    <row r="2544" spans="2:5" x14ac:dyDescent="0.3">
      <c r="B2544" t="s">
        <v>4246</v>
      </c>
      <c r="C2544">
        <v>512505</v>
      </c>
      <c r="D2544" t="s">
        <v>496</v>
      </c>
      <c r="E2544" t="s">
        <v>819</v>
      </c>
    </row>
    <row r="2545" spans="2:5" x14ac:dyDescent="0.3">
      <c r="B2545" t="s">
        <v>4247</v>
      </c>
      <c r="C2545">
        <v>540519</v>
      </c>
      <c r="D2545" t="s">
        <v>496</v>
      </c>
      <c r="E2545" t="s">
        <v>504</v>
      </c>
    </row>
    <row r="2546" spans="2:5" x14ac:dyDescent="0.3">
      <c r="B2546" t="s">
        <v>4248</v>
      </c>
      <c r="C2546">
        <v>511276</v>
      </c>
      <c r="D2546" t="s">
        <v>496</v>
      </c>
      <c r="E2546" t="s">
        <v>694</v>
      </c>
    </row>
    <row r="2547" spans="2:5" x14ac:dyDescent="0.3">
      <c r="B2547" t="s">
        <v>4249</v>
      </c>
      <c r="C2547">
        <v>531176</v>
      </c>
      <c r="D2547" t="s">
        <v>496</v>
      </c>
      <c r="E2547" t="s">
        <v>513</v>
      </c>
    </row>
    <row r="2548" spans="2:5" x14ac:dyDescent="0.3">
      <c r="B2548" t="s">
        <v>4250</v>
      </c>
      <c r="C2548">
        <v>531417</v>
      </c>
      <c r="D2548" t="s">
        <v>496</v>
      </c>
      <c r="E2548" t="s">
        <v>513</v>
      </c>
    </row>
    <row r="2549" spans="2:5" x14ac:dyDescent="0.3">
      <c r="B2549" t="s">
        <v>4251</v>
      </c>
      <c r="C2549">
        <v>532105</v>
      </c>
      <c r="D2549" t="s">
        <v>496</v>
      </c>
      <c r="E2549" t="s">
        <v>917</v>
      </c>
    </row>
    <row r="2550" spans="2:5" x14ac:dyDescent="0.3">
      <c r="B2550" t="s">
        <v>4252</v>
      </c>
      <c r="C2550">
        <v>532105</v>
      </c>
      <c r="D2550" t="s">
        <v>496</v>
      </c>
      <c r="E2550" t="s">
        <v>917</v>
      </c>
    </row>
    <row r="2551" spans="2:5" x14ac:dyDescent="0.3">
      <c r="B2551" t="s">
        <v>4253</v>
      </c>
      <c r="C2551">
        <v>539767</v>
      </c>
      <c r="D2551" t="s">
        <v>496</v>
      </c>
      <c r="E2551" t="s">
        <v>582</v>
      </c>
    </row>
    <row r="2552" spans="2:5" x14ac:dyDescent="0.3">
      <c r="B2552" t="s">
        <v>4254</v>
      </c>
      <c r="C2552">
        <v>532408</v>
      </c>
      <c r="D2552" t="s">
        <v>4255</v>
      </c>
      <c r="E2552" t="s">
        <v>589</v>
      </c>
    </row>
    <row r="2553" spans="2:5" x14ac:dyDescent="0.3">
      <c r="B2553" t="s">
        <v>4256</v>
      </c>
      <c r="C2553">
        <v>541352</v>
      </c>
      <c r="D2553" t="s">
        <v>496</v>
      </c>
      <c r="E2553" t="s">
        <v>576</v>
      </c>
    </row>
    <row r="2554" spans="2:5" x14ac:dyDescent="0.3">
      <c r="B2554" t="s">
        <v>4257</v>
      </c>
      <c r="C2554">
        <v>532865</v>
      </c>
      <c r="D2554" t="s">
        <v>4258</v>
      </c>
      <c r="E2554" t="s">
        <v>656</v>
      </c>
    </row>
    <row r="2555" spans="2:5" x14ac:dyDescent="0.3">
      <c r="B2555" t="s">
        <v>4259</v>
      </c>
      <c r="C2555">
        <v>511367</v>
      </c>
      <c r="D2555" t="s">
        <v>496</v>
      </c>
      <c r="E2555" t="s">
        <v>513</v>
      </c>
    </row>
    <row r="2556" spans="2:5" x14ac:dyDescent="0.3">
      <c r="B2556" t="s">
        <v>4260</v>
      </c>
      <c r="C2556">
        <v>511367</v>
      </c>
      <c r="D2556" t="s">
        <v>496</v>
      </c>
      <c r="E2556" t="s">
        <v>513</v>
      </c>
    </row>
    <row r="2557" spans="2:5" x14ac:dyDescent="0.3">
      <c r="B2557" t="s">
        <v>4261</v>
      </c>
      <c r="C2557">
        <v>539012</v>
      </c>
      <c r="D2557" t="s">
        <v>496</v>
      </c>
      <c r="E2557" t="s">
        <v>502</v>
      </c>
    </row>
    <row r="2558" spans="2:5" x14ac:dyDescent="0.3">
      <c r="B2558" t="s">
        <v>4262</v>
      </c>
      <c r="C2558">
        <v>540730</v>
      </c>
      <c r="D2558" t="s">
        <v>496</v>
      </c>
      <c r="E2558" t="s">
        <v>518</v>
      </c>
    </row>
    <row r="2559" spans="2:5" x14ac:dyDescent="0.3">
      <c r="B2559" t="s">
        <v>4263</v>
      </c>
      <c r="C2559">
        <v>511740</v>
      </c>
      <c r="D2559" t="s">
        <v>496</v>
      </c>
      <c r="E2559" t="s">
        <v>554</v>
      </c>
    </row>
    <row r="2560" spans="2:5" x14ac:dyDescent="0.3">
      <c r="B2560" t="s">
        <v>4264</v>
      </c>
      <c r="C2560">
        <v>511377</v>
      </c>
      <c r="D2560" t="s">
        <v>496</v>
      </c>
      <c r="E2560" t="s">
        <v>513</v>
      </c>
    </row>
    <row r="2561" spans="2:5" x14ac:dyDescent="0.3">
      <c r="B2561" t="s">
        <v>4265</v>
      </c>
      <c r="C2561">
        <v>511738</v>
      </c>
      <c r="D2561" t="s">
        <v>496</v>
      </c>
      <c r="E2561" t="s">
        <v>479</v>
      </c>
    </row>
    <row r="2562" spans="2:5" x14ac:dyDescent="0.3">
      <c r="B2562" t="s">
        <v>4266</v>
      </c>
      <c r="C2562">
        <v>532307</v>
      </c>
      <c r="D2562" t="s">
        <v>4267</v>
      </c>
      <c r="E2562" t="s">
        <v>589</v>
      </c>
    </row>
    <row r="2563" spans="2:5" x14ac:dyDescent="0.3">
      <c r="B2563" t="s">
        <v>4268</v>
      </c>
      <c r="C2563">
        <v>531127</v>
      </c>
      <c r="D2563" t="s">
        <v>496</v>
      </c>
      <c r="E2563" t="s">
        <v>513</v>
      </c>
    </row>
    <row r="2564" spans="2:5" x14ac:dyDescent="0.3">
      <c r="B2564" t="s">
        <v>4269</v>
      </c>
      <c r="C2564">
        <v>523828</v>
      </c>
      <c r="D2564" t="s">
        <v>4270</v>
      </c>
      <c r="E2564" t="s">
        <v>851</v>
      </c>
    </row>
    <row r="2565" spans="2:5" x14ac:dyDescent="0.3">
      <c r="B2565" t="s">
        <v>4271</v>
      </c>
      <c r="C2565">
        <v>531727</v>
      </c>
      <c r="D2565" t="s">
        <v>496</v>
      </c>
      <c r="E2565" t="s">
        <v>851</v>
      </c>
    </row>
    <row r="2566" spans="2:5" x14ac:dyDescent="0.3">
      <c r="B2566" t="s">
        <v>4272</v>
      </c>
      <c r="C2566">
        <v>539126</v>
      </c>
      <c r="D2566" t="s">
        <v>4273</v>
      </c>
      <c r="E2566" t="s">
        <v>1091</v>
      </c>
    </row>
    <row r="2567" spans="2:5" x14ac:dyDescent="0.3">
      <c r="B2567" t="s">
        <v>4274</v>
      </c>
      <c r="C2567">
        <v>538942</v>
      </c>
      <c r="D2567" t="s">
        <v>496</v>
      </c>
      <c r="E2567" t="s">
        <v>917</v>
      </c>
    </row>
    <row r="2568" spans="2:5" x14ac:dyDescent="0.3">
      <c r="B2568" t="s">
        <v>4275</v>
      </c>
      <c r="C2568">
        <v>526235</v>
      </c>
      <c r="D2568" t="s">
        <v>4276</v>
      </c>
      <c r="E2568" t="s">
        <v>485</v>
      </c>
    </row>
    <row r="2569" spans="2:5" x14ac:dyDescent="0.3">
      <c r="B2569" t="s">
        <v>4277</v>
      </c>
      <c r="C2569">
        <v>500126</v>
      </c>
      <c r="D2569" t="s">
        <v>4278</v>
      </c>
      <c r="E2569" t="s">
        <v>534</v>
      </c>
    </row>
    <row r="2570" spans="2:5" x14ac:dyDescent="0.3">
      <c r="B2570" t="s">
        <v>4279</v>
      </c>
      <c r="C2570">
        <v>538964</v>
      </c>
      <c r="D2570" t="s">
        <v>496</v>
      </c>
      <c r="E2570" t="s">
        <v>534</v>
      </c>
    </row>
    <row r="2571" spans="2:5" x14ac:dyDescent="0.3">
      <c r="B2571" t="s">
        <v>4280</v>
      </c>
      <c r="C2571">
        <v>531357</v>
      </c>
      <c r="D2571" t="s">
        <v>496</v>
      </c>
      <c r="E2571" t="s">
        <v>518</v>
      </c>
    </row>
    <row r="2572" spans="2:5" x14ac:dyDescent="0.3">
      <c r="B2572" t="s">
        <v>4281</v>
      </c>
      <c r="C2572">
        <v>512415</v>
      </c>
      <c r="D2572" t="s">
        <v>496</v>
      </c>
      <c r="E2572" t="s">
        <v>917</v>
      </c>
    </row>
    <row r="2573" spans="2:5" x14ac:dyDescent="0.3">
      <c r="B2573" t="s">
        <v>4282</v>
      </c>
      <c r="C2573">
        <v>500274</v>
      </c>
      <c r="D2573" t="s">
        <v>496</v>
      </c>
      <c r="E2573" t="s">
        <v>534</v>
      </c>
    </row>
    <row r="2574" spans="2:5" x14ac:dyDescent="0.3">
      <c r="B2574" t="s">
        <v>4283</v>
      </c>
      <c r="C2574">
        <v>531810</v>
      </c>
      <c r="D2574" t="s">
        <v>496</v>
      </c>
      <c r="E2574" t="s">
        <v>819</v>
      </c>
    </row>
    <row r="2575" spans="2:5" x14ac:dyDescent="0.3">
      <c r="B2575" t="s">
        <v>4284</v>
      </c>
      <c r="C2575">
        <v>531810</v>
      </c>
      <c r="D2575" t="s">
        <v>496</v>
      </c>
      <c r="E2575" t="s">
        <v>819</v>
      </c>
    </row>
    <row r="2576" spans="2:5" x14ac:dyDescent="0.3">
      <c r="B2576" t="s">
        <v>4285</v>
      </c>
      <c r="C2576">
        <v>513335</v>
      </c>
      <c r="D2576" t="s">
        <v>4286</v>
      </c>
      <c r="E2576" t="s">
        <v>1416</v>
      </c>
    </row>
    <row r="2577" spans="2:5" x14ac:dyDescent="0.3">
      <c r="B2577" t="s">
        <v>4287</v>
      </c>
      <c r="C2577">
        <v>532990</v>
      </c>
      <c r="D2577" t="s">
        <v>4288</v>
      </c>
      <c r="E2577" t="s">
        <v>528</v>
      </c>
    </row>
    <row r="2578" spans="2:5" x14ac:dyDescent="0.3">
      <c r="B2578" t="s">
        <v>4289</v>
      </c>
      <c r="C2578">
        <v>500159</v>
      </c>
      <c r="D2578" t="s">
        <v>496</v>
      </c>
      <c r="E2578" t="s">
        <v>490</v>
      </c>
    </row>
    <row r="2579" spans="2:5" x14ac:dyDescent="0.3">
      <c r="B2579" t="s">
        <v>4290</v>
      </c>
      <c r="C2579">
        <v>542650</v>
      </c>
      <c r="D2579" t="s">
        <v>4291</v>
      </c>
      <c r="E2579" t="s">
        <v>685</v>
      </c>
    </row>
    <row r="2580" spans="2:5" x14ac:dyDescent="0.3">
      <c r="B2580" t="s">
        <v>4292</v>
      </c>
      <c r="C2580">
        <v>540150</v>
      </c>
      <c r="D2580" t="s">
        <v>496</v>
      </c>
      <c r="E2580" t="s">
        <v>894</v>
      </c>
    </row>
    <row r="2581" spans="2:5" x14ac:dyDescent="0.3">
      <c r="B2581" t="s">
        <v>4293</v>
      </c>
      <c r="C2581">
        <v>513496</v>
      </c>
      <c r="D2581" t="s">
        <v>496</v>
      </c>
      <c r="E2581" t="s">
        <v>3012</v>
      </c>
    </row>
    <row r="2582" spans="2:5" x14ac:dyDescent="0.3">
      <c r="B2582" t="s">
        <v>4294</v>
      </c>
      <c r="C2582">
        <v>531613</v>
      </c>
      <c r="D2582" t="s">
        <v>4295</v>
      </c>
      <c r="E2582" t="s">
        <v>1052</v>
      </c>
    </row>
    <row r="2583" spans="2:5" x14ac:dyDescent="0.3">
      <c r="B2583" t="s">
        <v>4296</v>
      </c>
      <c r="C2583">
        <v>526622</v>
      </c>
      <c r="D2583" t="s">
        <v>496</v>
      </c>
      <c r="E2583" t="s">
        <v>817</v>
      </c>
    </row>
    <row r="2584" spans="2:5" x14ac:dyDescent="0.3">
      <c r="B2584" t="s">
        <v>4297</v>
      </c>
      <c r="C2584">
        <v>526622</v>
      </c>
      <c r="D2584" t="s">
        <v>496</v>
      </c>
      <c r="E2584" t="s">
        <v>817</v>
      </c>
    </row>
    <row r="2585" spans="2:5" x14ac:dyDescent="0.3">
      <c r="B2585" t="s">
        <v>4298</v>
      </c>
      <c r="C2585">
        <v>513721</v>
      </c>
      <c r="D2585" t="s">
        <v>496</v>
      </c>
      <c r="E2585" t="s">
        <v>528</v>
      </c>
    </row>
    <row r="2586" spans="2:5" x14ac:dyDescent="0.3">
      <c r="B2586" t="s">
        <v>4299</v>
      </c>
      <c r="C2586">
        <v>532850</v>
      </c>
      <c r="D2586" t="s">
        <v>4300</v>
      </c>
      <c r="E2586" t="s">
        <v>1038</v>
      </c>
    </row>
    <row r="2587" spans="2:5" x14ac:dyDescent="0.3">
      <c r="B2587" t="s">
        <v>4301</v>
      </c>
      <c r="C2587">
        <v>523343</v>
      </c>
      <c r="D2587" t="s">
        <v>496</v>
      </c>
      <c r="E2587" t="s">
        <v>513</v>
      </c>
    </row>
    <row r="2588" spans="2:5" x14ac:dyDescent="0.3">
      <c r="B2588" t="s">
        <v>4302</v>
      </c>
      <c r="C2588">
        <v>523343</v>
      </c>
      <c r="D2588" t="s">
        <v>496</v>
      </c>
      <c r="E2588" t="s">
        <v>513</v>
      </c>
    </row>
    <row r="2589" spans="2:5" x14ac:dyDescent="0.3">
      <c r="B2589" t="s">
        <v>4303</v>
      </c>
      <c r="C2589">
        <v>526251</v>
      </c>
      <c r="D2589" t="s">
        <v>496</v>
      </c>
      <c r="E2589" t="s">
        <v>479</v>
      </c>
    </row>
    <row r="2590" spans="2:5" x14ac:dyDescent="0.3">
      <c r="B2590" t="s">
        <v>4304</v>
      </c>
      <c r="C2590">
        <v>500277</v>
      </c>
      <c r="D2590" t="s">
        <v>496</v>
      </c>
      <c r="E2590" t="s">
        <v>511</v>
      </c>
    </row>
    <row r="2591" spans="2:5" x14ac:dyDescent="0.3">
      <c r="B2591" t="s">
        <v>4305</v>
      </c>
      <c r="C2591">
        <v>531192</v>
      </c>
      <c r="D2591" t="s">
        <v>496</v>
      </c>
      <c r="E2591" t="s">
        <v>513</v>
      </c>
    </row>
    <row r="2592" spans="2:5" x14ac:dyDescent="0.3">
      <c r="B2592" t="s">
        <v>4306</v>
      </c>
      <c r="C2592">
        <v>540744</v>
      </c>
      <c r="D2592" t="s">
        <v>496</v>
      </c>
      <c r="E2592" t="s">
        <v>528</v>
      </c>
    </row>
    <row r="2593" spans="2:5" x14ac:dyDescent="0.3">
      <c r="B2593" t="s">
        <v>4307</v>
      </c>
      <c r="C2593">
        <v>533310</v>
      </c>
      <c r="D2593" t="s">
        <v>4308</v>
      </c>
      <c r="E2593" t="s">
        <v>4309</v>
      </c>
    </row>
    <row r="2594" spans="2:5" x14ac:dyDescent="0.3">
      <c r="B2594" t="s">
        <v>4310</v>
      </c>
      <c r="C2594">
        <v>526570</v>
      </c>
      <c r="D2594" t="s">
        <v>496</v>
      </c>
      <c r="E2594" t="s">
        <v>1024</v>
      </c>
    </row>
    <row r="2595" spans="2:5" x14ac:dyDescent="0.3">
      <c r="B2595" t="s">
        <v>4311</v>
      </c>
      <c r="C2595">
        <v>538895</v>
      </c>
      <c r="D2595" t="s">
        <v>496</v>
      </c>
      <c r="E2595" t="s">
        <v>518</v>
      </c>
    </row>
    <row r="2596" spans="2:5" x14ac:dyDescent="0.3">
      <c r="B2596" t="s">
        <v>4312</v>
      </c>
      <c r="C2596">
        <v>541337</v>
      </c>
      <c r="D2596" t="s">
        <v>496</v>
      </c>
      <c r="E2596" t="s">
        <v>773</v>
      </c>
    </row>
    <row r="2597" spans="2:5" x14ac:dyDescent="0.3">
      <c r="B2597" t="s">
        <v>4313</v>
      </c>
      <c r="C2597">
        <v>531338</v>
      </c>
      <c r="D2597" t="s">
        <v>496</v>
      </c>
      <c r="E2597" t="s">
        <v>1024</v>
      </c>
    </row>
    <row r="2598" spans="2:5" x14ac:dyDescent="0.3">
      <c r="B2598" t="s">
        <v>4314</v>
      </c>
      <c r="C2598">
        <v>511018</v>
      </c>
      <c r="D2598" t="s">
        <v>496</v>
      </c>
      <c r="E2598" t="s">
        <v>917</v>
      </c>
    </row>
    <row r="2599" spans="2:5" x14ac:dyDescent="0.3">
      <c r="B2599" t="s">
        <v>4315</v>
      </c>
      <c r="C2599">
        <v>507621</v>
      </c>
      <c r="D2599" t="s">
        <v>496</v>
      </c>
      <c r="E2599" t="s">
        <v>556</v>
      </c>
    </row>
    <row r="2600" spans="2:5" x14ac:dyDescent="0.3">
      <c r="B2600" t="s">
        <v>4316</v>
      </c>
      <c r="C2600">
        <v>511187</v>
      </c>
      <c r="D2600" t="s">
        <v>496</v>
      </c>
      <c r="E2600" t="s">
        <v>917</v>
      </c>
    </row>
    <row r="2601" spans="2:5" x14ac:dyDescent="0.3">
      <c r="B2601" t="s">
        <v>4317</v>
      </c>
      <c r="C2601" t="s">
        <v>496</v>
      </c>
      <c r="D2601" t="s">
        <v>4318</v>
      </c>
      <c r="E2601" t="s">
        <v>507</v>
      </c>
    </row>
    <row r="2602" spans="2:5" x14ac:dyDescent="0.3">
      <c r="B2602" t="s">
        <v>4319</v>
      </c>
      <c r="C2602">
        <v>531456</v>
      </c>
      <c r="D2602" t="s">
        <v>496</v>
      </c>
      <c r="E2602" t="s">
        <v>511</v>
      </c>
    </row>
    <row r="2603" spans="2:5" x14ac:dyDescent="0.3">
      <c r="B2603" t="s">
        <v>4320</v>
      </c>
      <c r="C2603">
        <v>538962</v>
      </c>
      <c r="D2603" t="s">
        <v>4321</v>
      </c>
      <c r="E2603" t="s">
        <v>851</v>
      </c>
    </row>
    <row r="2604" spans="2:5" x14ac:dyDescent="0.3">
      <c r="B2604" t="s">
        <v>4322</v>
      </c>
      <c r="C2604">
        <v>539303</v>
      </c>
      <c r="D2604" t="s">
        <v>496</v>
      </c>
      <c r="E2604" t="s">
        <v>513</v>
      </c>
    </row>
    <row r="2605" spans="2:5" x14ac:dyDescent="0.3">
      <c r="B2605" t="s">
        <v>4323</v>
      </c>
      <c r="C2605">
        <v>532539</v>
      </c>
      <c r="D2605" t="s">
        <v>4324</v>
      </c>
      <c r="E2605" t="s">
        <v>851</v>
      </c>
    </row>
    <row r="2606" spans="2:5" x14ac:dyDescent="0.3">
      <c r="B2606" t="s">
        <v>4325</v>
      </c>
      <c r="C2606">
        <v>517344</v>
      </c>
      <c r="D2606" t="s">
        <v>4326</v>
      </c>
      <c r="E2606" t="s">
        <v>589</v>
      </c>
    </row>
    <row r="2607" spans="2:5" x14ac:dyDescent="0.3">
      <c r="B2607" t="s">
        <v>4327</v>
      </c>
      <c r="C2607">
        <v>517344</v>
      </c>
      <c r="D2607" t="s">
        <v>4326</v>
      </c>
      <c r="E2607" t="s">
        <v>589</v>
      </c>
    </row>
    <row r="2608" spans="2:5" x14ac:dyDescent="0.3">
      <c r="B2608" t="s">
        <v>4328</v>
      </c>
      <c r="C2608">
        <v>532819</v>
      </c>
      <c r="D2608" t="s">
        <v>4329</v>
      </c>
      <c r="E2608" t="s">
        <v>482</v>
      </c>
    </row>
    <row r="2609" spans="2:5" x14ac:dyDescent="0.3">
      <c r="B2609" t="s">
        <v>4330</v>
      </c>
      <c r="C2609">
        <v>523373</v>
      </c>
      <c r="D2609" t="s">
        <v>496</v>
      </c>
      <c r="E2609" t="s">
        <v>610</v>
      </c>
    </row>
    <row r="2610" spans="2:5" x14ac:dyDescent="0.3">
      <c r="B2610" t="s">
        <v>4331</v>
      </c>
      <c r="C2610">
        <v>523373</v>
      </c>
      <c r="D2610" t="s">
        <v>496</v>
      </c>
      <c r="E2610" t="s">
        <v>610</v>
      </c>
    </row>
    <row r="2611" spans="2:5" x14ac:dyDescent="0.3">
      <c r="B2611" t="s">
        <v>4332</v>
      </c>
      <c r="C2611">
        <v>532164</v>
      </c>
      <c r="D2611" t="s">
        <v>496</v>
      </c>
      <c r="E2611" t="s">
        <v>513</v>
      </c>
    </row>
    <row r="2612" spans="2:5" x14ac:dyDescent="0.3">
      <c r="B2612" t="s">
        <v>4333</v>
      </c>
      <c r="C2612">
        <v>505797</v>
      </c>
      <c r="D2612" t="s">
        <v>496</v>
      </c>
      <c r="E2612" t="s">
        <v>681</v>
      </c>
    </row>
    <row r="2613" spans="2:5" x14ac:dyDescent="0.3">
      <c r="B2613" t="s">
        <v>4334</v>
      </c>
      <c r="C2613">
        <v>500279</v>
      </c>
      <c r="D2613" t="s">
        <v>4335</v>
      </c>
      <c r="E2613" t="s">
        <v>865</v>
      </c>
    </row>
    <row r="2614" spans="2:5" x14ac:dyDescent="0.3">
      <c r="B2614" t="s">
        <v>4336</v>
      </c>
      <c r="C2614">
        <v>505336</v>
      </c>
      <c r="D2614" t="s">
        <v>496</v>
      </c>
      <c r="E2614" t="s">
        <v>504</v>
      </c>
    </row>
    <row r="2615" spans="2:5" x14ac:dyDescent="0.3">
      <c r="B2615" t="s">
        <v>4337</v>
      </c>
      <c r="C2615">
        <v>505336</v>
      </c>
      <c r="D2615" t="s">
        <v>496</v>
      </c>
      <c r="E2615" t="s">
        <v>504</v>
      </c>
    </row>
    <row r="2616" spans="2:5" x14ac:dyDescent="0.3">
      <c r="B2616" t="s">
        <v>4338</v>
      </c>
      <c r="C2616">
        <v>526642</v>
      </c>
      <c r="D2616" t="s">
        <v>4339</v>
      </c>
      <c r="E2616" t="s">
        <v>922</v>
      </c>
    </row>
    <row r="2617" spans="2:5" x14ac:dyDescent="0.3">
      <c r="B2617" t="s">
        <v>4340</v>
      </c>
      <c r="C2617">
        <v>539220</v>
      </c>
      <c r="D2617" t="s">
        <v>496</v>
      </c>
      <c r="E2617" t="s">
        <v>610</v>
      </c>
    </row>
    <row r="2618" spans="2:5" x14ac:dyDescent="0.3">
      <c r="B2618" t="s">
        <v>4341</v>
      </c>
      <c r="C2618">
        <v>541195</v>
      </c>
      <c r="D2618" t="s">
        <v>4342</v>
      </c>
      <c r="E2618" t="s">
        <v>819</v>
      </c>
    </row>
    <row r="2619" spans="2:5" x14ac:dyDescent="0.3">
      <c r="B2619" t="s">
        <v>4343</v>
      </c>
      <c r="C2619">
        <v>539594</v>
      </c>
      <c r="D2619" t="s">
        <v>496</v>
      </c>
      <c r="E2619" t="s">
        <v>694</v>
      </c>
    </row>
    <row r="2620" spans="2:5" x14ac:dyDescent="0.3">
      <c r="B2620" t="s">
        <v>4344</v>
      </c>
      <c r="C2620" t="s">
        <v>496</v>
      </c>
      <c r="D2620" t="s">
        <v>4345</v>
      </c>
      <c r="E2620" t="s">
        <v>507</v>
      </c>
    </row>
    <row r="2621" spans="2:5" x14ac:dyDescent="0.3">
      <c r="B2621" t="s">
        <v>4346</v>
      </c>
      <c r="C2621">
        <v>523782</v>
      </c>
      <c r="D2621" t="s">
        <v>496</v>
      </c>
      <c r="E2621" t="s">
        <v>518</v>
      </c>
    </row>
    <row r="2622" spans="2:5" x14ac:dyDescent="0.3">
      <c r="B2622" t="s">
        <v>4347</v>
      </c>
      <c r="C2622">
        <v>523782</v>
      </c>
      <c r="D2622" t="s">
        <v>496</v>
      </c>
      <c r="E2622" t="s">
        <v>518</v>
      </c>
    </row>
    <row r="2623" spans="2:5" x14ac:dyDescent="0.3">
      <c r="B2623" t="s">
        <v>4348</v>
      </c>
      <c r="C2623">
        <v>540078</v>
      </c>
      <c r="D2623" t="s">
        <v>496</v>
      </c>
      <c r="E2623" t="s">
        <v>691</v>
      </c>
    </row>
    <row r="2624" spans="2:5" x14ac:dyDescent="0.3">
      <c r="B2624" t="s">
        <v>4349</v>
      </c>
      <c r="C2624" t="s">
        <v>496</v>
      </c>
      <c r="D2624" t="s">
        <v>4350</v>
      </c>
      <c r="E2624" t="s">
        <v>507</v>
      </c>
    </row>
    <row r="2625" spans="2:5" x14ac:dyDescent="0.3">
      <c r="B2625" t="s">
        <v>4351</v>
      </c>
      <c r="C2625">
        <v>522036</v>
      </c>
      <c r="D2625" t="s">
        <v>4352</v>
      </c>
      <c r="E2625" t="s">
        <v>681</v>
      </c>
    </row>
    <row r="2626" spans="2:5" x14ac:dyDescent="0.3">
      <c r="B2626" t="s">
        <v>4353</v>
      </c>
      <c r="C2626">
        <v>522241</v>
      </c>
      <c r="D2626" t="s">
        <v>4354</v>
      </c>
      <c r="E2626" t="s">
        <v>1416</v>
      </c>
    </row>
    <row r="2627" spans="2:5" x14ac:dyDescent="0.3">
      <c r="B2627" t="s">
        <v>4355</v>
      </c>
      <c r="C2627">
        <v>509196</v>
      </c>
      <c r="D2627" t="s">
        <v>4356</v>
      </c>
      <c r="E2627" t="s">
        <v>4357</v>
      </c>
    </row>
    <row r="2628" spans="2:5" x14ac:dyDescent="0.3">
      <c r="B2628" t="s">
        <v>4358</v>
      </c>
      <c r="C2628" t="s">
        <v>496</v>
      </c>
      <c r="D2628" t="s">
        <v>4359</v>
      </c>
      <c r="E2628" t="s">
        <v>507</v>
      </c>
    </row>
    <row r="2629" spans="2:5" x14ac:dyDescent="0.3">
      <c r="B2629" t="s">
        <v>4360</v>
      </c>
      <c r="C2629">
        <v>513377</v>
      </c>
      <c r="D2629" t="s">
        <v>4361</v>
      </c>
      <c r="E2629" t="s">
        <v>518</v>
      </c>
    </row>
    <row r="2630" spans="2:5" x14ac:dyDescent="0.3">
      <c r="B2630" t="s">
        <v>4362</v>
      </c>
      <c r="C2630">
        <v>503772</v>
      </c>
      <c r="D2630" t="s">
        <v>496</v>
      </c>
      <c r="E2630" t="s">
        <v>518</v>
      </c>
    </row>
    <row r="2631" spans="2:5" x14ac:dyDescent="0.3">
      <c r="B2631" t="s">
        <v>4363</v>
      </c>
      <c r="C2631">
        <v>503015</v>
      </c>
      <c r="D2631" t="s">
        <v>496</v>
      </c>
      <c r="E2631" t="s">
        <v>518</v>
      </c>
    </row>
    <row r="2632" spans="2:5" x14ac:dyDescent="0.3">
      <c r="B2632" t="s">
        <v>4364</v>
      </c>
      <c r="C2632">
        <v>539762</v>
      </c>
      <c r="D2632" t="s">
        <v>496</v>
      </c>
      <c r="E2632" t="s">
        <v>694</v>
      </c>
    </row>
    <row r="2633" spans="2:5" x14ac:dyDescent="0.3">
      <c r="B2633" t="s">
        <v>4365</v>
      </c>
      <c r="C2633">
        <v>519287</v>
      </c>
      <c r="D2633" t="s">
        <v>496</v>
      </c>
      <c r="E2633" t="s">
        <v>556</v>
      </c>
    </row>
    <row r="2634" spans="2:5" x14ac:dyDescent="0.3">
      <c r="B2634" t="s">
        <v>4366</v>
      </c>
      <c r="C2634">
        <v>503015</v>
      </c>
      <c r="D2634" t="s">
        <v>496</v>
      </c>
      <c r="E2634" t="s">
        <v>518</v>
      </c>
    </row>
    <row r="2635" spans="2:5" x14ac:dyDescent="0.3">
      <c r="B2635" t="s">
        <v>4367</v>
      </c>
      <c r="C2635">
        <v>509760</v>
      </c>
      <c r="D2635" t="s">
        <v>496</v>
      </c>
      <c r="E2635" t="s">
        <v>479</v>
      </c>
    </row>
    <row r="2636" spans="2:5" x14ac:dyDescent="0.3">
      <c r="B2636" t="s">
        <v>4368</v>
      </c>
      <c r="C2636">
        <v>513303</v>
      </c>
      <c r="D2636" t="s">
        <v>4369</v>
      </c>
      <c r="E2636" t="s">
        <v>4370</v>
      </c>
    </row>
    <row r="2637" spans="2:5" x14ac:dyDescent="0.3">
      <c r="B2637" t="s">
        <v>4371</v>
      </c>
      <c r="C2637">
        <v>537092</v>
      </c>
      <c r="D2637" t="s">
        <v>496</v>
      </c>
      <c r="E2637" t="s">
        <v>479</v>
      </c>
    </row>
    <row r="2638" spans="2:5" x14ac:dyDescent="0.3">
      <c r="B2638" t="s">
        <v>4372</v>
      </c>
      <c r="C2638">
        <v>519003</v>
      </c>
      <c r="D2638" t="s">
        <v>496</v>
      </c>
      <c r="E2638" t="s">
        <v>694</v>
      </c>
    </row>
    <row r="2639" spans="2:5" x14ac:dyDescent="0.3">
      <c r="B2639" t="s">
        <v>4373</v>
      </c>
      <c r="C2639">
        <v>500890</v>
      </c>
      <c r="D2639" t="s">
        <v>4374</v>
      </c>
      <c r="E2639" t="s">
        <v>976</v>
      </c>
    </row>
    <row r="2640" spans="2:5" x14ac:dyDescent="0.3">
      <c r="B2640" t="s">
        <v>4375</v>
      </c>
      <c r="C2640">
        <v>503776</v>
      </c>
      <c r="D2640" t="s">
        <v>496</v>
      </c>
      <c r="E2640" t="s">
        <v>640</v>
      </c>
    </row>
    <row r="2641" spans="2:5" x14ac:dyDescent="0.3">
      <c r="B2641" t="s">
        <v>4376</v>
      </c>
      <c r="C2641">
        <v>506261</v>
      </c>
      <c r="D2641" t="s">
        <v>496</v>
      </c>
      <c r="E2641" t="s">
        <v>794</v>
      </c>
    </row>
    <row r="2642" spans="2:5" x14ac:dyDescent="0.3">
      <c r="B2642" t="s">
        <v>4377</v>
      </c>
      <c r="C2642" t="s">
        <v>496</v>
      </c>
      <c r="D2642" t="s">
        <v>4378</v>
      </c>
      <c r="E2642" t="s">
        <v>507</v>
      </c>
    </row>
    <row r="2643" spans="2:5" x14ac:dyDescent="0.3">
      <c r="B2643" t="s">
        <v>4379</v>
      </c>
      <c r="C2643">
        <v>531453</v>
      </c>
      <c r="D2643" t="s">
        <v>4380</v>
      </c>
      <c r="E2643" t="s">
        <v>511</v>
      </c>
    </row>
    <row r="2644" spans="2:5" x14ac:dyDescent="0.3">
      <c r="B2644" t="s">
        <v>4381</v>
      </c>
      <c r="C2644">
        <v>530169</v>
      </c>
      <c r="D2644" t="s">
        <v>496</v>
      </c>
      <c r="E2644" t="s">
        <v>490</v>
      </c>
    </row>
    <row r="2645" spans="2:5" x14ac:dyDescent="0.3">
      <c r="B2645" t="s">
        <v>4382</v>
      </c>
      <c r="C2645">
        <v>532140</v>
      </c>
      <c r="D2645" t="s">
        <v>496</v>
      </c>
      <c r="E2645" t="s">
        <v>511</v>
      </c>
    </row>
    <row r="2646" spans="2:5" x14ac:dyDescent="0.3">
      <c r="B2646" t="s">
        <v>4383</v>
      </c>
      <c r="C2646">
        <v>530047</v>
      </c>
      <c r="D2646" t="s">
        <v>4384</v>
      </c>
      <c r="E2646" t="s">
        <v>511</v>
      </c>
    </row>
    <row r="2647" spans="2:5" x14ac:dyDescent="0.3">
      <c r="B2647" t="s">
        <v>4385</v>
      </c>
      <c r="C2647">
        <v>533286</v>
      </c>
      <c r="D2647" t="s">
        <v>4386</v>
      </c>
      <c r="E2647" t="s">
        <v>476</v>
      </c>
    </row>
    <row r="2648" spans="2:5" x14ac:dyDescent="0.3">
      <c r="B2648" t="s">
        <v>4387</v>
      </c>
      <c r="C2648" t="s">
        <v>496</v>
      </c>
      <c r="D2648" t="s">
        <v>4388</v>
      </c>
      <c r="E2648" t="s">
        <v>507</v>
      </c>
    </row>
    <row r="2649" spans="2:5" x14ac:dyDescent="0.3">
      <c r="B2649" t="s">
        <v>4389</v>
      </c>
      <c r="C2649">
        <v>533080</v>
      </c>
      <c r="D2649" t="s">
        <v>4390</v>
      </c>
      <c r="E2649" t="s">
        <v>691</v>
      </c>
    </row>
    <row r="2650" spans="2:5" x14ac:dyDescent="0.3">
      <c r="B2650" t="s">
        <v>4391</v>
      </c>
      <c r="C2650">
        <v>526263</v>
      </c>
      <c r="D2650" t="s">
        <v>4392</v>
      </c>
      <c r="E2650" t="s">
        <v>826</v>
      </c>
    </row>
    <row r="2651" spans="2:5" x14ac:dyDescent="0.3">
      <c r="B2651" t="s">
        <v>4393</v>
      </c>
      <c r="C2651">
        <v>511551</v>
      </c>
      <c r="D2651" t="s">
        <v>496</v>
      </c>
      <c r="E2651" t="s">
        <v>479</v>
      </c>
    </row>
    <row r="2652" spans="2:5" x14ac:dyDescent="0.3">
      <c r="B2652" t="s">
        <v>4394</v>
      </c>
      <c r="C2652">
        <v>535910</v>
      </c>
      <c r="D2652" t="s">
        <v>496</v>
      </c>
      <c r="E2652" t="s">
        <v>513</v>
      </c>
    </row>
    <row r="2653" spans="2:5" x14ac:dyDescent="0.3">
      <c r="B2653" t="s">
        <v>4395</v>
      </c>
      <c r="C2653">
        <v>532078</v>
      </c>
      <c r="D2653" t="s">
        <v>496</v>
      </c>
      <c r="E2653" t="s">
        <v>528</v>
      </c>
    </row>
    <row r="2654" spans="2:5" x14ac:dyDescent="0.3">
      <c r="B2654" t="s">
        <v>4396</v>
      </c>
      <c r="C2654">
        <v>513446</v>
      </c>
      <c r="D2654" t="s">
        <v>4397</v>
      </c>
      <c r="E2654" t="s">
        <v>528</v>
      </c>
    </row>
    <row r="2655" spans="2:5" x14ac:dyDescent="0.3">
      <c r="B2655" t="s">
        <v>4398</v>
      </c>
      <c r="C2655">
        <v>532723</v>
      </c>
      <c r="D2655" t="s">
        <v>496</v>
      </c>
      <c r="E2655" t="s">
        <v>582</v>
      </c>
    </row>
    <row r="2656" spans="2:5" x14ac:dyDescent="0.3">
      <c r="B2656" t="s">
        <v>4399</v>
      </c>
      <c r="C2656">
        <v>505343</v>
      </c>
      <c r="D2656" t="s">
        <v>496</v>
      </c>
      <c r="E2656" t="s">
        <v>917</v>
      </c>
    </row>
    <row r="2657" spans="2:5" x14ac:dyDescent="0.3">
      <c r="B2657" t="s">
        <v>4400</v>
      </c>
      <c r="C2657">
        <v>505343</v>
      </c>
      <c r="D2657" t="s">
        <v>496</v>
      </c>
      <c r="E2657" t="s">
        <v>917</v>
      </c>
    </row>
    <row r="2658" spans="2:5" x14ac:dyDescent="0.3">
      <c r="B2658" t="s">
        <v>4401</v>
      </c>
      <c r="C2658">
        <v>524084</v>
      </c>
      <c r="D2658" t="s">
        <v>4402</v>
      </c>
      <c r="E2658" t="s">
        <v>640</v>
      </c>
    </row>
    <row r="2659" spans="2:5" x14ac:dyDescent="0.3">
      <c r="B2659" t="s">
        <v>4403</v>
      </c>
      <c r="C2659">
        <v>524084</v>
      </c>
      <c r="D2659" t="s">
        <v>4402</v>
      </c>
      <c r="E2659" t="s">
        <v>640</v>
      </c>
    </row>
    <row r="2660" spans="2:5" x14ac:dyDescent="0.3">
      <c r="B2660" t="s">
        <v>4404</v>
      </c>
      <c r="C2660">
        <v>538836</v>
      </c>
      <c r="D2660" t="s">
        <v>4405</v>
      </c>
      <c r="E2660" t="s">
        <v>610</v>
      </c>
    </row>
    <row r="2661" spans="2:5" x14ac:dyDescent="0.3">
      <c r="B2661" t="s">
        <v>4406</v>
      </c>
      <c r="C2661">
        <v>530167</v>
      </c>
      <c r="D2661" t="s">
        <v>496</v>
      </c>
      <c r="E2661" t="s">
        <v>513</v>
      </c>
    </row>
    <row r="2662" spans="2:5" x14ac:dyDescent="0.3">
      <c r="B2662" t="s">
        <v>4407</v>
      </c>
      <c r="C2662">
        <v>539199</v>
      </c>
      <c r="D2662" t="s">
        <v>496</v>
      </c>
      <c r="E2662" t="s">
        <v>479</v>
      </c>
    </row>
    <row r="2663" spans="2:5" x14ac:dyDescent="0.3">
      <c r="B2663" t="s">
        <v>4408</v>
      </c>
      <c r="C2663">
        <v>532621</v>
      </c>
      <c r="D2663" t="s">
        <v>4409</v>
      </c>
      <c r="E2663" t="s">
        <v>511</v>
      </c>
    </row>
    <row r="2664" spans="2:5" x14ac:dyDescent="0.3">
      <c r="B2664" t="s">
        <v>4410</v>
      </c>
      <c r="C2664">
        <v>511549</v>
      </c>
      <c r="D2664" t="s">
        <v>496</v>
      </c>
      <c r="E2664" t="s">
        <v>513</v>
      </c>
    </row>
    <row r="2665" spans="2:5" x14ac:dyDescent="0.3">
      <c r="B2665" t="s">
        <v>4411</v>
      </c>
      <c r="C2665">
        <v>500288</v>
      </c>
      <c r="D2665" t="s">
        <v>4412</v>
      </c>
      <c r="E2665" t="s">
        <v>534</v>
      </c>
    </row>
    <row r="2666" spans="2:5" x14ac:dyDescent="0.3">
      <c r="B2666" t="s">
        <v>4413</v>
      </c>
      <c r="C2666">
        <v>526237</v>
      </c>
      <c r="D2666" t="s">
        <v>496</v>
      </c>
      <c r="E2666" t="s">
        <v>513</v>
      </c>
    </row>
    <row r="2667" spans="2:5" x14ac:dyDescent="0.3">
      <c r="B2667" t="s">
        <v>4414</v>
      </c>
      <c r="C2667">
        <v>523160</v>
      </c>
      <c r="D2667" t="s">
        <v>496</v>
      </c>
      <c r="E2667" t="s">
        <v>681</v>
      </c>
    </row>
    <row r="2668" spans="2:5" x14ac:dyDescent="0.3">
      <c r="B2668" t="s">
        <v>4415</v>
      </c>
      <c r="C2668">
        <v>523160</v>
      </c>
      <c r="D2668" t="s">
        <v>496</v>
      </c>
      <c r="E2668" t="s">
        <v>681</v>
      </c>
    </row>
    <row r="2669" spans="2:5" x14ac:dyDescent="0.3">
      <c r="B2669" t="s">
        <v>4416</v>
      </c>
      <c r="C2669">
        <v>513305</v>
      </c>
      <c r="D2669" t="s">
        <v>4417</v>
      </c>
      <c r="E2669" t="s">
        <v>917</v>
      </c>
    </row>
    <row r="2670" spans="2:5" x14ac:dyDescent="0.3">
      <c r="B2670" t="s">
        <v>4418</v>
      </c>
      <c r="C2670">
        <v>532407</v>
      </c>
      <c r="D2670" t="s">
        <v>496</v>
      </c>
      <c r="E2670" t="s">
        <v>589</v>
      </c>
    </row>
    <row r="2671" spans="2:5" x14ac:dyDescent="0.3">
      <c r="B2671" t="s">
        <v>4419</v>
      </c>
      <c r="C2671" t="s">
        <v>496</v>
      </c>
      <c r="D2671" t="s">
        <v>4420</v>
      </c>
      <c r="E2671" t="s">
        <v>587</v>
      </c>
    </row>
    <row r="2672" spans="2:5" x14ac:dyDescent="0.3">
      <c r="B2672" t="s">
        <v>4421</v>
      </c>
      <c r="C2672">
        <v>517334</v>
      </c>
      <c r="D2672" t="s">
        <v>4422</v>
      </c>
      <c r="E2672" t="s">
        <v>851</v>
      </c>
    </row>
    <row r="2673" spans="2:5" x14ac:dyDescent="0.3">
      <c r="B2673" t="s">
        <v>4423</v>
      </c>
      <c r="C2673">
        <v>532892</v>
      </c>
      <c r="D2673" t="s">
        <v>4424</v>
      </c>
      <c r="E2673" t="s">
        <v>513</v>
      </c>
    </row>
    <row r="2674" spans="2:5" x14ac:dyDescent="0.3">
      <c r="B2674" t="s">
        <v>4425</v>
      </c>
      <c r="C2674">
        <v>590115</v>
      </c>
      <c r="D2674" t="s">
        <v>4426</v>
      </c>
      <c r="E2674" t="s">
        <v>479</v>
      </c>
    </row>
    <row r="2675" spans="2:5" x14ac:dyDescent="0.3">
      <c r="B2675" t="s">
        <v>4427</v>
      </c>
      <c r="C2675">
        <v>533385</v>
      </c>
      <c r="D2675" t="s">
        <v>4428</v>
      </c>
      <c r="E2675" t="s">
        <v>479</v>
      </c>
    </row>
    <row r="2676" spans="2:5" x14ac:dyDescent="0.3">
      <c r="B2676" t="s">
        <v>4429</v>
      </c>
      <c r="C2676">
        <v>507522</v>
      </c>
      <c r="D2676" t="s">
        <v>496</v>
      </c>
      <c r="E2676" t="s">
        <v>1128</v>
      </c>
    </row>
    <row r="2677" spans="2:5" x14ac:dyDescent="0.3">
      <c r="B2677" t="s">
        <v>4430</v>
      </c>
      <c r="C2677">
        <v>526299</v>
      </c>
      <c r="D2677" t="s">
        <v>4431</v>
      </c>
      <c r="E2677" t="s">
        <v>482</v>
      </c>
    </row>
    <row r="2678" spans="2:5" x14ac:dyDescent="0.3">
      <c r="B2678" t="s">
        <v>4432</v>
      </c>
      <c r="C2678">
        <v>500450</v>
      </c>
      <c r="D2678" t="s">
        <v>496</v>
      </c>
      <c r="E2678" t="s">
        <v>479</v>
      </c>
    </row>
    <row r="2679" spans="2:5" x14ac:dyDescent="0.3">
      <c r="B2679" t="s">
        <v>4433</v>
      </c>
      <c r="C2679">
        <v>526143</v>
      </c>
      <c r="D2679" t="s">
        <v>496</v>
      </c>
      <c r="E2679" t="s">
        <v>691</v>
      </c>
    </row>
    <row r="2680" spans="2:5" x14ac:dyDescent="0.3">
      <c r="B2680" t="s">
        <v>4434</v>
      </c>
      <c r="C2680">
        <v>532440</v>
      </c>
      <c r="D2680" t="s">
        <v>4435</v>
      </c>
      <c r="E2680" t="s">
        <v>2489</v>
      </c>
    </row>
    <row r="2681" spans="2:5" x14ac:dyDescent="0.3">
      <c r="B2681" t="s">
        <v>4436</v>
      </c>
      <c r="C2681">
        <v>540809</v>
      </c>
      <c r="D2681" t="s">
        <v>496</v>
      </c>
      <c r="E2681" t="s">
        <v>518</v>
      </c>
    </row>
    <row r="2682" spans="2:5" x14ac:dyDescent="0.3">
      <c r="B2682" t="s">
        <v>4437</v>
      </c>
      <c r="C2682">
        <v>500290</v>
      </c>
      <c r="D2682" t="s">
        <v>4438</v>
      </c>
      <c r="E2682" t="s">
        <v>976</v>
      </c>
    </row>
    <row r="2683" spans="2:5" x14ac:dyDescent="0.3">
      <c r="B2683" t="s">
        <v>4439</v>
      </c>
      <c r="C2683">
        <v>532376</v>
      </c>
      <c r="D2683" t="s">
        <v>4440</v>
      </c>
      <c r="E2683" t="s">
        <v>642</v>
      </c>
    </row>
    <row r="2684" spans="2:5" x14ac:dyDescent="0.3">
      <c r="B2684" t="s">
        <v>4441</v>
      </c>
      <c r="C2684">
        <v>512065</v>
      </c>
      <c r="D2684" t="s">
        <v>496</v>
      </c>
      <c r="E2684" t="s">
        <v>513</v>
      </c>
    </row>
    <row r="2685" spans="2:5" x14ac:dyDescent="0.3">
      <c r="B2685" t="s">
        <v>4442</v>
      </c>
      <c r="C2685">
        <v>532650</v>
      </c>
      <c r="D2685" t="s">
        <v>4443</v>
      </c>
      <c r="E2685" t="s">
        <v>819</v>
      </c>
    </row>
    <row r="2686" spans="2:5" x14ac:dyDescent="0.3">
      <c r="B2686" t="s">
        <v>4444</v>
      </c>
      <c r="C2686">
        <v>508922</v>
      </c>
      <c r="D2686" t="s">
        <v>496</v>
      </c>
      <c r="E2686" t="s">
        <v>1542</v>
      </c>
    </row>
    <row r="2687" spans="2:5" x14ac:dyDescent="0.3">
      <c r="B2687" t="s">
        <v>4445</v>
      </c>
      <c r="C2687">
        <v>508922</v>
      </c>
      <c r="D2687" t="s">
        <v>496</v>
      </c>
      <c r="E2687" t="s">
        <v>1542</v>
      </c>
    </row>
    <row r="2688" spans="2:5" x14ac:dyDescent="0.3">
      <c r="B2688" t="s">
        <v>4446</v>
      </c>
      <c r="C2688" t="s">
        <v>496</v>
      </c>
      <c r="D2688" t="s">
        <v>4447</v>
      </c>
      <c r="E2688" t="s">
        <v>1542</v>
      </c>
    </row>
    <row r="2689" spans="2:5" x14ac:dyDescent="0.3">
      <c r="B2689" t="s">
        <v>4448</v>
      </c>
      <c r="C2689">
        <v>542597</v>
      </c>
      <c r="D2689" t="s">
        <v>4449</v>
      </c>
      <c r="E2689" t="s">
        <v>862</v>
      </c>
    </row>
    <row r="2690" spans="2:5" x14ac:dyDescent="0.3">
      <c r="B2690" t="s">
        <v>4450</v>
      </c>
      <c r="C2690">
        <v>534312</v>
      </c>
      <c r="D2690" t="s">
        <v>4451</v>
      </c>
      <c r="E2690" t="s">
        <v>601</v>
      </c>
    </row>
    <row r="2691" spans="2:5" x14ac:dyDescent="0.3">
      <c r="B2691" t="s">
        <v>4452</v>
      </c>
      <c r="C2691">
        <v>531919</v>
      </c>
      <c r="D2691" t="s">
        <v>496</v>
      </c>
      <c r="E2691" t="s">
        <v>516</v>
      </c>
    </row>
    <row r="2692" spans="2:5" x14ac:dyDescent="0.3">
      <c r="B2692" t="s">
        <v>4453</v>
      </c>
      <c r="C2692">
        <v>539819</v>
      </c>
      <c r="D2692" t="s">
        <v>496</v>
      </c>
      <c r="E2692" t="s">
        <v>479</v>
      </c>
    </row>
    <row r="2693" spans="2:5" x14ac:dyDescent="0.3">
      <c r="B2693" t="s">
        <v>4454</v>
      </c>
      <c r="C2693">
        <v>538743</v>
      </c>
      <c r="D2693" t="s">
        <v>496</v>
      </c>
      <c r="E2693" t="s">
        <v>482</v>
      </c>
    </row>
    <row r="2694" spans="2:5" x14ac:dyDescent="0.3">
      <c r="B2694" t="s">
        <v>4455</v>
      </c>
      <c r="C2694">
        <v>532097</v>
      </c>
      <c r="D2694" t="s">
        <v>4456</v>
      </c>
      <c r="E2694" t="s">
        <v>894</v>
      </c>
    </row>
    <row r="2695" spans="2:5" x14ac:dyDescent="0.3">
      <c r="B2695" t="s">
        <v>4457</v>
      </c>
      <c r="C2695">
        <v>500460</v>
      </c>
      <c r="D2695" t="s">
        <v>4458</v>
      </c>
      <c r="E2695" t="s">
        <v>528</v>
      </c>
    </row>
    <row r="2696" spans="2:5" x14ac:dyDescent="0.3">
      <c r="B2696" t="s">
        <v>4459</v>
      </c>
      <c r="C2696">
        <v>523832</v>
      </c>
      <c r="D2696" t="s">
        <v>4460</v>
      </c>
      <c r="E2696" t="s">
        <v>614</v>
      </c>
    </row>
    <row r="2697" spans="2:5" x14ac:dyDescent="0.3">
      <c r="B2697" t="s">
        <v>4461</v>
      </c>
      <c r="C2697">
        <v>530341</v>
      </c>
      <c r="D2697" t="s">
        <v>496</v>
      </c>
      <c r="E2697" t="s">
        <v>479</v>
      </c>
    </row>
    <row r="2698" spans="2:5" x14ac:dyDescent="0.3">
      <c r="B2698" t="s">
        <v>4462</v>
      </c>
      <c r="C2698">
        <v>535204</v>
      </c>
      <c r="D2698" t="s">
        <v>496</v>
      </c>
      <c r="E2698" t="s">
        <v>518</v>
      </c>
    </row>
    <row r="2699" spans="2:5" x14ac:dyDescent="0.3">
      <c r="B2699" t="s">
        <v>4463</v>
      </c>
      <c r="C2699">
        <v>532357</v>
      </c>
      <c r="D2699" t="s">
        <v>4464</v>
      </c>
      <c r="E2699" t="s">
        <v>499</v>
      </c>
    </row>
    <row r="2700" spans="2:5" x14ac:dyDescent="0.3">
      <c r="B2700" t="s">
        <v>4465</v>
      </c>
      <c r="C2700">
        <v>501477</v>
      </c>
      <c r="D2700" t="s">
        <v>496</v>
      </c>
      <c r="E2700" t="s">
        <v>518</v>
      </c>
    </row>
    <row r="2701" spans="2:5" x14ac:dyDescent="0.3">
      <c r="B2701" t="s">
        <v>4466</v>
      </c>
      <c r="C2701">
        <v>501477</v>
      </c>
      <c r="D2701" t="s">
        <v>496</v>
      </c>
      <c r="E2701" t="s">
        <v>518</v>
      </c>
    </row>
    <row r="2702" spans="2:5" x14ac:dyDescent="0.3">
      <c r="B2702" t="s">
        <v>4467</v>
      </c>
      <c r="C2702">
        <v>534091</v>
      </c>
      <c r="D2702" t="s">
        <v>4468</v>
      </c>
      <c r="E2702" t="s">
        <v>516</v>
      </c>
    </row>
    <row r="2703" spans="2:5" x14ac:dyDescent="0.3">
      <c r="B2703" t="s">
        <v>4469</v>
      </c>
      <c r="C2703">
        <v>534091</v>
      </c>
      <c r="D2703" t="s">
        <v>4468</v>
      </c>
      <c r="E2703" t="s">
        <v>516</v>
      </c>
    </row>
    <row r="2704" spans="2:5" x14ac:dyDescent="0.3">
      <c r="B2704" t="s">
        <v>4470</v>
      </c>
      <c r="C2704">
        <v>526169</v>
      </c>
      <c r="D2704" t="s">
        <v>496</v>
      </c>
      <c r="E2704" t="s">
        <v>976</v>
      </c>
    </row>
    <row r="2705" spans="2:5" x14ac:dyDescent="0.3">
      <c r="B2705" t="s">
        <v>4471</v>
      </c>
      <c r="C2705">
        <v>526169</v>
      </c>
      <c r="D2705" t="s">
        <v>496</v>
      </c>
      <c r="E2705" t="s">
        <v>976</v>
      </c>
    </row>
    <row r="2706" spans="2:5" x14ac:dyDescent="0.3">
      <c r="B2706" t="s">
        <v>4472</v>
      </c>
      <c r="C2706">
        <v>505594</v>
      </c>
      <c r="D2706" t="s">
        <v>496</v>
      </c>
      <c r="E2706" t="s">
        <v>917</v>
      </c>
    </row>
    <row r="2707" spans="2:5" x14ac:dyDescent="0.3">
      <c r="B2707" t="s">
        <v>4473</v>
      </c>
      <c r="C2707">
        <v>504356</v>
      </c>
      <c r="D2707" t="s">
        <v>496</v>
      </c>
      <c r="E2707" t="s">
        <v>917</v>
      </c>
    </row>
    <row r="2708" spans="2:5" x14ac:dyDescent="0.3">
      <c r="B2708" t="s">
        <v>4474</v>
      </c>
      <c r="C2708">
        <v>520059</v>
      </c>
      <c r="D2708" t="s">
        <v>4475</v>
      </c>
      <c r="E2708" t="s">
        <v>851</v>
      </c>
    </row>
    <row r="2709" spans="2:5" x14ac:dyDescent="0.3">
      <c r="B2709" t="s">
        <v>4476</v>
      </c>
      <c r="C2709">
        <v>520043</v>
      </c>
      <c r="D2709" t="s">
        <v>4477</v>
      </c>
      <c r="E2709" t="s">
        <v>851</v>
      </c>
    </row>
    <row r="2710" spans="2:5" x14ac:dyDescent="0.3">
      <c r="B2710" t="s">
        <v>4478</v>
      </c>
      <c r="C2710">
        <v>511200</v>
      </c>
      <c r="D2710" t="s">
        <v>496</v>
      </c>
      <c r="E2710" t="s">
        <v>917</v>
      </c>
    </row>
    <row r="2711" spans="2:5" x14ac:dyDescent="0.3">
      <c r="B2711" t="s">
        <v>4479</v>
      </c>
      <c r="C2711">
        <v>511401</v>
      </c>
      <c r="D2711" t="s">
        <v>4480</v>
      </c>
      <c r="E2711" t="s">
        <v>479</v>
      </c>
    </row>
    <row r="2712" spans="2:5" x14ac:dyDescent="0.3">
      <c r="B2712" t="s">
        <v>4481</v>
      </c>
      <c r="C2712">
        <v>531821</v>
      </c>
      <c r="D2712" t="s">
        <v>496</v>
      </c>
      <c r="E2712" t="s">
        <v>479</v>
      </c>
    </row>
    <row r="2713" spans="2:5" x14ac:dyDescent="0.3">
      <c r="B2713" t="s">
        <v>4482</v>
      </c>
      <c r="C2713">
        <v>515037</v>
      </c>
      <c r="D2713" t="s">
        <v>4483</v>
      </c>
      <c r="E2713" t="s">
        <v>773</v>
      </c>
    </row>
    <row r="2714" spans="2:5" x14ac:dyDescent="0.3">
      <c r="B2714" t="s">
        <v>4484</v>
      </c>
      <c r="C2714">
        <v>540366</v>
      </c>
      <c r="D2714" t="s">
        <v>4485</v>
      </c>
      <c r="E2714" t="s">
        <v>1235</v>
      </c>
    </row>
    <row r="2715" spans="2:5" x14ac:dyDescent="0.3">
      <c r="B2715" t="s">
        <v>4486</v>
      </c>
      <c r="C2715">
        <v>511766</v>
      </c>
      <c r="D2715" t="s">
        <v>4487</v>
      </c>
      <c r="E2715" t="s">
        <v>513</v>
      </c>
    </row>
    <row r="2716" spans="2:5" x14ac:dyDescent="0.3">
      <c r="B2716" t="s">
        <v>4488</v>
      </c>
      <c r="C2716">
        <v>533398</v>
      </c>
      <c r="D2716" t="s">
        <v>4489</v>
      </c>
      <c r="E2716" t="s">
        <v>513</v>
      </c>
    </row>
    <row r="2717" spans="2:5" x14ac:dyDescent="0.3">
      <c r="B2717" t="s">
        <v>4490</v>
      </c>
      <c r="C2717">
        <v>532991</v>
      </c>
      <c r="D2717" t="s">
        <v>4491</v>
      </c>
      <c r="E2717" t="s">
        <v>582</v>
      </c>
    </row>
    <row r="2718" spans="2:5" x14ac:dyDescent="0.3">
      <c r="B2718" t="s">
        <v>4492</v>
      </c>
      <c r="C2718">
        <v>538862</v>
      </c>
      <c r="D2718" t="s">
        <v>496</v>
      </c>
      <c r="E2718" t="s">
        <v>479</v>
      </c>
    </row>
    <row r="2719" spans="2:5" x14ac:dyDescent="0.3">
      <c r="B2719" t="s">
        <v>4493</v>
      </c>
      <c r="C2719">
        <v>506734</v>
      </c>
      <c r="D2719" t="s">
        <v>496</v>
      </c>
      <c r="E2719" t="s">
        <v>544</v>
      </c>
    </row>
    <row r="2720" spans="2:5" x14ac:dyDescent="0.3">
      <c r="B2720" t="s">
        <v>4494</v>
      </c>
      <c r="C2720">
        <v>535205</v>
      </c>
      <c r="D2720" t="s">
        <v>496</v>
      </c>
      <c r="E2720" t="s">
        <v>518</v>
      </c>
    </row>
    <row r="2721" spans="2:5" x14ac:dyDescent="0.3">
      <c r="B2721" t="s">
        <v>4495</v>
      </c>
      <c r="C2721" t="s">
        <v>496</v>
      </c>
      <c r="D2721" t="s">
        <v>4496</v>
      </c>
      <c r="E2721" t="s">
        <v>587</v>
      </c>
    </row>
    <row r="2722" spans="2:5" x14ac:dyDescent="0.3">
      <c r="B2722" t="s">
        <v>4497</v>
      </c>
      <c r="C2722">
        <v>512024</v>
      </c>
      <c r="D2722" t="s">
        <v>496</v>
      </c>
      <c r="E2722" t="s">
        <v>570</v>
      </c>
    </row>
    <row r="2723" spans="2:5" x14ac:dyDescent="0.3">
      <c r="B2723" t="s">
        <v>4498</v>
      </c>
      <c r="C2723">
        <v>530897</v>
      </c>
      <c r="D2723" t="s">
        <v>496</v>
      </c>
      <c r="E2723" t="s">
        <v>685</v>
      </c>
    </row>
    <row r="2724" spans="2:5" x14ac:dyDescent="0.3">
      <c r="B2724" t="s">
        <v>4499</v>
      </c>
      <c r="C2724">
        <v>516082</v>
      </c>
      <c r="D2724" t="s">
        <v>4500</v>
      </c>
      <c r="E2724" t="s">
        <v>490</v>
      </c>
    </row>
    <row r="2725" spans="2:5" x14ac:dyDescent="0.3">
      <c r="B2725" t="s">
        <v>4501</v>
      </c>
      <c r="C2725">
        <v>532623</v>
      </c>
      <c r="D2725" t="s">
        <v>496</v>
      </c>
      <c r="E2725" t="s">
        <v>518</v>
      </c>
    </row>
    <row r="2726" spans="2:5" x14ac:dyDescent="0.3">
      <c r="B2726" t="s">
        <v>4502</v>
      </c>
      <c r="C2726">
        <v>512279</v>
      </c>
      <c r="D2726" t="s">
        <v>496</v>
      </c>
      <c r="E2726" t="s">
        <v>917</v>
      </c>
    </row>
    <row r="2727" spans="2:5" x14ac:dyDescent="0.3">
      <c r="B2727" t="s">
        <v>4503</v>
      </c>
      <c r="C2727">
        <v>524709</v>
      </c>
      <c r="D2727" t="s">
        <v>4504</v>
      </c>
      <c r="E2727" t="s">
        <v>640</v>
      </c>
    </row>
    <row r="2728" spans="2:5" x14ac:dyDescent="0.3">
      <c r="B2728" t="s">
        <v>4505</v>
      </c>
      <c r="C2728" t="s">
        <v>496</v>
      </c>
      <c r="D2728" t="s">
        <v>4506</v>
      </c>
      <c r="E2728" t="s">
        <v>587</v>
      </c>
    </row>
    <row r="2729" spans="2:5" x14ac:dyDescent="0.3">
      <c r="B2729" t="s">
        <v>4507</v>
      </c>
      <c r="C2729">
        <v>531832</v>
      </c>
      <c r="D2729" t="s">
        <v>496</v>
      </c>
      <c r="E2729" t="s">
        <v>694</v>
      </c>
    </row>
    <row r="2730" spans="2:5" x14ac:dyDescent="0.3">
      <c r="B2730" t="s">
        <v>4508</v>
      </c>
      <c r="C2730">
        <v>539917</v>
      </c>
      <c r="D2730" t="s">
        <v>4509</v>
      </c>
      <c r="E2730" t="s">
        <v>1004</v>
      </c>
    </row>
    <row r="2731" spans="2:5" x14ac:dyDescent="0.3">
      <c r="B2731" t="s">
        <v>4510</v>
      </c>
      <c r="C2731">
        <v>534184</v>
      </c>
      <c r="D2731" t="s">
        <v>4511</v>
      </c>
      <c r="E2731" t="s">
        <v>559</v>
      </c>
    </row>
    <row r="2732" spans="2:5" x14ac:dyDescent="0.3">
      <c r="B2732" t="s">
        <v>4512</v>
      </c>
      <c r="C2732">
        <v>532362</v>
      </c>
      <c r="D2732" t="s">
        <v>496</v>
      </c>
      <c r="E2732" t="s">
        <v>528</v>
      </c>
    </row>
    <row r="2733" spans="2:5" x14ac:dyDescent="0.3">
      <c r="B2733" t="s">
        <v>4513</v>
      </c>
      <c r="C2733">
        <v>532895</v>
      </c>
      <c r="D2733" t="s">
        <v>4514</v>
      </c>
      <c r="E2733" t="s">
        <v>516</v>
      </c>
    </row>
    <row r="2734" spans="2:5" x14ac:dyDescent="0.3">
      <c r="B2734" t="s">
        <v>4515</v>
      </c>
      <c r="C2734">
        <v>521109</v>
      </c>
      <c r="D2734" t="s">
        <v>4516</v>
      </c>
      <c r="E2734" t="s">
        <v>511</v>
      </c>
    </row>
    <row r="2735" spans="2:5" x14ac:dyDescent="0.3">
      <c r="B2735" t="s">
        <v>4517</v>
      </c>
      <c r="C2735">
        <v>532952</v>
      </c>
      <c r="D2735" t="s">
        <v>4518</v>
      </c>
      <c r="E2735" t="s">
        <v>516</v>
      </c>
    </row>
    <row r="2736" spans="2:5" x14ac:dyDescent="0.3">
      <c r="B2736" t="s">
        <v>4519</v>
      </c>
      <c r="C2736">
        <v>519136</v>
      </c>
      <c r="D2736" t="s">
        <v>4520</v>
      </c>
      <c r="E2736" t="s">
        <v>511</v>
      </c>
    </row>
    <row r="2737" spans="2:5" x14ac:dyDescent="0.3">
      <c r="B2737" t="s">
        <v>4521</v>
      </c>
      <c r="C2737">
        <v>523391</v>
      </c>
      <c r="D2737" t="s">
        <v>4522</v>
      </c>
      <c r="E2737" t="s">
        <v>511</v>
      </c>
    </row>
    <row r="2738" spans="2:5" x14ac:dyDescent="0.3">
      <c r="B2738" t="s">
        <v>4523</v>
      </c>
      <c r="C2738">
        <v>500296</v>
      </c>
      <c r="D2738" t="s">
        <v>4524</v>
      </c>
      <c r="E2738" t="s">
        <v>511</v>
      </c>
    </row>
    <row r="2739" spans="2:5" x14ac:dyDescent="0.3">
      <c r="B2739" t="s">
        <v>4525</v>
      </c>
      <c r="C2739">
        <v>541418</v>
      </c>
      <c r="D2739" t="s">
        <v>496</v>
      </c>
      <c r="E2739" t="s">
        <v>556</v>
      </c>
    </row>
    <row r="2740" spans="2:5" x14ac:dyDescent="0.3">
      <c r="B2740" t="s">
        <v>4526</v>
      </c>
      <c r="C2740">
        <v>531212</v>
      </c>
      <c r="D2740" t="s">
        <v>496</v>
      </c>
      <c r="E2740" t="s">
        <v>513</v>
      </c>
    </row>
    <row r="2741" spans="2:5" x14ac:dyDescent="0.3">
      <c r="B2741" t="s">
        <v>4527</v>
      </c>
      <c r="C2741">
        <v>532256</v>
      </c>
      <c r="D2741" t="s">
        <v>4528</v>
      </c>
      <c r="E2741" t="s">
        <v>513</v>
      </c>
    </row>
    <row r="2742" spans="2:5" x14ac:dyDescent="0.3">
      <c r="B2742" t="s">
        <v>4529</v>
      </c>
      <c r="C2742">
        <v>538395</v>
      </c>
      <c r="D2742" t="s">
        <v>496</v>
      </c>
      <c r="E2742" t="s">
        <v>479</v>
      </c>
    </row>
    <row r="2743" spans="2:5" x14ac:dyDescent="0.3">
      <c r="B2743" t="s">
        <v>4530</v>
      </c>
      <c r="C2743">
        <v>532641</v>
      </c>
      <c r="D2743" t="s">
        <v>4531</v>
      </c>
      <c r="E2743" t="s">
        <v>511</v>
      </c>
    </row>
    <row r="2744" spans="2:5" x14ac:dyDescent="0.3">
      <c r="B2744" t="s">
        <v>4532</v>
      </c>
      <c r="C2744" t="s">
        <v>496</v>
      </c>
      <c r="D2744" t="s">
        <v>4533</v>
      </c>
      <c r="E2744" t="s">
        <v>507</v>
      </c>
    </row>
    <row r="2745" spans="2:5" x14ac:dyDescent="0.3">
      <c r="B2745" t="s">
        <v>4534</v>
      </c>
      <c r="C2745">
        <v>539551</v>
      </c>
      <c r="D2745" t="s">
        <v>4535</v>
      </c>
      <c r="E2745" t="s">
        <v>966</v>
      </c>
    </row>
    <row r="2746" spans="2:5" x14ac:dyDescent="0.3">
      <c r="B2746" t="s">
        <v>4536</v>
      </c>
      <c r="C2746">
        <v>540080</v>
      </c>
      <c r="D2746" t="s">
        <v>496</v>
      </c>
      <c r="E2746" t="s">
        <v>528</v>
      </c>
    </row>
    <row r="2747" spans="2:5" x14ac:dyDescent="0.3">
      <c r="B2747" t="s">
        <v>4537</v>
      </c>
      <c r="C2747">
        <v>519455</v>
      </c>
      <c r="D2747" t="s">
        <v>496</v>
      </c>
      <c r="E2747" t="s">
        <v>610</v>
      </c>
    </row>
    <row r="2748" spans="2:5" x14ac:dyDescent="0.3">
      <c r="B2748" t="s">
        <v>4538</v>
      </c>
      <c r="C2748">
        <v>540204</v>
      </c>
      <c r="D2748" t="s">
        <v>4539</v>
      </c>
      <c r="E2748" t="s">
        <v>580</v>
      </c>
    </row>
    <row r="2749" spans="2:5" x14ac:dyDescent="0.3">
      <c r="B2749" t="s">
        <v>4540</v>
      </c>
      <c r="C2749">
        <v>531416</v>
      </c>
      <c r="D2749" t="s">
        <v>496</v>
      </c>
      <c r="E2749" t="s">
        <v>582</v>
      </c>
    </row>
    <row r="2750" spans="2:5" x14ac:dyDescent="0.3">
      <c r="B2750" t="s">
        <v>4541</v>
      </c>
      <c r="C2750" t="s">
        <v>496</v>
      </c>
      <c r="D2750" t="s">
        <v>4542</v>
      </c>
      <c r="E2750" t="s">
        <v>507</v>
      </c>
    </row>
    <row r="2751" spans="2:5" x14ac:dyDescent="0.3">
      <c r="B2751" t="s">
        <v>4543</v>
      </c>
      <c r="C2751">
        <v>526739</v>
      </c>
      <c r="D2751" t="s">
        <v>496</v>
      </c>
      <c r="E2751" t="s">
        <v>656</v>
      </c>
    </row>
    <row r="2752" spans="2:5" x14ac:dyDescent="0.3">
      <c r="B2752" t="s">
        <v>4544</v>
      </c>
      <c r="C2752">
        <v>517431</v>
      </c>
      <c r="D2752" t="s">
        <v>4545</v>
      </c>
      <c r="E2752" t="s">
        <v>616</v>
      </c>
    </row>
    <row r="2753" spans="2:5" x14ac:dyDescent="0.3">
      <c r="B2753" t="s">
        <v>4546</v>
      </c>
      <c r="C2753">
        <v>539595</v>
      </c>
      <c r="D2753" t="s">
        <v>496</v>
      </c>
      <c r="E2753" t="s">
        <v>479</v>
      </c>
    </row>
    <row r="2754" spans="2:5" x14ac:dyDescent="0.3">
      <c r="B2754" t="s">
        <v>4547</v>
      </c>
      <c r="C2754">
        <v>524816</v>
      </c>
      <c r="D2754" t="s">
        <v>4548</v>
      </c>
      <c r="E2754" t="s">
        <v>534</v>
      </c>
    </row>
    <row r="2755" spans="2:5" x14ac:dyDescent="0.3">
      <c r="B2755" t="s">
        <v>4549</v>
      </c>
      <c r="C2755">
        <v>537291</v>
      </c>
      <c r="D2755" t="s">
        <v>4550</v>
      </c>
      <c r="E2755" t="s">
        <v>694</v>
      </c>
    </row>
    <row r="2756" spans="2:5" x14ac:dyDescent="0.3">
      <c r="B2756" t="s">
        <v>4551</v>
      </c>
      <c r="C2756">
        <v>537291</v>
      </c>
      <c r="D2756" t="s">
        <v>4550</v>
      </c>
      <c r="E2756" t="s">
        <v>694</v>
      </c>
    </row>
    <row r="2757" spans="2:5" x14ac:dyDescent="0.3">
      <c r="B2757" t="s">
        <v>4552</v>
      </c>
      <c r="C2757">
        <v>502407</v>
      </c>
      <c r="D2757" t="s">
        <v>496</v>
      </c>
      <c r="E2757" t="s">
        <v>490</v>
      </c>
    </row>
    <row r="2758" spans="2:5" x14ac:dyDescent="0.3">
      <c r="B2758" t="s">
        <v>4553</v>
      </c>
      <c r="C2758">
        <v>532234</v>
      </c>
      <c r="D2758" t="s">
        <v>4554</v>
      </c>
      <c r="E2758" t="s">
        <v>801</v>
      </c>
    </row>
    <row r="2759" spans="2:5" x14ac:dyDescent="0.3">
      <c r="B2759" t="s">
        <v>4555</v>
      </c>
      <c r="C2759">
        <v>523630</v>
      </c>
      <c r="D2759" t="s">
        <v>4556</v>
      </c>
      <c r="E2759" t="s">
        <v>1004</v>
      </c>
    </row>
    <row r="2760" spans="2:5" x14ac:dyDescent="0.3">
      <c r="B2760" t="s">
        <v>4557</v>
      </c>
      <c r="C2760">
        <v>531289</v>
      </c>
      <c r="D2760" t="s">
        <v>496</v>
      </c>
      <c r="E2760" t="s">
        <v>819</v>
      </c>
    </row>
    <row r="2761" spans="2:5" x14ac:dyDescent="0.3">
      <c r="B2761" t="s">
        <v>4558</v>
      </c>
      <c r="C2761">
        <v>531651</v>
      </c>
      <c r="D2761" t="s">
        <v>496</v>
      </c>
      <c r="E2761" t="s">
        <v>528</v>
      </c>
    </row>
    <row r="2762" spans="2:5" x14ac:dyDescent="0.3">
      <c r="B2762" t="s">
        <v>4559</v>
      </c>
      <c r="C2762">
        <v>507813</v>
      </c>
      <c r="D2762" t="s">
        <v>496</v>
      </c>
      <c r="E2762" t="s">
        <v>1532</v>
      </c>
    </row>
    <row r="2763" spans="2:5" x14ac:dyDescent="0.3">
      <c r="B2763" t="s">
        <v>4560</v>
      </c>
      <c r="C2763">
        <v>500298</v>
      </c>
      <c r="D2763" t="s">
        <v>496</v>
      </c>
      <c r="E2763" t="s">
        <v>544</v>
      </c>
    </row>
    <row r="2764" spans="2:5" x14ac:dyDescent="0.3">
      <c r="B2764" t="s">
        <v>4561</v>
      </c>
      <c r="C2764">
        <v>526616</v>
      </c>
      <c r="D2764" t="s">
        <v>496</v>
      </c>
      <c r="E2764" t="s">
        <v>616</v>
      </c>
    </row>
    <row r="2765" spans="2:5" x14ac:dyDescent="0.3">
      <c r="B2765" t="s">
        <v>4562</v>
      </c>
      <c r="C2765">
        <v>531287</v>
      </c>
      <c r="D2765" t="s">
        <v>496</v>
      </c>
      <c r="E2765" t="s">
        <v>616</v>
      </c>
    </row>
    <row r="2766" spans="2:5" x14ac:dyDescent="0.3">
      <c r="B2766" t="s">
        <v>4563</v>
      </c>
      <c r="C2766">
        <v>516062</v>
      </c>
      <c r="D2766" t="s">
        <v>496</v>
      </c>
      <c r="E2766" t="s">
        <v>991</v>
      </c>
    </row>
    <row r="2767" spans="2:5" x14ac:dyDescent="0.3">
      <c r="B2767" t="s">
        <v>4564</v>
      </c>
      <c r="C2767">
        <v>504882</v>
      </c>
      <c r="D2767" t="s">
        <v>496</v>
      </c>
      <c r="E2767" t="s">
        <v>582</v>
      </c>
    </row>
    <row r="2768" spans="2:5" x14ac:dyDescent="0.3">
      <c r="B2768" t="s">
        <v>4565</v>
      </c>
      <c r="C2768">
        <v>504882</v>
      </c>
      <c r="D2768" t="s">
        <v>496</v>
      </c>
      <c r="E2768" t="s">
        <v>582</v>
      </c>
    </row>
    <row r="2769" spans="2:5" x14ac:dyDescent="0.3">
      <c r="B2769" t="s">
        <v>4566</v>
      </c>
      <c r="C2769">
        <v>513179</v>
      </c>
      <c r="D2769" t="s">
        <v>4567</v>
      </c>
      <c r="E2769" t="s">
        <v>528</v>
      </c>
    </row>
    <row r="2770" spans="2:5" x14ac:dyDescent="0.3">
      <c r="B2770" t="s">
        <v>4568</v>
      </c>
      <c r="C2770">
        <v>530119</v>
      </c>
      <c r="D2770" t="s">
        <v>496</v>
      </c>
      <c r="E2770" t="s">
        <v>745</v>
      </c>
    </row>
    <row r="2771" spans="2:5" x14ac:dyDescent="0.3">
      <c r="B2771" t="s">
        <v>4569</v>
      </c>
      <c r="C2771">
        <v>531834</v>
      </c>
      <c r="D2771" t="s">
        <v>496</v>
      </c>
      <c r="E2771" t="s">
        <v>694</v>
      </c>
    </row>
    <row r="2772" spans="2:5" x14ac:dyDescent="0.3">
      <c r="B2772" t="s">
        <v>4570</v>
      </c>
      <c r="C2772">
        <v>524654</v>
      </c>
      <c r="D2772" t="s">
        <v>496</v>
      </c>
      <c r="E2772" t="s">
        <v>534</v>
      </c>
    </row>
    <row r="2773" spans="2:5" x14ac:dyDescent="0.3">
      <c r="B2773" t="s">
        <v>4571</v>
      </c>
      <c r="C2773">
        <v>538926</v>
      </c>
      <c r="D2773" t="s">
        <v>496</v>
      </c>
      <c r="E2773" t="s">
        <v>694</v>
      </c>
    </row>
    <row r="2774" spans="2:5" x14ac:dyDescent="0.3">
      <c r="B2774" t="s">
        <v>4572</v>
      </c>
      <c r="C2774">
        <v>513023</v>
      </c>
      <c r="D2774" t="s">
        <v>4573</v>
      </c>
      <c r="E2774" t="s">
        <v>635</v>
      </c>
    </row>
    <row r="2775" spans="2:5" x14ac:dyDescent="0.3">
      <c r="B2775" t="s">
        <v>4574</v>
      </c>
      <c r="C2775">
        <v>539521</v>
      </c>
      <c r="D2775" t="s">
        <v>496</v>
      </c>
      <c r="E2775" t="s">
        <v>479</v>
      </c>
    </row>
    <row r="2776" spans="2:5" x14ac:dyDescent="0.3">
      <c r="B2776" t="s">
        <v>4575</v>
      </c>
      <c r="C2776">
        <v>532504</v>
      </c>
      <c r="D2776" t="s">
        <v>4576</v>
      </c>
      <c r="E2776" t="s">
        <v>544</v>
      </c>
    </row>
    <row r="2777" spans="2:5" x14ac:dyDescent="0.3">
      <c r="B2777" t="s">
        <v>4577</v>
      </c>
      <c r="C2777">
        <v>531494</v>
      </c>
      <c r="D2777" t="s">
        <v>496</v>
      </c>
      <c r="E2777" t="s">
        <v>582</v>
      </c>
    </row>
    <row r="2778" spans="2:5" x14ac:dyDescent="0.3">
      <c r="B2778" t="s">
        <v>4578</v>
      </c>
      <c r="C2778">
        <v>539332</v>
      </c>
      <c r="D2778" t="s">
        <v>4579</v>
      </c>
      <c r="E2778" t="s">
        <v>619</v>
      </c>
    </row>
    <row r="2779" spans="2:5" x14ac:dyDescent="0.3">
      <c r="B2779" t="s">
        <v>4580</v>
      </c>
      <c r="C2779">
        <v>539525</v>
      </c>
      <c r="D2779" t="s">
        <v>496</v>
      </c>
      <c r="E2779" t="s">
        <v>530</v>
      </c>
    </row>
    <row r="2780" spans="2:5" x14ac:dyDescent="0.3">
      <c r="B2780" t="s">
        <v>4581</v>
      </c>
      <c r="C2780">
        <v>508989</v>
      </c>
      <c r="D2780" t="s">
        <v>4582</v>
      </c>
      <c r="E2780" t="s">
        <v>1020</v>
      </c>
    </row>
    <row r="2781" spans="2:5" x14ac:dyDescent="0.3">
      <c r="B2781" t="s">
        <v>4583</v>
      </c>
      <c r="C2781">
        <v>538668</v>
      </c>
      <c r="D2781" t="s">
        <v>496</v>
      </c>
      <c r="E2781" t="s">
        <v>513</v>
      </c>
    </row>
    <row r="2782" spans="2:5" x14ac:dyDescent="0.3">
      <c r="B2782" t="s">
        <v>4584</v>
      </c>
      <c r="C2782">
        <v>523242</v>
      </c>
      <c r="D2782" t="s">
        <v>496</v>
      </c>
      <c r="E2782" t="s">
        <v>922</v>
      </c>
    </row>
    <row r="2783" spans="2:5" x14ac:dyDescent="0.3">
      <c r="B2783" t="s">
        <v>4585</v>
      </c>
      <c r="C2783">
        <v>534309</v>
      </c>
      <c r="D2783" t="s">
        <v>4586</v>
      </c>
      <c r="E2783" t="s">
        <v>894</v>
      </c>
    </row>
    <row r="2784" spans="2:5" x14ac:dyDescent="0.3">
      <c r="B2784" t="s">
        <v>4587</v>
      </c>
      <c r="C2784">
        <v>534309</v>
      </c>
      <c r="D2784" t="s">
        <v>4586</v>
      </c>
      <c r="E2784" t="s">
        <v>894</v>
      </c>
    </row>
    <row r="2785" spans="2:5" x14ac:dyDescent="0.3">
      <c r="B2785" t="s">
        <v>4588</v>
      </c>
      <c r="C2785">
        <v>519506</v>
      </c>
      <c r="D2785" t="s">
        <v>496</v>
      </c>
      <c r="E2785" t="s">
        <v>556</v>
      </c>
    </row>
    <row r="2786" spans="2:5" x14ac:dyDescent="0.3">
      <c r="B2786" t="s">
        <v>4589</v>
      </c>
      <c r="C2786">
        <v>531452</v>
      </c>
      <c r="D2786" t="s">
        <v>496</v>
      </c>
      <c r="E2786" t="s">
        <v>513</v>
      </c>
    </row>
    <row r="2787" spans="2:5" x14ac:dyDescent="0.3">
      <c r="B2787" t="s">
        <v>4590</v>
      </c>
      <c r="C2787">
        <v>500294</v>
      </c>
      <c r="D2787" t="s">
        <v>4591</v>
      </c>
      <c r="E2787" t="s">
        <v>894</v>
      </c>
    </row>
    <row r="2788" spans="2:5" x14ac:dyDescent="0.3">
      <c r="B2788" t="s">
        <v>4592</v>
      </c>
      <c r="C2788">
        <v>502168</v>
      </c>
      <c r="D2788" t="s">
        <v>4593</v>
      </c>
      <c r="E2788" t="s">
        <v>509</v>
      </c>
    </row>
    <row r="2789" spans="2:5" x14ac:dyDescent="0.3">
      <c r="B2789" t="s">
        <v>4594</v>
      </c>
      <c r="C2789">
        <v>530557</v>
      </c>
      <c r="D2789" t="s">
        <v>496</v>
      </c>
      <c r="E2789" t="s">
        <v>479</v>
      </c>
    </row>
    <row r="2790" spans="2:5" x14ac:dyDescent="0.3">
      <c r="B2790" t="s">
        <v>4595</v>
      </c>
      <c r="C2790">
        <v>511535</v>
      </c>
      <c r="D2790" t="s">
        <v>496</v>
      </c>
      <c r="E2790" t="s">
        <v>479</v>
      </c>
    </row>
    <row r="2791" spans="2:5" x14ac:dyDescent="0.3">
      <c r="B2791" t="s">
        <v>4596</v>
      </c>
      <c r="C2791">
        <v>532649</v>
      </c>
      <c r="D2791" t="s">
        <v>4597</v>
      </c>
      <c r="E2791" t="s">
        <v>534</v>
      </c>
    </row>
    <row r="2792" spans="2:5" x14ac:dyDescent="0.3">
      <c r="B2792" t="s">
        <v>4598</v>
      </c>
      <c r="C2792">
        <v>508670</v>
      </c>
      <c r="D2792" t="s">
        <v>496</v>
      </c>
      <c r="E2792" t="s">
        <v>903</v>
      </c>
    </row>
    <row r="2793" spans="2:5" x14ac:dyDescent="0.3">
      <c r="B2793" t="s">
        <v>4599</v>
      </c>
      <c r="C2793">
        <v>531049</v>
      </c>
      <c r="D2793" t="s">
        <v>496</v>
      </c>
      <c r="E2793" t="s">
        <v>1024</v>
      </c>
    </row>
    <row r="2794" spans="2:5" x14ac:dyDescent="0.3">
      <c r="B2794" t="s">
        <v>4600</v>
      </c>
      <c r="C2794">
        <v>539409</v>
      </c>
      <c r="D2794" t="s">
        <v>496</v>
      </c>
      <c r="E2794" t="s">
        <v>518</v>
      </c>
    </row>
    <row r="2795" spans="2:5" x14ac:dyDescent="0.3">
      <c r="B2795" t="s">
        <v>4601</v>
      </c>
      <c r="C2795">
        <v>537838</v>
      </c>
      <c r="D2795" t="s">
        <v>496</v>
      </c>
      <c r="E2795" t="s">
        <v>518</v>
      </c>
    </row>
    <row r="2796" spans="2:5" x14ac:dyDescent="0.3">
      <c r="B2796" t="s">
        <v>4602</v>
      </c>
      <c r="C2796">
        <v>519560</v>
      </c>
      <c r="D2796" t="s">
        <v>496</v>
      </c>
      <c r="E2796" t="s">
        <v>694</v>
      </c>
    </row>
    <row r="2797" spans="2:5" x14ac:dyDescent="0.3">
      <c r="B2797" t="s">
        <v>4603</v>
      </c>
      <c r="C2797">
        <v>539016</v>
      </c>
      <c r="D2797" t="s">
        <v>496</v>
      </c>
      <c r="E2797" t="s">
        <v>513</v>
      </c>
    </row>
    <row r="2798" spans="2:5" x14ac:dyDescent="0.3">
      <c r="B2798" t="s">
        <v>4604</v>
      </c>
      <c r="C2798">
        <v>532864</v>
      </c>
      <c r="D2798" t="s">
        <v>4605</v>
      </c>
      <c r="E2798" t="s">
        <v>1416</v>
      </c>
    </row>
    <row r="2799" spans="2:5" x14ac:dyDescent="0.3">
      <c r="B2799" t="s">
        <v>4606</v>
      </c>
      <c r="C2799">
        <v>504112</v>
      </c>
      <c r="D2799" t="s">
        <v>4607</v>
      </c>
      <c r="E2799" t="s">
        <v>2123</v>
      </c>
    </row>
    <row r="2800" spans="2:5" x14ac:dyDescent="0.3">
      <c r="B2800" t="s">
        <v>4608</v>
      </c>
      <c r="C2800">
        <v>514332</v>
      </c>
      <c r="D2800" t="s">
        <v>496</v>
      </c>
      <c r="E2800" t="s">
        <v>582</v>
      </c>
    </row>
    <row r="2801" spans="2:5" x14ac:dyDescent="0.3">
      <c r="B2801" t="s">
        <v>4609</v>
      </c>
      <c r="C2801">
        <v>526195</v>
      </c>
      <c r="D2801" t="s">
        <v>496</v>
      </c>
      <c r="E2801" t="s">
        <v>610</v>
      </c>
    </row>
    <row r="2802" spans="2:5" x14ac:dyDescent="0.3">
      <c r="B2802" t="s">
        <v>4610</v>
      </c>
      <c r="C2802">
        <v>526195</v>
      </c>
      <c r="D2802" t="s">
        <v>496</v>
      </c>
      <c r="E2802" t="s">
        <v>610</v>
      </c>
    </row>
    <row r="2803" spans="2:5" x14ac:dyDescent="0.3">
      <c r="B2803" t="s">
        <v>4611</v>
      </c>
      <c r="C2803">
        <v>542665</v>
      </c>
      <c r="D2803" t="s">
        <v>4612</v>
      </c>
      <c r="E2803" t="s">
        <v>656</v>
      </c>
    </row>
    <row r="2804" spans="2:5" x14ac:dyDescent="0.3">
      <c r="B2804" t="s">
        <v>4613</v>
      </c>
      <c r="C2804">
        <v>512522</v>
      </c>
      <c r="D2804" t="s">
        <v>496</v>
      </c>
      <c r="E2804" t="s">
        <v>518</v>
      </c>
    </row>
    <row r="2805" spans="2:5" x14ac:dyDescent="0.3">
      <c r="B2805" t="s">
        <v>4614</v>
      </c>
      <c r="C2805">
        <v>505355</v>
      </c>
      <c r="D2805" t="s">
        <v>4615</v>
      </c>
      <c r="E2805" t="s">
        <v>917</v>
      </c>
    </row>
    <row r="2806" spans="2:5" x14ac:dyDescent="0.3">
      <c r="B2806" t="s">
        <v>4616</v>
      </c>
      <c r="C2806">
        <v>500790</v>
      </c>
      <c r="D2806" t="s">
        <v>4617</v>
      </c>
      <c r="E2806" t="s">
        <v>556</v>
      </c>
    </row>
    <row r="2807" spans="2:5" x14ac:dyDescent="0.3">
      <c r="B2807" t="s">
        <v>4618</v>
      </c>
      <c r="C2807">
        <v>500790</v>
      </c>
      <c r="D2807" t="s">
        <v>4617</v>
      </c>
      <c r="E2807" t="s">
        <v>556</v>
      </c>
    </row>
    <row r="2808" spans="2:5" x14ac:dyDescent="0.3">
      <c r="B2808" t="s">
        <v>4619</v>
      </c>
      <c r="C2808">
        <v>509040</v>
      </c>
      <c r="D2808" t="s">
        <v>496</v>
      </c>
      <c r="E2808" t="s">
        <v>589</v>
      </c>
    </row>
    <row r="2809" spans="2:5" x14ac:dyDescent="0.3">
      <c r="B2809" t="s">
        <v>4620</v>
      </c>
      <c r="C2809">
        <v>509040</v>
      </c>
      <c r="D2809" t="s">
        <v>496</v>
      </c>
      <c r="E2809" t="s">
        <v>589</v>
      </c>
    </row>
    <row r="2810" spans="2:5" x14ac:dyDescent="0.3">
      <c r="B2810" t="s">
        <v>4621</v>
      </c>
      <c r="C2810">
        <v>542117</v>
      </c>
      <c r="D2810" t="s">
        <v>496</v>
      </c>
      <c r="E2810" t="s">
        <v>587</v>
      </c>
    </row>
    <row r="2811" spans="2:5" x14ac:dyDescent="0.3">
      <c r="B2811" t="s">
        <v>4622</v>
      </c>
      <c r="C2811">
        <v>511658</v>
      </c>
      <c r="D2811" t="s">
        <v>496</v>
      </c>
      <c r="E2811" t="s">
        <v>589</v>
      </c>
    </row>
    <row r="2812" spans="2:5" x14ac:dyDescent="0.3">
      <c r="B2812" t="s">
        <v>4623</v>
      </c>
      <c r="C2812">
        <v>523558</v>
      </c>
      <c r="D2812" t="s">
        <v>496</v>
      </c>
      <c r="E2812" t="s">
        <v>1038</v>
      </c>
    </row>
    <row r="2813" spans="2:5" x14ac:dyDescent="0.3">
      <c r="B2813" t="s">
        <v>4624</v>
      </c>
      <c r="C2813">
        <v>532798</v>
      </c>
      <c r="D2813" t="s">
        <v>4625</v>
      </c>
      <c r="E2813" t="s">
        <v>662</v>
      </c>
    </row>
    <row r="2814" spans="2:5" x14ac:dyDescent="0.3">
      <c r="B2814" t="s">
        <v>4626</v>
      </c>
      <c r="C2814">
        <v>532887</v>
      </c>
      <c r="D2814" t="s">
        <v>4627</v>
      </c>
      <c r="E2814" t="s">
        <v>539</v>
      </c>
    </row>
    <row r="2815" spans="2:5" x14ac:dyDescent="0.3">
      <c r="B2815" t="s">
        <v>4628</v>
      </c>
      <c r="C2815">
        <v>524558</v>
      </c>
      <c r="D2815" t="s">
        <v>4629</v>
      </c>
      <c r="E2815" t="s">
        <v>534</v>
      </c>
    </row>
    <row r="2816" spans="2:5" x14ac:dyDescent="0.3">
      <c r="B2816" t="s">
        <v>4630</v>
      </c>
      <c r="C2816">
        <v>532529</v>
      </c>
      <c r="D2816" t="s">
        <v>4631</v>
      </c>
      <c r="E2816" t="s">
        <v>1235</v>
      </c>
    </row>
    <row r="2817" spans="2:5" x14ac:dyDescent="0.3">
      <c r="B2817" t="s">
        <v>4632</v>
      </c>
      <c r="C2817">
        <v>540243</v>
      </c>
      <c r="D2817" t="s">
        <v>496</v>
      </c>
      <c r="E2817" t="s">
        <v>518</v>
      </c>
    </row>
    <row r="2818" spans="2:5" x14ac:dyDescent="0.3">
      <c r="B2818" t="s">
        <v>4633</v>
      </c>
      <c r="C2818">
        <v>508867</v>
      </c>
      <c r="D2818" t="s">
        <v>496</v>
      </c>
      <c r="E2818" t="s">
        <v>589</v>
      </c>
    </row>
    <row r="2819" spans="2:5" x14ac:dyDescent="0.3">
      <c r="B2819" t="s">
        <v>4634</v>
      </c>
      <c r="C2819">
        <v>501479</v>
      </c>
      <c r="D2819" t="s">
        <v>496</v>
      </c>
      <c r="E2819" t="s">
        <v>518</v>
      </c>
    </row>
    <row r="2820" spans="2:5" x14ac:dyDescent="0.3">
      <c r="B2820" t="s">
        <v>4635</v>
      </c>
      <c r="C2820">
        <v>536644</v>
      </c>
      <c r="D2820" t="s">
        <v>496</v>
      </c>
      <c r="E2820" t="s">
        <v>518</v>
      </c>
    </row>
    <row r="2821" spans="2:5" x14ac:dyDescent="0.3">
      <c r="B2821" t="s">
        <v>4636</v>
      </c>
      <c r="C2821">
        <v>540900</v>
      </c>
      <c r="D2821" t="s">
        <v>4637</v>
      </c>
      <c r="E2821" t="s">
        <v>482</v>
      </c>
    </row>
    <row r="2822" spans="2:5" x14ac:dyDescent="0.3">
      <c r="B2822" t="s">
        <v>4638</v>
      </c>
      <c r="C2822">
        <v>532416</v>
      </c>
      <c r="D2822" t="s">
        <v>4639</v>
      </c>
      <c r="E2822" t="s">
        <v>1020</v>
      </c>
    </row>
    <row r="2823" spans="2:5" x14ac:dyDescent="0.3">
      <c r="B2823" t="s">
        <v>4640</v>
      </c>
      <c r="C2823">
        <v>538874</v>
      </c>
      <c r="D2823" t="s">
        <v>496</v>
      </c>
      <c r="E2823" t="s">
        <v>479</v>
      </c>
    </row>
    <row r="2824" spans="2:5" x14ac:dyDescent="0.3">
      <c r="B2824" t="s">
        <v>4641</v>
      </c>
      <c r="C2824">
        <v>524774</v>
      </c>
      <c r="D2824" t="s">
        <v>496</v>
      </c>
      <c r="E2824" t="s">
        <v>534</v>
      </c>
    </row>
    <row r="2825" spans="2:5" x14ac:dyDescent="0.3">
      <c r="B2825" t="s">
        <v>4642</v>
      </c>
      <c r="C2825">
        <v>517554</v>
      </c>
      <c r="D2825" t="s">
        <v>496</v>
      </c>
      <c r="E2825" t="s">
        <v>576</v>
      </c>
    </row>
    <row r="2826" spans="2:5" x14ac:dyDescent="0.3">
      <c r="B2826" t="s">
        <v>4643</v>
      </c>
      <c r="C2826">
        <v>533098</v>
      </c>
      <c r="D2826" t="s">
        <v>4644</v>
      </c>
      <c r="E2826" t="s">
        <v>635</v>
      </c>
    </row>
    <row r="2827" spans="2:5" x14ac:dyDescent="0.3">
      <c r="B2827" t="s">
        <v>4645</v>
      </c>
      <c r="C2827">
        <v>526721</v>
      </c>
      <c r="D2827" t="s">
        <v>496</v>
      </c>
      <c r="E2827" t="s">
        <v>674</v>
      </c>
    </row>
    <row r="2828" spans="2:5" x14ac:dyDescent="0.3">
      <c r="B2828" t="s">
        <v>4646</v>
      </c>
      <c r="C2828">
        <v>523209</v>
      </c>
      <c r="D2828" t="s">
        <v>496</v>
      </c>
      <c r="E2828" t="s">
        <v>513</v>
      </c>
    </row>
    <row r="2829" spans="2:5" x14ac:dyDescent="0.3">
      <c r="B2829" t="s">
        <v>4647</v>
      </c>
      <c r="C2829">
        <v>512103</v>
      </c>
      <c r="D2829" t="s">
        <v>496</v>
      </c>
      <c r="E2829" t="s">
        <v>1024</v>
      </c>
    </row>
    <row r="2830" spans="2:5" x14ac:dyDescent="0.3">
      <c r="B2830" t="s">
        <v>4648</v>
      </c>
      <c r="C2830">
        <v>531083</v>
      </c>
      <c r="D2830" t="s">
        <v>496</v>
      </c>
      <c r="E2830" t="s">
        <v>589</v>
      </c>
    </row>
    <row r="2831" spans="2:5" x14ac:dyDescent="0.3">
      <c r="B2831" t="s">
        <v>4649</v>
      </c>
      <c r="C2831">
        <v>500304</v>
      </c>
      <c r="D2831" t="s">
        <v>4650</v>
      </c>
      <c r="E2831" t="s">
        <v>981</v>
      </c>
    </row>
    <row r="2832" spans="2:5" x14ac:dyDescent="0.3">
      <c r="B2832" t="s">
        <v>4651</v>
      </c>
      <c r="C2832">
        <v>532541</v>
      </c>
      <c r="D2832" t="s">
        <v>4652</v>
      </c>
      <c r="E2832" t="s">
        <v>482</v>
      </c>
    </row>
    <row r="2833" spans="2:5" x14ac:dyDescent="0.3">
      <c r="B2833" t="s">
        <v>4653</v>
      </c>
      <c r="C2833">
        <v>526159</v>
      </c>
      <c r="D2833" t="s">
        <v>496</v>
      </c>
      <c r="E2833" t="s">
        <v>518</v>
      </c>
    </row>
    <row r="2834" spans="2:5" x14ac:dyDescent="0.3">
      <c r="B2834" t="s">
        <v>4654</v>
      </c>
      <c r="C2834">
        <v>531272</v>
      </c>
      <c r="D2834" t="s">
        <v>496</v>
      </c>
      <c r="E2834" t="s">
        <v>513</v>
      </c>
    </row>
    <row r="2835" spans="2:5" x14ac:dyDescent="0.3">
      <c r="B2835" t="s">
        <v>4655</v>
      </c>
      <c r="C2835">
        <v>530377</v>
      </c>
      <c r="D2835" t="s">
        <v>4656</v>
      </c>
      <c r="E2835" t="s">
        <v>582</v>
      </c>
    </row>
    <row r="2836" spans="2:5" x14ac:dyDescent="0.3">
      <c r="B2836" t="s">
        <v>4657</v>
      </c>
      <c r="C2836">
        <v>542231</v>
      </c>
      <c r="D2836" t="s">
        <v>4658</v>
      </c>
      <c r="E2836" t="s">
        <v>582</v>
      </c>
    </row>
    <row r="2837" spans="2:5" x14ac:dyDescent="0.3">
      <c r="B2837" t="s">
        <v>4659</v>
      </c>
      <c r="C2837">
        <v>502294</v>
      </c>
      <c r="D2837" t="s">
        <v>496</v>
      </c>
      <c r="E2837" t="s">
        <v>1024</v>
      </c>
    </row>
    <row r="2838" spans="2:5" x14ac:dyDescent="0.3">
      <c r="B2838" t="s">
        <v>4660</v>
      </c>
      <c r="C2838">
        <v>530129</v>
      </c>
      <c r="D2838" t="s">
        <v>496</v>
      </c>
      <c r="E2838" t="s">
        <v>819</v>
      </c>
    </row>
    <row r="2839" spans="2:5" x14ac:dyDescent="0.3">
      <c r="B2839" t="s">
        <v>4661</v>
      </c>
      <c r="C2839">
        <v>523385</v>
      </c>
      <c r="D2839" t="s">
        <v>4662</v>
      </c>
      <c r="E2839" t="s">
        <v>616</v>
      </c>
    </row>
    <row r="2840" spans="2:5" x14ac:dyDescent="0.3">
      <c r="B2840" t="s">
        <v>4663</v>
      </c>
      <c r="C2840">
        <v>512004</v>
      </c>
      <c r="D2840" t="s">
        <v>496</v>
      </c>
      <c r="E2840" t="s">
        <v>917</v>
      </c>
    </row>
    <row r="2841" spans="2:5" x14ac:dyDescent="0.3">
      <c r="B2841" t="s">
        <v>4664</v>
      </c>
      <c r="C2841">
        <v>531598</v>
      </c>
      <c r="D2841" t="s">
        <v>496</v>
      </c>
      <c r="E2841" t="s">
        <v>556</v>
      </c>
    </row>
    <row r="2842" spans="2:5" x14ac:dyDescent="0.3">
      <c r="B2842" t="s">
        <v>4665</v>
      </c>
      <c r="C2842">
        <v>530971</v>
      </c>
      <c r="D2842" t="s">
        <v>496</v>
      </c>
      <c r="E2842" t="s">
        <v>518</v>
      </c>
    </row>
    <row r="2843" spans="2:5" x14ac:dyDescent="0.3">
      <c r="B2843" t="s">
        <v>4666</v>
      </c>
      <c r="C2843">
        <v>511714</v>
      </c>
      <c r="D2843" t="s">
        <v>496</v>
      </c>
      <c r="E2843" t="s">
        <v>582</v>
      </c>
    </row>
    <row r="2844" spans="2:5" x14ac:dyDescent="0.3">
      <c r="B2844" t="s">
        <v>4667</v>
      </c>
      <c r="C2844">
        <v>539843</v>
      </c>
      <c r="D2844" t="s">
        <v>496</v>
      </c>
      <c r="E2844" t="s">
        <v>482</v>
      </c>
    </row>
    <row r="2845" spans="2:5" x14ac:dyDescent="0.3">
      <c r="B2845" t="s">
        <v>4668</v>
      </c>
      <c r="C2845">
        <v>532986</v>
      </c>
      <c r="D2845" t="s">
        <v>496</v>
      </c>
      <c r="E2845" t="s">
        <v>894</v>
      </c>
    </row>
    <row r="2846" spans="2:5" x14ac:dyDescent="0.3">
      <c r="B2846" t="s">
        <v>4669</v>
      </c>
      <c r="C2846" t="s">
        <v>496</v>
      </c>
      <c r="D2846" t="s">
        <v>4670</v>
      </c>
      <c r="E2846" t="s">
        <v>587</v>
      </c>
    </row>
    <row r="2847" spans="2:5" x14ac:dyDescent="0.3">
      <c r="B2847" t="s">
        <v>4671</v>
      </c>
      <c r="C2847">
        <v>512425</v>
      </c>
      <c r="D2847" t="s">
        <v>496</v>
      </c>
      <c r="E2847" t="s">
        <v>518</v>
      </c>
    </row>
    <row r="2848" spans="2:5" x14ac:dyDescent="0.3">
      <c r="B2848" t="s">
        <v>4672</v>
      </c>
      <c r="C2848">
        <v>500307</v>
      </c>
      <c r="D2848" t="s">
        <v>496</v>
      </c>
      <c r="E2848" t="s">
        <v>917</v>
      </c>
    </row>
    <row r="2849" spans="2:5" x14ac:dyDescent="0.3">
      <c r="B2849" t="s">
        <v>4673</v>
      </c>
      <c r="C2849">
        <v>539311</v>
      </c>
      <c r="D2849" t="s">
        <v>496</v>
      </c>
      <c r="E2849" t="s">
        <v>479</v>
      </c>
    </row>
    <row r="2850" spans="2:5" x14ac:dyDescent="0.3">
      <c r="B2850" t="s">
        <v>4674</v>
      </c>
      <c r="C2850">
        <v>539311</v>
      </c>
      <c r="D2850" t="s">
        <v>496</v>
      </c>
      <c r="E2850" t="s">
        <v>479</v>
      </c>
    </row>
    <row r="2851" spans="2:5" x14ac:dyDescent="0.3">
      <c r="B2851" t="s">
        <v>4675</v>
      </c>
      <c r="C2851">
        <v>532722</v>
      </c>
      <c r="D2851" t="s">
        <v>4676</v>
      </c>
      <c r="E2851" t="s">
        <v>773</v>
      </c>
    </row>
    <row r="2852" spans="2:5" x14ac:dyDescent="0.3">
      <c r="B2852" t="s">
        <v>4677</v>
      </c>
      <c r="C2852">
        <v>533202</v>
      </c>
      <c r="D2852" t="s">
        <v>4678</v>
      </c>
      <c r="E2852" t="s">
        <v>582</v>
      </c>
    </row>
    <row r="2853" spans="2:5" x14ac:dyDescent="0.3">
      <c r="B2853" t="s">
        <v>4679</v>
      </c>
      <c r="C2853">
        <v>508875</v>
      </c>
      <c r="D2853" t="s">
        <v>496</v>
      </c>
      <c r="E2853" t="s">
        <v>917</v>
      </c>
    </row>
    <row r="2854" spans="2:5" x14ac:dyDescent="0.3">
      <c r="B2854" t="s">
        <v>4680</v>
      </c>
      <c r="C2854">
        <v>532854</v>
      </c>
      <c r="D2854" t="s">
        <v>4681</v>
      </c>
      <c r="E2854" t="s">
        <v>504</v>
      </c>
    </row>
    <row r="2855" spans="2:5" x14ac:dyDescent="0.3">
      <c r="B2855" t="s">
        <v>4682</v>
      </c>
      <c r="C2855">
        <v>532698</v>
      </c>
      <c r="D2855" t="s">
        <v>4683</v>
      </c>
      <c r="E2855" t="s">
        <v>511</v>
      </c>
    </row>
    <row r="2856" spans="2:5" x14ac:dyDescent="0.3">
      <c r="B2856" t="s">
        <v>4684</v>
      </c>
      <c r="C2856" t="s">
        <v>496</v>
      </c>
      <c r="D2856" t="s">
        <v>4685</v>
      </c>
      <c r="E2856" t="s">
        <v>507</v>
      </c>
    </row>
    <row r="2857" spans="2:5" x14ac:dyDescent="0.3">
      <c r="B2857" t="s">
        <v>4686</v>
      </c>
      <c r="C2857">
        <v>506532</v>
      </c>
      <c r="D2857" t="s">
        <v>496</v>
      </c>
      <c r="E2857" t="s">
        <v>656</v>
      </c>
    </row>
    <row r="2858" spans="2:5" x14ac:dyDescent="0.3">
      <c r="B2858" t="s">
        <v>4687</v>
      </c>
      <c r="C2858">
        <v>506532</v>
      </c>
      <c r="D2858" t="s">
        <v>496</v>
      </c>
      <c r="E2858" t="s">
        <v>656</v>
      </c>
    </row>
    <row r="2859" spans="2:5" x14ac:dyDescent="0.3">
      <c r="B2859" t="s">
        <v>4688</v>
      </c>
      <c r="C2859">
        <v>512381</v>
      </c>
      <c r="D2859" t="s">
        <v>496</v>
      </c>
      <c r="E2859" t="s">
        <v>518</v>
      </c>
    </row>
    <row r="2860" spans="2:5" x14ac:dyDescent="0.3">
      <c r="B2860" t="s">
        <v>4689</v>
      </c>
      <c r="C2860">
        <v>512245</v>
      </c>
      <c r="D2860" t="s">
        <v>496</v>
      </c>
      <c r="E2860" t="s">
        <v>917</v>
      </c>
    </row>
    <row r="2861" spans="2:5" x14ac:dyDescent="0.3">
      <c r="B2861" t="s">
        <v>4690</v>
      </c>
      <c r="C2861">
        <v>538772</v>
      </c>
      <c r="D2861" t="s">
        <v>496</v>
      </c>
      <c r="E2861" t="s">
        <v>513</v>
      </c>
    </row>
    <row r="2862" spans="2:5" x14ac:dyDescent="0.3">
      <c r="B2862" t="s">
        <v>4691</v>
      </c>
      <c r="C2862">
        <v>519494</v>
      </c>
      <c r="D2862" t="s">
        <v>4692</v>
      </c>
      <c r="E2862" t="s">
        <v>745</v>
      </c>
    </row>
    <row r="2863" spans="2:5" x14ac:dyDescent="0.3">
      <c r="B2863" t="s">
        <v>4693</v>
      </c>
      <c r="C2863">
        <v>513683</v>
      </c>
      <c r="D2863" t="s">
        <v>4694</v>
      </c>
      <c r="E2863" t="s">
        <v>635</v>
      </c>
    </row>
    <row r="2864" spans="2:5" x14ac:dyDescent="0.3">
      <c r="B2864" t="s">
        <v>4695</v>
      </c>
      <c r="C2864">
        <v>513683</v>
      </c>
      <c r="D2864" t="s">
        <v>4696</v>
      </c>
      <c r="E2864" t="s">
        <v>635</v>
      </c>
    </row>
    <row r="2865" spans="2:5" x14ac:dyDescent="0.3">
      <c r="B2865" t="s">
        <v>4697</v>
      </c>
      <c r="C2865">
        <v>526371</v>
      </c>
      <c r="D2865" t="s">
        <v>4698</v>
      </c>
      <c r="E2865" t="s">
        <v>476</v>
      </c>
    </row>
    <row r="2866" spans="2:5" x14ac:dyDescent="0.3">
      <c r="B2866" t="s">
        <v>4699</v>
      </c>
      <c r="C2866">
        <v>500730</v>
      </c>
      <c r="D2866" t="s">
        <v>4700</v>
      </c>
      <c r="E2866" t="s">
        <v>656</v>
      </c>
    </row>
    <row r="2867" spans="2:5" x14ac:dyDescent="0.3">
      <c r="B2867" t="s">
        <v>4701</v>
      </c>
      <c r="C2867">
        <v>532481</v>
      </c>
      <c r="D2867" t="s">
        <v>4702</v>
      </c>
      <c r="E2867" t="s">
        <v>1091</v>
      </c>
    </row>
    <row r="2868" spans="2:5" x14ac:dyDescent="0.3">
      <c r="B2868" t="s">
        <v>4703</v>
      </c>
      <c r="C2868" t="s">
        <v>496</v>
      </c>
      <c r="D2868" t="s">
        <v>4704</v>
      </c>
      <c r="E2868" t="s">
        <v>587</v>
      </c>
    </row>
    <row r="2869" spans="2:5" x14ac:dyDescent="0.3">
      <c r="B2869" t="s">
        <v>4705</v>
      </c>
      <c r="C2869">
        <v>524414</v>
      </c>
      <c r="D2869" t="s">
        <v>496</v>
      </c>
      <c r="E2869" t="s">
        <v>518</v>
      </c>
    </row>
    <row r="2870" spans="2:5" x14ac:dyDescent="0.3">
      <c r="B2870" t="s">
        <v>4706</v>
      </c>
      <c r="C2870">
        <v>534615</v>
      </c>
      <c r="D2870" t="s">
        <v>4707</v>
      </c>
      <c r="E2870" t="s">
        <v>817</v>
      </c>
    </row>
    <row r="2871" spans="2:5" x14ac:dyDescent="0.3">
      <c r="B2871" t="s">
        <v>4708</v>
      </c>
      <c r="C2871">
        <v>542628</v>
      </c>
      <c r="D2871" t="s">
        <v>4709</v>
      </c>
      <c r="E2871" t="s">
        <v>862</v>
      </c>
    </row>
    <row r="2872" spans="2:5" x14ac:dyDescent="0.3">
      <c r="B2872" t="s">
        <v>4710</v>
      </c>
      <c r="C2872">
        <v>539110</v>
      </c>
      <c r="D2872" t="s">
        <v>496</v>
      </c>
      <c r="E2872" t="s">
        <v>513</v>
      </c>
    </row>
    <row r="2873" spans="2:5" x14ac:dyDescent="0.3">
      <c r="B2873" t="s">
        <v>4711</v>
      </c>
      <c r="C2873">
        <v>540698</v>
      </c>
      <c r="D2873" t="s">
        <v>496</v>
      </c>
      <c r="E2873" t="s">
        <v>518</v>
      </c>
    </row>
    <row r="2874" spans="2:5" x14ac:dyDescent="0.3">
      <c r="B2874" t="s">
        <v>4712</v>
      </c>
      <c r="C2874">
        <v>531465</v>
      </c>
      <c r="D2874" t="s">
        <v>496</v>
      </c>
      <c r="E2874" t="s">
        <v>518</v>
      </c>
    </row>
    <row r="2875" spans="2:5" x14ac:dyDescent="0.3">
      <c r="B2875" t="s">
        <v>4713</v>
      </c>
      <c r="C2875">
        <v>513566</v>
      </c>
      <c r="D2875" t="s">
        <v>496</v>
      </c>
      <c r="E2875" t="s">
        <v>528</v>
      </c>
    </row>
    <row r="2876" spans="2:5" x14ac:dyDescent="0.3">
      <c r="B2876" t="s">
        <v>4714</v>
      </c>
      <c r="C2876">
        <v>530733</v>
      </c>
      <c r="D2876" t="s">
        <v>496</v>
      </c>
      <c r="E2876" t="s">
        <v>1020</v>
      </c>
    </row>
    <row r="2877" spans="2:5" x14ac:dyDescent="0.3">
      <c r="B2877" t="s">
        <v>4715</v>
      </c>
      <c r="C2877">
        <v>530733</v>
      </c>
      <c r="D2877" t="s">
        <v>496</v>
      </c>
      <c r="E2877" t="s">
        <v>1020</v>
      </c>
    </row>
    <row r="2878" spans="2:5" x14ac:dyDescent="0.3">
      <c r="B2878" t="s">
        <v>4716</v>
      </c>
      <c r="C2878">
        <v>500672</v>
      </c>
      <c r="D2878" t="s">
        <v>496</v>
      </c>
      <c r="E2878" t="s">
        <v>534</v>
      </c>
    </row>
    <row r="2879" spans="2:5" x14ac:dyDescent="0.3">
      <c r="B2879" t="s">
        <v>4717</v>
      </c>
      <c r="C2879">
        <v>500672</v>
      </c>
      <c r="D2879" t="s">
        <v>496</v>
      </c>
      <c r="E2879" t="s">
        <v>534</v>
      </c>
    </row>
    <row r="2880" spans="2:5" x14ac:dyDescent="0.3">
      <c r="B2880" t="s">
        <v>4718</v>
      </c>
      <c r="C2880">
        <v>530127</v>
      </c>
      <c r="D2880" t="s">
        <v>496</v>
      </c>
      <c r="E2880" t="s">
        <v>479</v>
      </c>
    </row>
    <row r="2881" spans="2:5" x14ac:dyDescent="0.3">
      <c r="B2881" t="s">
        <v>4719</v>
      </c>
      <c r="C2881">
        <v>530367</v>
      </c>
      <c r="D2881" t="s">
        <v>4720</v>
      </c>
      <c r="E2881" t="s">
        <v>504</v>
      </c>
    </row>
    <row r="2882" spans="2:5" x14ac:dyDescent="0.3">
      <c r="B2882" t="s">
        <v>4721</v>
      </c>
      <c r="C2882">
        <v>535458</v>
      </c>
      <c r="D2882" t="s">
        <v>4722</v>
      </c>
      <c r="E2882" t="s">
        <v>681</v>
      </c>
    </row>
    <row r="2883" spans="2:5" x14ac:dyDescent="0.3">
      <c r="B2883" t="s">
        <v>4723</v>
      </c>
      <c r="C2883">
        <v>526723</v>
      </c>
      <c r="D2883" t="s">
        <v>496</v>
      </c>
      <c r="E2883" t="s">
        <v>2667</v>
      </c>
    </row>
    <row r="2884" spans="2:5" x14ac:dyDescent="0.3">
      <c r="B2884" t="s">
        <v>4724</v>
      </c>
      <c r="C2884">
        <v>532555</v>
      </c>
      <c r="D2884" t="s">
        <v>4725</v>
      </c>
      <c r="E2884" t="s">
        <v>635</v>
      </c>
    </row>
    <row r="2885" spans="2:5" x14ac:dyDescent="0.3">
      <c r="B2885" t="s">
        <v>4726</v>
      </c>
      <c r="C2885">
        <v>533015</v>
      </c>
      <c r="D2885" t="s">
        <v>4727</v>
      </c>
      <c r="E2885" t="s">
        <v>1443</v>
      </c>
    </row>
    <row r="2886" spans="2:5" x14ac:dyDescent="0.3">
      <c r="B2886" t="s">
        <v>4728</v>
      </c>
      <c r="C2886">
        <v>533015</v>
      </c>
      <c r="D2886" t="s">
        <v>4727</v>
      </c>
      <c r="E2886" t="s">
        <v>1443</v>
      </c>
    </row>
    <row r="2887" spans="2:5" x14ac:dyDescent="0.3">
      <c r="B2887" t="s">
        <v>4729</v>
      </c>
      <c r="C2887">
        <v>531209</v>
      </c>
      <c r="D2887" t="s">
        <v>4730</v>
      </c>
      <c r="E2887" t="s">
        <v>589</v>
      </c>
    </row>
    <row r="2888" spans="2:5" x14ac:dyDescent="0.3">
      <c r="B2888" t="s">
        <v>4731</v>
      </c>
      <c r="C2888">
        <v>531304</v>
      </c>
      <c r="D2888" t="s">
        <v>496</v>
      </c>
      <c r="E2888" t="s">
        <v>511</v>
      </c>
    </row>
    <row r="2889" spans="2:5" x14ac:dyDescent="0.3">
      <c r="B2889" t="s">
        <v>4732</v>
      </c>
      <c r="C2889">
        <v>524764</v>
      </c>
      <c r="D2889" t="s">
        <v>496</v>
      </c>
      <c r="E2889" t="s">
        <v>544</v>
      </c>
    </row>
    <row r="2890" spans="2:5" x14ac:dyDescent="0.3">
      <c r="B2890" t="s">
        <v>4733</v>
      </c>
      <c r="C2890">
        <v>524764</v>
      </c>
      <c r="D2890" t="s">
        <v>496</v>
      </c>
      <c r="E2890" t="s">
        <v>544</v>
      </c>
    </row>
    <row r="2891" spans="2:5" x14ac:dyDescent="0.3">
      <c r="B2891" t="s">
        <v>4734</v>
      </c>
      <c r="C2891">
        <v>530219</v>
      </c>
      <c r="D2891" t="s">
        <v>496</v>
      </c>
      <c r="E2891" t="s">
        <v>610</v>
      </c>
    </row>
    <row r="2892" spans="2:5" x14ac:dyDescent="0.3">
      <c r="B2892" t="s">
        <v>4735</v>
      </c>
      <c r="C2892">
        <v>531819</v>
      </c>
      <c r="D2892" t="s">
        <v>496</v>
      </c>
      <c r="E2892" t="s">
        <v>518</v>
      </c>
    </row>
    <row r="2893" spans="2:5" x14ac:dyDescent="0.3">
      <c r="B2893" t="s">
        <v>4736</v>
      </c>
      <c r="C2893">
        <v>531819</v>
      </c>
      <c r="D2893" t="s">
        <v>496</v>
      </c>
      <c r="E2893" t="s">
        <v>518</v>
      </c>
    </row>
    <row r="2894" spans="2:5" x14ac:dyDescent="0.3">
      <c r="B2894" t="s">
        <v>4737</v>
      </c>
      <c r="C2894">
        <v>504378</v>
      </c>
      <c r="D2894" t="s">
        <v>496</v>
      </c>
      <c r="E2894" t="s">
        <v>518</v>
      </c>
    </row>
    <row r="2895" spans="2:5" x14ac:dyDescent="0.3">
      <c r="B2895" t="s">
        <v>4738</v>
      </c>
      <c r="C2895">
        <v>539116</v>
      </c>
      <c r="D2895" t="s">
        <v>496</v>
      </c>
      <c r="E2895" t="s">
        <v>518</v>
      </c>
    </row>
    <row r="2896" spans="2:5" x14ac:dyDescent="0.3">
      <c r="B2896" t="s">
        <v>4739</v>
      </c>
      <c r="C2896">
        <v>512489</v>
      </c>
      <c r="D2896" t="s">
        <v>496</v>
      </c>
      <c r="E2896" t="s">
        <v>513</v>
      </c>
    </row>
    <row r="2897" spans="2:5" x14ac:dyDescent="0.3">
      <c r="B2897" t="s">
        <v>4740</v>
      </c>
      <c r="C2897">
        <v>538547</v>
      </c>
      <c r="D2897" t="s">
        <v>496</v>
      </c>
      <c r="E2897" t="s">
        <v>745</v>
      </c>
    </row>
    <row r="2898" spans="2:5" x14ac:dyDescent="0.3">
      <c r="B2898" t="s">
        <v>4741</v>
      </c>
      <c r="C2898">
        <v>533273</v>
      </c>
      <c r="D2898" t="s">
        <v>4742</v>
      </c>
      <c r="E2898" t="s">
        <v>582</v>
      </c>
    </row>
    <row r="2899" spans="2:5" x14ac:dyDescent="0.3">
      <c r="B2899" t="s">
        <v>4743</v>
      </c>
      <c r="C2899">
        <v>535657</v>
      </c>
      <c r="D2899" t="s">
        <v>496</v>
      </c>
      <c r="E2899" t="s">
        <v>482</v>
      </c>
    </row>
    <row r="2900" spans="2:5" x14ac:dyDescent="0.3">
      <c r="B2900" t="s">
        <v>4744</v>
      </c>
      <c r="C2900">
        <v>519491</v>
      </c>
      <c r="D2900" t="s">
        <v>496</v>
      </c>
      <c r="E2900" t="s">
        <v>691</v>
      </c>
    </row>
    <row r="2901" spans="2:5" x14ac:dyDescent="0.3">
      <c r="B2901" t="s">
        <v>4745</v>
      </c>
      <c r="C2901">
        <v>519491</v>
      </c>
      <c r="D2901" t="s">
        <v>496</v>
      </c>
      <c r="E2901" t="s">
        <v>691</v>
      </c>
    </row>
    <row r="2902" spans="2:5" x14ac:dyDescent="0.3">
      <c r="B2902" t="s">
        <v>4746</v>
      </c>
      <c r="C2902">
        <v>538019</v>
      </c>
      <c r="D2902" t="s">
        <v>496</v>
      </c>
      <c r="E2902" t="s">
        <v>576</v>
      </c>
    </row>
    <row r="2903" spans="2:5" x14ac:dyDescent="0.3">
      <c r="B2903" t="s">
        <v>4747</v>
      </c>
      <c r="C2903">
        <v>540405</v>
      </c>
      <c r="D2903" t="s">
        <v>496</v>
      </c>
      <c r="E2903" t="s">
        <v>576</v>
      </c>
    </row>
    <row r="2904" spans="2:5" x14ac:dyDescent="0.3">
      <c r="B2904" t="s">
        <v>4748</v>
      </c>
      <c r="C2904">
        <v>533008</v>
      </c>
      <c r="D2904" t="s">
        <v>4749</v>
      </c>
      <c r="E2904" t="s">
        <v>528</v>
      </c>
    </row>
    <row r="2905" spans="2:5" x14ac:dyDescent="0.3">
      <c r="B2905" t="s">
        <v>4750</v>
      </c>
      <c r="C2905">
        <v>538894</v>
      </c>
      <c r="D2905" t="s">
        <v>496</v>
      </c>
      <c r="E2905" t="s">
        <v>479</v>
      </c>
    </row>
    <row r="2906" spans="2:5" x14ac:dyDescent="0.3">
      <c r="B2906" t="s">
        <v>4751</v>
      </c>
      <c r="C2906">
        <v>540416</v>
      </c>
      <c r="D2906" t="s">
        <v>496</v>
      </c>
      <c r="E2906" t="s">
        <v>502</v>
      </c>
    </row>
    <row r="2907" spans="2:5" x14ac:dyDescent="0.3">
      <c r="B2907" t="s">
        <v>4752</v>
      </c>
      <c r="C2907">
        <v>531996</v>
      </c>
      <c r="D2907" t="s">
        <v>496</v>
      </c>
      <c r="E2907" t="s">
        <v>513</v>
      </c>
    </row>
    <row r="2908" spans="2:5" x14ac:dyDescent="0.3">
      <c r="B2908" t="s">
        <v>4753</v>
      </c>
      <c r="C2908">
        <v>530175</v>
      </c>
      <c r="D2908" t="s">
        <v>496</v>
      </c>
      <c r="E2908" t="s">
        <v>589</v>
      </c>
    </row>
    <row r="2909" spans="2:5" x14ac:dyDescent="0.3">
      <c r="B2909" t="s">
        <v>4754</v>
      </c>
      <c r="C2909">
        <v>539570</v>
      </c>
      <c r="D2909" t="s">
        <v>496</v>
      </c>
      <c r="E2909" t="s">
        <v>482</v>
      </c>
    </row>
    <row r="2910" spans="2:5" x14ac:dyDescent="0.3">
      <c r="B2910" t="s">
        <v>4755</v>
      </c>
      <c r="C2910">
        <v>500312</v>
      </c>
      <c r="D2910" t="s">
        <v>4756</v>
      </c>
      <c r="E2910" t="s">
        <v>559</v>
      </c>
    </row>
    <row r="2911" spans="2:5" x14ac:dyDescent="0.3">
      <c r="B2911" t="s">
        <v>4757</v>
      </c>
      <c r="C2911">
        <v>533106</v>
      </c>
      <c r="D2911" t="s">
        <v>4758</v>
      </c>
      <c r="E2911" t="s">
        <v>559</v>
      </c>
    </row>
    <row r="2912" spans="2:5" x14ac:dyDescent="0.3">
      <c r="B2912" t="s">
        <v>4759</v>
      </c>
      <c r="C2912">
        <v>500313</v>
      </c>
      <c r="D2912" t="s">
        <v>4760</v>
      </c>
      <c r="E2912" t="s">
        <v>837</v>
      </c>
    </row>
    <row r="2913" spans="2:5" x14ac:dyDescent="0.3">
      <c r="B2913" t="s">
        <v>4761</v>
      </c>
      <c r="C2913">
        <v>533106</v>
      </c>
      <c r="D2913" t="s">
        <v>4758</v>
      </c>
      <c r="E2913" t="s">
        <v>559</v>
      </c>
    </row>
    <row r="2914" spans="2:5" x14ac:dyDescent="0.3">
      <c r="B2914" t="s">
        <v>4762</v>
      </c>
      <c r="C2914">
        <v>526415</v>
      </c>
      <c r="D2914" t="s">
        <v>496</v>
      </c>
      <c r="E2914" t="s">
        <v>994</v>
      </c>
    </row>
    <row r="2915" spans="2:5" x14ac:dyDescent="0.3">
      <c r="B2915" t="s">
        <v>4763</v>
      </c>
      <c r="C2915">
        <v>526415</v>
      </c>
      <c r="D2915" t="s">
        <v>496</v>
      </c>
      <c r="E2915" t="s">
        <v>994</v>
      </c>
    </row>
    <row r="2916" spans="2:5" x14ac:dyDescent="0.3">
      <c r="B2916" t="s">
        <v>4764</v>
      </c>
      <c r="C2916">
        <v>532439</v>
      </c>
      <c r="D2916" t="s">
        <v>4765</v>
      </c>
      <c r="E2916" t="s">
        <v>504</v>
      </c>
    </row>
    <row r="2917" spans="2:5" x14ac:dyDescent="0.3">
      <c r="B2917" t="s">
        <v>4766</v>
      </c>
      <c r="C2917">
        <v>521105</v>
      </c>
      <c r="D2917" t="s">
        <v>496</v>
      </c>
      <c r="E2917" t="s">
        <v>3256</v>
      </c>
    </row>
    <row r="2918" spans="2:5" x14ac:dyDescent="0.3">
      <c r="B2918" t="s">
        <v>4767</v>
      </c>
      <c r="C2918">
        <v>534190</v>
      </c>
      <c r="D2918" t="s">
        <v>496</v>
      </c>
      <c r="E2918" t="s">
        <v>994</v>
      </c>
    </row>
    <row r="2919" spans="2:5" x14ac:dyDescent="0.3">
      <c r="B2919" t="s">
        <v>4768</v>
      </c>
      <c r="C2919">
        <v>507609</v>
      </c>
      <c r="D2919" t="s">
        <v>496</v>
      </c>
      <c r="E2919" t="s">
        <v>694</v>
      </c>
    </row>
    <row r="2920" spans="2:5" x14ac:dyDescent="0.3">
      <c r="B2920" t="s">
        <v>4769</v>
      </c>
      <c r="C2920">
        <v>531092</v>
      </c>
      <c r="D2920" t="s">
        <v>4770</v>
      </c>
      <c r="E2920" t="s">
        <v>894</v>
      </c>
    </row>
    <row r="2921" spans="2:5" x14ac:dyDescent="0.3">
      <c r="B2921" t="s">
        <v>4771</v>
      </c>
      <c r="C2921">
        <v>538537</v>
      </c>
      <c r="D2921" t="s">
        <v>496</v>
      </c>
      <c r="E2921" t="s">
        <v>518</v>
      </c>
    </row>
    <row r="2922" spans="2:5" x14ac:dyDescent="0.3">
      <c r="B2922" t="s">
        <v>4772</v>
      </c>
      <c r="C2922">
        <v>520021</v>
      </c>
      <c r="D2922" t="s">
        <v>4773</v>
      </c>
      <c r="E2922" t="s">
        <v>851</v>
      </c>
    </row>
    <row r="2923" spans="2:5" x14ac:dyDescent="0.3">
      <c r="B2923" t="s">
        <v>4774</v>
      </c>
      <c r="C2923">
        <v>532880</v>
      </c>
      <c r="D2923" t="s">
        <v>4775</v>
      </c>
      <c r="E2923" t="s">
        <v>582</v>
      </c>
    </row>
    <row r="2924" spans="2:5" x14ac:dyDescent="0.3">
      <c r="B2924" t="s">
        <v>4776</v>
      </c>
      <c r="C2924" t="s">
        <v>496</v>
      </c>
      <c r="D2924" t="s">
        <v>4777</v>
      </c>
      <c r="E2924" t="s">
        <v>507</v>
      </c>
    </row>
    <row r="2925" spans="2:5" x14ac:dyDescent="0.3">
      <c r="B2925" t="s">
        <v>4778</v>
      </c>
      <c r="C2925" t="s">
        <v>496</v>
      </c>
      <c r="D2925" t="s">
        <v>4777</v>
      </c>
      <c r="E2925" t="s">
        <v>507</v>
      </c>
    </row>
    <row r="2926" spans="2:5" x14ac:dyDescent="0.3">
      <c r="B2926" t="s">
        <v>4779</v>
      </c>
      <c r="C2926">
        <v>531496</v>
      </c>
      <c r="D2926" t="s">
        <v>496</v>
      </c>
      <c r="E2926" t="s">
        <v>511</v>
      </c>
    </row>
    <row r="2927" spans="2:5" x14ac:dyDescent="0.3">
      <c r="B2927" t="s">
        <v>4780</v>
      </c>
      <c r="C2927">
        <v>532167</v>
      </c>
      <c r="D2927" t="s">
        <v>496</v>
      </c>
      <c r="E2927" t="s">
        <v>544</v>
      </c>
    </row>
    <row r="2928" spans="2:5" x14ac:dyDescent="0.3">
      <c r="B2928" t="s">
        <v>4781</v>
      </c>
      <c r="C2928">
        <v>533317</v>
      </c>
      <c r="D2928" t="s">
        <v>4782</v>
      </c>
      <c r="E2928" t="s">
        <v>656</v>
      </c>
    </row>
    <row r="2929" spans="2:5" x14ac:dyDescent="0.3">
      <c r="B2929" t="s">
        <v>4783</v>
      </c>
      <c r="C2929">
        <v>532340</v>
      </c>
      <c r="D2929" t="s">
        <v>496</v>
      </c>
      <c r="E2929" t="s">
        <v>589</v>
      </c>
    </row>
    <row r="2930" spans="2:5" x14ac:dyDescent="0.3">
      <c r="B2930" t="s">
        <v>4784</v>
      </c>
      <c r="C2930">
        <v>514324</v>
      </c>
      <c r="D2930" t="s">
        <v>496</v>
      </c>
      <c r="E2930" t="s">
        <v>511</v>
      </c>
    </row>
    <row r="2931" spans="2:5" x14ac:dyDescent="0.3">
      <c r="B2931" t="s">
        <v>4785</v>
      </c>
      <c r="C2931">
        <v>514324</v>
      </c>
      <c r="D2931" t="s">
        <v>496</v>
      </c>
      <c r="E2931" t="s">
        <v>511</v>
      </c>
    </row>
    <row r="2932" spans="2:5" x14ac:dyDescent="0.3">
      <c r="B2932" t="s">
        <v>4786</v>
      </c>
      <c r="C2932" t="s">
        <v>496</v>
      </c>
      <c r="D2932" t="s">
        <v>4787</v>
      </c>
      <c r="E2932" t="s">
        <v>507</v>
      </c>
    </row>
    <row r="2933" spans="2:5" x14ac:dyDescent="0.3">
      <c r="B2933" t="s">
        <v>4788</v>
      </c>
      <c r="C2933">
        <v>533632</v>
      </c>
      <c r="D2933" t="s">
        <v>4789</v>
      </c>
      <c r="E2933" t="s">
        <v>516</v>
      </c>
    </row>
    <row r="2934" spans="2:5" x14ac:dyDescent="0.3">
      <c r="B2934" t="s">
        <v>4790</v>
      </c>
      <c r="C2934">
        <v>530805</v>
      </c>
      <c r="D2934" t="s">
        <v>496</v>
      </c>
      <c r="E2934" t="s">
        <v>580</v>
      </c>
    </row>
    <row r="2935" spans="2:5" x14ac:dyDescent="0.3">
      <c r="B2935" t="s">
        <v>4791</v>
      </c>
      <c r="C2935">
        <v>535647</v>
      </c>
      <c r="D2935" t="s">
        <v>496</v>
      </c>
      <c r="E2935" t="s">
        <v>499</v>
      </c>
    </row>
    <row r="2936" spans="2:5" x14ac:dyDescent="0.3">
      <c r="B2936" t="s">
        <v>4792</v>
      </c>
      <c r="C2936">
        <v>532944</v>
      </c>
      <c r="D2936" t="s">
        <v>4793</v>
      </c>
      <c r="E2936" t="s">
        <v>1443</v>
      </c>
    </row>
    <row r="2937" spans="2:5" x14ac:dyDescent="0.3">
      <c r="B2937" t="s">
        <v>4794</v>
      </c>
      <c r="C2937">
        <v>540386</v>
      </c>
      <c r="D2937" t="s">
        <v>496</v>
      </c>
      <c r="E2937" t="s">
        <v>479</v>
      </c>
    </row>
    <row r="2938" spans="2:5" x14ac:dyDescent="0.3">
      <c r="B2938" t="s">
        <v>4795</v>
      </c>
      <c r="C2938">
        <v>517536</v>
      </c>
      <c r="D2938" t="s">
        <v>4796</v>
      </c>
      <c r="E2938" t="s">
        <v>482</v>
      </c>
    </row>
    <row r="2939" spans="2:5" x14ac:dyDescent="0.3">
      <c r="B2939" t="s">
        <v>4797</v>
      </c>
      <c r="C2939" t="s">
        <v>496</v>
      </c>
      <c r="D2939" t="s">
        <v>4798</v>
      </c>
      <c r="E2939" t="s">
        <v>507</v>
      </c>
    </row>
    <row r="2940" spans="2:5" x14ac:dyDescent="0.3">
      <c r="B2940" t="s">
        <v>4799</v>
      </c>
      <c r="C2940">
        <v>530135</v>
      </c>
      <c r="D2940" t="s">
        <v>4800</v>
      </c>
      <c r="E2940" t="s">
        <v>530</v>
      </c>
    </row>
    <row r="2941" spans="2:5" x14ac:dyDescent="0.3">
      <c r="B2941" t="s">
        <v>4801</v>
      </c>
      <c r="C2941">
        <v>531254</v>
      </c>
      <c r="D2941" t="s">
        <v>496</v>
      </c>
      <c r="E2941" t="s">
        <v>513</v>
      </c>
    </row>
    <row r="2942" spans="2:5" x14ac:dyDescent="0.3">
      <c r="B2942" t="s">
        <v>4802</v>
      </c>
      <c r="C2942">
        <v>532391</v>
      </c>
      <c r="D2942" t="s">
        <v>4803</v>
      </c>
      <c r="E2942" t="s">
        <v>1663</v>
      </c>
    </row>
    <row r="2943" spans="2:5" x14ac:dyDescent="0.3">
      <c r="B2943" t="s">
        <v>4804</v>
      </c>
      <c r="C2943">
        <v>532391</v>
      </c>
      <c r="D2943" t="s">
        <v>4803</v>
      </c>
      <c r="E2943" t="s">
        <v>1663</v>
      </c>
    </row>
    <row r="2944" spans="2:5" x14ac:dyDescent="0.3">
      <c r="B2944" t="s">
        <v>4805</v>
      </c>
      <c r="C2944">
        <v>539598</v>
      </c>
      <c r="D2944" t="s">
        <v>496</v>
      </c>
      <c r="E2944" t="s">
        <v>513</v>
      </c>
    </row>
    <row r="2945" spans="2:5" x14ac:dyDescent="0.3">
      <c r="B2945" t="s">
        <v>4806</v>
      </c>
      <c r="C2945">
        <v>532466</v>
      </c>
      <c r="D2945" t="s">
        <v>4807</v>
      </c>
      <c r="E2945" t="s">
        <v>482</v>
      </c>
    </row>
    <row r="2946" spans="2:5" x14ac:dyDescent="0.3">
      <c r="B2946" t="s">
        <v>4808</v>
      </c>
      <c r="C2946">
        <v>512626</v>
      </c>
      <c r="D2946" t="s">
        <v>4809</v>
      </c>
      <c r="E2946" t="s">
        <v>511</v>
      </c>
    </row>
    <row r="2947" spans="2:5" x14ac:dyDescent="0.3">
      <c r="B2947" t="s">
        <v>4810</v>
      </c>
      <c r="C2947">
        <v>524372</v>
      </c>
      <c r="D2947" t="s">
        <v>4811</v>
      </c>
      <c r="E2947" t="s">
        <v>534</v>
      </c>
    </row>
    <row r="2948" spans="2:5" x14ac:dyDescent="0.3">
      <c r="B2948" t="s">
        <v>4812</v>
      </c>
      <c r="C2948">
        <v>531157</v>
      </c>
      <c r="D2948" t="s">
        <v>496</v>
      </c>
      <c r="E2948" t="s">
        <v>656</v>
      </c>
    </row>
    <row r="2949" spans="2:5" x14ac:dyDescent="0.3">
      <c r="B2949" t="s">
        <v>4813</v>
      </c>
      <c r="C2949">
        <v>513121</v>
      </c>
      <c r="D2949" t="s">
        <v>4814</v>
      </c>
      <c r="E2949" t="s">
        <v>656</v>
      </c>
    </row>
    <row r="2950" spans="2:5" x14ac:dyDescent="0.3">
      <c r="B2950" t="s">
        <v>4815</v>
      </c>
      <c r="C2950">
        <v>504879</v>
      </c>
      <c r="D2950" t="s">
        <v>4816</v>
      </c>
      <c r="E2950" t="s">
        <v>1416</v>
      </c>
    </row>
    <row r="2951" spans="2:5" x14ac:dyDescent="0.3">
      <c r="B2951" t="s">
        <v>4817</v>
      </c>
      <c r="C2951">
        <v>530365</v>
      </c>
      <c r="D2951" t="s">
        <v>4818</v>
      </c>
      <c r="E2951" t="s">
        <v>773</v>
      </c>
    </row>
    <row r="2952" spans="2:5" x14ac:dyDescent="0.3">
      <c r="B2952" t="s">
        <v>4819</v>
      </c>
      <c r="C2952">
        <v>507690</v>
      </c>
      <c r="D2952" t="s">
        <v>496</v>
      </c>
      <c r="E2952" t="s">
        <v>931</v>
      </c>
    </row>
    <row r="2953" spans="2:5" x14ac:dyDescent="0.3">
      <c r="B2953" t="s">
        <v>4820</v>
      </c>
      <c r="C2953">
        <v>535754</v>
      </c>
      <c r="D2953" t="s">
        <v>4821</v>
      </c>
      <c r="E2953" t="s">
        <v>509</v>
      </c>
    </row>
    <row r="2954" spans="2:5" x14ac:dyDescent="0.3">
      <c r="B2954" t="s">
        <v>4822</v>
      </c>
      <c r="C2954">
        <v>541301</v>
      </c>
      <c r="D2954" t="s">
        <v>4823</v>
      </c>
      <c r="E2954" t="s">
        <v>865</v>
      </c>
    </row>
    <row r="2955" spans="2:5" x14ac:dyDescent="0.3">
      <c r="B2955" t="s">
        <v>4824</v>
      </c>
      <c r="C2955">
        <v>533263</v>
      </c>
      <c r="D2955" t="s">
        <v>4825</v>
      </c>
      <c r="E2955" t="s">
        <v>635</v>
      </c>
    </row>
    <row r="2956" spans="2:5" x14ac:dyDescent="0.3">
      <c r="B2956" t="s">
        <v>4826</v>
      </c>
      <c r="C2956">
        <v>502420</v>
      </c>
      <c r="D2956" t="s">
        <v>4827</v>
      </c>
      <c r="E2956" t="s">
        <v>490</v>
      </c>
    </row>
    <row r="2957" spans="2:5" x14ac:dyDescent="0.3">
      <c r="B2957" t="s">
        <v>4828</v>
      </c>
      <c r="C2957">
        <v>526325</v>
      </c>
      <c r="D2957" t="s">
        <v>4829</v>
      </c>
      <c r="E2957" t="s">
        <v>691</v>
      </c>
    </row>
    <row r="2958" spans="2:5" x14ac:dyDescent="0.3">
      <c r="B2958" t="s">
        <v>4830</v>
      </c>
      <c r="C2958">
        <v>534076</v>
      </c>
      <c r="D2958" t="s">
        <v>4831</v>
      </c>
      <c r="E2958" t="s">
        <v>681</v>
      </c>
    </row>
    <row r="2959" spans="2:5" x14ac:dyDescent="0.3">
      <c r="B2959" t="s">
        <v>4832</v>
      </c>
      <c r="C2959">
        <v>531512</v>
      </c>
      <c r="D2959" t="s">
        <v>496</v>
      </c>
      <c r="E2959" t="s">
        <v>499</v>
      </c>
    </row>
    <row r="2960" spans="2:5" x14ac:dyDescent="0.3">
      <c r="B2960" t="s">
        <v>4833</v>
      </c>
      <c r="C2960">
        <v>500078</v>
      </c>
      <c r="D2960" t="s">
        <v>496</v>
      </c>
      <c r="E2960" t="s">
        <v>544</v>
      </c>
    </row>
    <row r="2961" spans="2:5" x14ac:dyDescent="0.3">
      <c r="B2961" t="s">
        <v>4834</v>
      </c>
      <c r="C2961">
        <v>500315</v>
      </c>
      <c r="D2961" t="s">
        <v>4835</v>
      </c>
      <c r="E2961" t="s">
        <v>814</v>
      </c>
    </row>
    <row r="2962" spans="2:5" x14ac:dyDescent="0.3">
      <c r="B2962" t="s">
        <v>4836</v>
      </c>
      <c r="C2962">
        <v>506579</v>
      </c>
      <c r="D2962" t="s">
        <v>4837</v>
      </c>
      <c r="E2962" t="s">
        <v>544</v>
      </c>
    </row>
    <row r="2963" spans="2:5" x14ac:dyDescent="0.3">
      <c r="B2963" t="s">
        <v>4838</v>
      </c>
      <c r="C2963">
        <v>500314</v>
      </c>
      <c r="D2963" t="s">
        <v>4839</v>
      </c>
      <c r="E2963" t="s">
        <v>697</v>
      </c>
    </row>
    <row r="2964" spans="2:5" x14ac:dyDescent="0.3">
      <c r="B2964" t="s">
        <v>4840</v>
      </c>
      <c r="C2964">
        <v>532817</v>
      </c>
      <c r="D2964" t="s">
        <v>4841</v>
      </c>
      <c r="E2964" t="s">
        <v>1024</v>
      </c>
    </row>
    <row r="2965" spans="2:5" x14ac:dyDescent="0.3">
      <c r="B2965" t="s">
        <v>4842</v>
      </c>
      <c r="C2965">
        <v>531859</v>
      </c>
      <c r="D2965" t="s">
        <v>496</v>
      </c>
      <c r="E2965" t="s">
        <v>1416</v>
      </c>
    </row>
    <row r="2966" spans="2:5" x14ac:dyDescent="0.3">
      <c r="B2966" t="s">
        <v>4843</v>
      </c>
      <c r="C2966">
        <v>541206</v>
      </c>
      <c r="D2966" t="s">
        <v>496</v>
      </c>
      <c r="E2966" t="s">
        <v>817</v>
      </c>
    </row>
    <row r="2967" spans="2:5" x14ac:dyDescent="0.3">
      <c r="B2967" t="s">
        <v>4844</v>
      </c>
      <c r="C2967">
        <v>531626</v>
      </c>
      <c r="D2967" t="s">
        <v>496</v>
      </c>
      <c r="E2967" t="s">
        <v>610</v>
      </c>
    </row>
    <row r="2968" spans="2:5" x14ac:dyDescent="0.3">
      <c r="B2968" t="s">
        <v>4845</v>
      </c>
      <c r="C2968">
        <v>531626</v>
      </c>
      <c r="D2968" t="s">
        <v>496</v>
      </c>
      <c r="E2968" t="s">
        <v>610</v>
      </c>
    </row>
    <row r="2969" spans="2:5" x14ac:dyDescent="0.3">
      <c r="B2969" t="s">
        <v>4846</v>
      </c>
      <c r="C2969">
        <v>539015</v>
      </c>
      <c r="D2969" t="s">
        <v>4847</v>
      </c>
      <c r="E2969" t="s">
        <v>1235</v>
      </c>
    </row>
    <row r="2970" spans="2:5" x14ac:dyDescent="0.3">
      <c r="B2970" t="s">
        <v>4848</v>
      </c>
      <c r="C2970">
        <v>539287</v>
      </c>
      <c r="D2970" t="s">
        <v>4849</v>
      </c>
      <c r="E2970" t="s">
        <v>534</v>
      </c>
    </row>
    <row r="2971" spans="2:5" x14ac:dyDescent="0.3">
      <c r="B2971" t="s">
        <v>4850</v>
      </c>
      <c r="C2971">
        <v>530173</v>
      </c>
      <c r="D2971" t="s">
        <v>496</v>
      </c>
      <c r="E2971" t="s">
        <v>610</v>
      </c>
    </row>
    <row r="2972" spans="2:5" x14ac:dyDescent="0.3">
      <c r="B2972" t="s">
        <v>4851</v>
      </c>
      <c r="C2972">
        <v>501179</v>
      </c>
      <c r="D2972" t="s">
        <v>496</v>
      </c>
      <c r="E2972" t="s">
        <v>516</v>
      </c>
    </row>
    <row r="2973" spans="2:5" x14ac:dyDescent="0.3">
      <c r="B2973" t="s">
        <v>4852</v>
      </c>
      <c r="C2973">
        <v>509782</v>
      </c>
      <c r="D2973" t="s">
        <v>496</v>
      </c>
      <c r="E2973" t="s">
        <v>917</v>
      </c>
    </row>
    <row r="2974" spans="2:5" x14ac:dyDescent="0.3">
      <c r="B2974" t="s">
        <v>4853</v>
      </c>
      <c r="C2974">
        <v>540198</v>
      </c>
      <c r="D2974" t="s">
        <v>496</v>
      </c>
      <c r="E2974" t="s">
        <v>511</v>
      </c>
    </row>
    <row r="2975" spans="2:5" x14ac:dyDescent="0.3">
      <c r="B2975" t="s">
        <v>4854</v>
      </c>
      <c r="C2975">
        <v>500317</v>
      </c>
      <c r="D2975" t="s">
        <v>4855</v>
      </c>
      <c r="E2975" t="s">
        <v>516</v>
      </c>
    </row>
    <row r="2976" spans="2:5" x14ac:dyDescent="0.3">
      <c r="B2976" t="s">
        <v>4856</v>
      </c>
      <c r="C2976">
        <v>539290</v>
      </c>
      <c r="D2976" t="s">
        <v>4857</v>
      </c>
      <c r="E2976" t="s">
        <v>516</v>
      </c>
    </row>
    <row r="2977" spans="2:5" x14ac:dyDescent="0.3">
      <c r="B2977" t="s">
        <v>4858</v>
      </c>
      <c r="C2977">
        <v>509099</v>
      </c>
      <c r="D2977" t="s">
        <v>496</v>
      </c>
      <c r="E2977" t="s">
        <v>917</v>
      </c>
    </row>
    <row r="2978" spans="2:5" x14ac:dyDescent="0.3">
      <c r="B2978" t="s">
        <v>4859</v>
      </c>
      <c r="C2978">
        <v>531065</v>
      </c>
      <c r="D2978" t="s">
        <v>496</v>
      </c>
      <c r="E2978" t="s">
        <v>1195</v>
      </c>
    </row>
    <row r="2979" spans="2:5" x14ac:dyDescent="0.3">
      <c r="B2979" t="s">
        <v>4860</v>
      </c>
      <c r="C2979">
        <v>514460</v>
      </c>
      <c r="D2979" t="s">
        <v>496</v>
      </c>
      <c r="E2979" t="s">
        <v>518</v>
      </c>
    </row>
    <row r="2980" spans="2:5" x14ac:dyDescent="0.3">
      <c r="B2980" t="s">
        <v>4861</v>
      </c>
      <c r="C2980">
        <v>523151</v>
      </c>
      <c r="D2980" t="s">
        <v>496</v>
      </c>
      <c r="E2980" t="s">
        <v>580</v>
      </c>
    </row>
    <row r="2981" spans="2:5" x14ac:dyDescent="0.3">
      <c r="B2981" t="s">
        <v>4862</v>
      </c>
      <c r="C2981">
        <v>514330</v>
      </c>
      <c r="D2981" t="s">
        <v>496</v>
      </c>
      <c r="E2981" t="s">
        <v>511</v>
      </c>
    </row>
    <row r="2982" spans="2:5" x14ac:dyDescent="0.3">
      <c r="B2982" t="s">
        <v>4863</v>
      </c>
      <c r="C2982">
        <v>530741</v>
      </c>
      <c r="D2982" t="s">
        <v>496</v>
      </c>
      <c r="E2982" t="s">
        <v>576</v>
      </c>
    </row>
    <row r="2983" spans="2:5" x14ac:dyDescent="0.3">
      <c r="B2983" t="s">
        <v>4864</v>
      </c>
      <c r="C2983">
        <v>539291</v>
      </c>
      <c r="D2983" t="s">
        <v>496</v>
      </c>
      <c r="E2983" t="s">
        <v>694</v>
      </c>
    </row>
    <row r="2984" spans="2:5" x14ac:dyDescent="0.3">
      <c r="B2984" t="s">
        <v>4865</v>
      </c>
      <c r="C2984">
        <v>539352</v>
      </c>
      <c r="D2984" t="s">
        <v>496</v>
      </c>
      <c r="E2984" t="s">
        <v>499</v>
      </c>
    </row>
    <row r="2985" spans="2:5" x14ac:dyDescent="0.3">
      <c r="B2985" t="s">
        <v>4866</v>
      </c>
      <c r="C2985">
        <v>513403</v>
      </c>
      <c r="D2985" t="s">
        <v>496</v>
      </c>
      <c r="E2985" t="s">
        <v>528</v>
      </c>
    </row>
    <row r="2986" spans="2:5" x14ac:dyDescent="0.3">
      <c r="B2986" t="s">
        <v>4867</v>
      </c>
      <c r="C2986">
        <v>523862</v>
      </c>
      <c r="D2986" t="s">
        <v>496</v>
      </c>
      <c r="E2986" t="s">
        <v>513</v>
      </c>
    </row>
    <row r="2987" spans="2:5" x14ac:dyDescent="0.3">
      <c r="B2987" t="s">
        <v>4868</v>
      </c>
      <c r="C2987">
        <v>523483</v>
      </c>
      <c r="D2987" t="s">
        <v>496</v>
      </c>
      <c r="E2987" t="s">
        <v>1024</v>
      </c>
    </row>
    <row r="2988" spans="2:5" x14ac:dyDescent="0.3">
      <c r="B2988" t="s">
        <v>4869</v>
      </c>
      <c r="C2988">
        <v>538963</v>
      </c>
      <c r="D2988" t="s">
        <v>496</v>
      </c>
      <c r="E2988" t="s">
        <v>819</v>
      </c>
    </row>
    <row r="2989" spans="2:5" x14ac:dyDescent="0.3">
      <c r="B2989" t="s">
        <v>4870</v>
      </c>
      <c r="C2989">
        <v>531395</v>
      </c>
      <c r="D2989" t="s">
        <v>496</v>
      </c>
      <c r="E2989" t="s">
        <v>511</v>
      </c>
    </row>
    <row r="2990" spans="2:5" x14ac:dyDescent="0.3">
      <c r="B2990" t="s">
        <v>4871</v>
      </c>
      <c r="C2990">
        <v>532350</v>
      </c>
      <c r="D2990" t="s">
        <v>496</v>
      </c>
      <c r="E2990" t="s">
        <v>499</v>
      </c>
    </row>
    <row r="2991" spans="2:5" x14ac:dyDescent="0.3">
      <c r="B2991" t="s">
        <v>4872</v>
      </c>
      <c r="C2991">
        <v>526905</v>
      </c>
      <c r="D2991" t="s">
        <v>496</v>
      </c>
      <c r="E2991" t="s">
        <v>544</v>
      </c>
    </row>
    <row r="2992" spans="2:5" x14ac:dyDescent="0.3">
      <c r="B2992" t="s">
        <v>4873</v>
      </c>
      <c r="C2992">
        <v>517230</v>
      </c>
      <c r="D2992" t="s">
        <v>4874</v>
      </c>
      <c r="E2992" t="s">
        <v>518</v>
      </c>
    </row>
    <row r="2993" spans="2:5" x14ac:dyDescent="0.3">
      <c r="B2993" t="s">
        <v>4875</v>
      </c>
      <c r="C2993">
        <v>532827</v>
      </c>
      <c r="D2993" t="s">
        <v>4876</v>
      </c>
      <c r="E2993" t="s">
        <v>610</v>
      </c>
    </row>
    <row r="2994" spans="2:5" x14ac:dyDescent="0.3">
      <c r="B2994" t="s">
        <v>4877</v>
      </c>
      <c r="C2994">
        <v>532900</v>
      </c>
      <c r="D2994" t="s">
        <v>4878</v>
      </c>
      <c r="E2994" t="s">
        <v>513</v>
      </c>
    </row>
    <row r="2995" spans="2:5" x14ac:dyDescent="0.3">
      <c r="B2995" t="s">
        <v>4879</v>
      </c>
      <c r="C2995">
        <v>540648</v>
      </c>
      <c r="D2995" t="s">
        <v>4880</v>
      </c>
      <c r="E2995" t="s">
        <v>516</v>
      </c>
    </row>
    <row r="2996" spans="2:5" x14ac:dyDescent="0.3">
      <c r="B2996" t="s">
        <v>4881</v>
      </c>
      <c r="C2996">
        <v>539121</v>
      </c>
      <c r="D2996" t="s">
        <v>496</v>
      </c>
      <c r="E2996" t="s">
        <v>801</v>
      </c>
    </row>
    <row r="2997" spans="2:5" x14ac:dyDescent="0.3">
      <c r="B2997" t="s">
        <v>4882</v>
      </c>
      <c r="C2997">
        <v>541444</v>
      </c>
      <c r="D2997" t="s">
        <v>496</v>
      </c>
      <c r="E2997" t="s">
        <v>610</v>
      </c>
    </row>
    <row r="2998" spans="2:5" x14ac:dyDescent="0.3">
      <c r="B2998" t="s">
        <v>4883</v>
      </c>
      <c r="C2998">
        <v>532521</v>
      </c>
      <c r="D2998" t="s">
        <v>4884</v>
      </c>
      <c r="E2998" t="s">
        <v>589</v>
      </c>
    </row>
    <row r="2999" spans="2:5" x14ac:dyDescent="0.3">
      <c r="B2999" t="s">
        <v>4885</v>
      </c>
      <c r="C2999">
        <v>511597</v>
      </c>
      <c r="D2999" t="s">
        <v>496</v>
      </c>
      <c r="E2999" t="s">
        <v>513</v>
      </c>
    </row>
    <row r="3000" spans="2:5" x14ac:dyDescent="0.3">
      <c r="B3000" t="s">
        <v>4886</v>
      </c>
      <c r="C3000">
        <v>517397</v>
      </c>
      <c r="D3000" t="s">
        <v>496</v>
      </c>
      <c r="E3000" t="s">
        <v>1038</v>
      </c>
    </row>
    <row r="3001" spans="2:5" x14ac:dyDescent="0.3">
      <c r="B3001" t="s">
        <v>4887</v>
      </c>
      <c r="C3001">
        <v>517397</v>
      </c>
      <c r="D3001" t="s">
        <v>496</v>
      </c>
      <c r="E3001" t="s">
        <v>1038</v>
      </c>
    </row>
    <row r="3002" spans="2:5" x14ac:dyDescent="0.3">
      <c r="B3002" t="s">
        <v>4888</v>
      </c>
      <c r="C3002">
        <v>511525</v>
      </c>
      <c r="D3002" t="s">
        <v>496</v>
      </c>
      <c r="E3002" t="s">
        <v>589</v>
      </c>
    </row>
    <row r="3003" spans="2:5" x14ac:dyDescent="0.3">
      <c r="B3003" t="s">
        <v>4889</v>
      </c>
      <c r="C3003">
        <v>531349</v>
      </c>
      <c r="D3003" t="s">
        <v>4890</v>
      </c>
      <c r="E3003" t="s">
        <v>834</v>
      </c>
    </row>
    <row r="3004" spans="2:5" x14ac:dyDescent="0.3">
      <c r="B3004" t="s">
        <v>4891</v>
      </c>
      <c r="C3004" t="s">
        <v>496</v>
      </c>
      <c r="D3004" t="s">
        <v>4892</v>
      </c>
      <c r="E3004" t="s">
        <v>507</v>
      </c>
    </row>
    <row r="3005" spans="2:5" x14ac:dyDescent="0.3">
      <c r="B3005" t="s">
        <v>4893</v>
      </c>
      <c r="C3005">
        <v>538742</v>
      </c>
      <c r="D3005" t="s">
        <v>496</v>
      </c>
      <c r="E3005" t="s">
        <v>518</v>
      </c>
    </row>
    <row r="3006" spans="2:5" x14ac:dyDescent="0.3">
      <c r="B3006" t="s">
        <v>4894</v>
      </c>
      <c r="C3006">
        <v>538860</v>
      </c>
      <c r="D3006" t="s">
        <v>496</v>
      </c>
      <c r="E3006" t="s">
        <v>513</v>
      </c>
    </row>
    <row r="3007" spans="2:5" x14ac:dyDescent="0.3">
      <c r="B3007" t="s">
        <v>4895</v>
      </c>
      <c r="C3007">
        <v>524820</v>
      </c>
      <c r="D3007" t="s">
        <v>4896</v>
      </c>
      <c r="E3007" t="s">
        <v>706</v>
      </c>
    </row>
    <row r="3008" spans="2:5" x14ac:dyDescent="0.3">
      <c r="B3008" t="s">
        <v>4897</v>
      </c>
      <c r="C3008">
        <v>508941</v>
      </c>
      <c r="D3008" t="s">
        <v>496</v>
      </c>
      <c r="E3008" t="s">
        <v>681</v>
      </c>
    </row>
    <row r="3009" spans="2:5" x14ac:dyDescent="0.3">
      <c r="B3009" t="s">
        <v>4898</v>
      </c>
      <c r="C3009">
        <v>504093</v>
      </c>
      <c r="D3009" t="s">
        <v>496</v>
      </c>
      <c r="E3009" t="s">
        <v>1042</v>
      </c>
    </row>
    <row r="3010" spans="2:5" x14ac:dyDescent="0.3">
      <c r="B3010" t="s">
        <v>4899</v>
      </c>
      <c r="C3010">
        <v>513511</v>
      </c>
      <c r="D3010" t="s">
        <v>496</v>
      </c>
      <c r="E3010" t="s">
        <v>528</v>
      </c>
    </row>
    <row r="3011" spans="2:5" x14ac:dyDescent="0.3">
      <c r="B3011" t="s">
        <v>4900</v>
      </c>
      <c r="C3011">
        <v>531726</v>
      </c>
      <c r="D3011" t="s">
        <v>496</v>
      </c>
      <c r="E3011" t="s">
        <v>534</v>
      </c>
    </row>
    <row r="3012" spans="2:5" x14ac:dyDescent="0.3">
      <c r="B3012" t="s">
        <v>4901</v>
      </c>
      <c r="C3012">
        <v>506122</v>
      </c>
      <c r="D3012" t="s">
        <v>496</v>
      </c>
      <c r="E3012" t="s">
        <v>851</v>
      </c>
    </row>
    <row r="3013" spans="2:5" x14ac:dyDescent="0.3">
      <c r="B3013" t="s">
        <v>4902</v>
      </c>
      <c r="C3013">
        <v>531280</v>
      </c>
      <c r="D3013" t="s">
        <v>496</v>
      </c>
      <c r="E3013" t="s">
        <v>691</v>
      </c>
    </row>
    <row r="3014" spans="2:5" x14ac:dyDescent="0.3">
      <c r="B3014" t="s">
        <v>4903</v>
      </c>
      <c r="C3014">
        <v>534796</v>
      </c>
      <c r="D3014" t="s">
        <v>496</v>
      </c>
      <c r="E3014" t="s">
        <v>616</v>
      </c>
    </row>
    <row r="3015" spans="2:5" x14ac:dyDescent="0.3">
      <c r="B3015" t="s">
        <v>4904</v>
      </c>
      <c r="C3015" t="s">
        <v>496</v>
      </c>
      <c r="D3015" t="s">
        <v>4905</v>
      </c>
      <c r="E3015" t="s">
        <v>507</v>
      </c>
    </row>
    <row r="3016" spans="2:5" x14ac:dyDescent="0.3">
      <c r="B3016" t="s">
        <v>4906</v>
      </c>
      <c r="C3016">
        <v>539143</v>
      </c>
      <c r="D3016" t="s">
        <v>496</v>
      </c>
      <c r="E3016" t="s">
        <v>485</v>
      </c>
    </row>
    <row r="3017" spans="2:5" x14ac:dyDescent="0.3">
      <c r="B3017" t="s">
        <v>4907</v>
      </c>
      <c r="C3017">
        <v>500322</v>
      </c>
      <c r="D3017" t="s">
        <v>496</v>
      </c>
      <c r="E3017" t="s">
        <v>509</v>
      </c>
    </row>
    <row r="3018" spans="2:5" x14ac:dyDescent="0.3">
      <c r="B3018" t="s">
        <v>4908</v>
      </c>
      <c r="C3018">
        <v>513359</v>
      </c>
      <c r="D3018" t="s">
        <v>4909</v>
      </c>
      <c r="E3018" t="s">
        <v>773</v>
      </c>
    </row>
    <row r="3019" spans="2:5" x14ac:dyDescent="0.3">
      <c r="B3019" t="s">
        <v>4910</v>
      </c>
      <c r="C3019">
        <v>533211</v>
      </c>
      <c r="D3019" t="s">
        <v>4911</v>
      </c>
      <c r="E3019" t="s">
        <v>534</v>
      </c>
    </row>
    <row r="3020" spans="2:5" x14ac:dyDescent="0.3">
      <c r="B3020" t="s">
        <v>4912</v>
      </c>
      <c r="C3020">
        <v>539889</v>
      </c>
      <c r="D3020" t="s">
        <v>4913</v>
      </c>
      <c r="E3020" t="s">
        <v>556</v>
      </c>
    </row>
    <row r="3021" spans="2:5" x14ac:dyDescent="0.3">
      <c r="B3021" t="s">
        <v>4914</v>
      </c>
      <c r="C3021">
        <v>531255</v>
      </c>
      <c r="D3021" t="s">
        <v>496</v>
      </c>
      <c r="E3021" t="s">
        <v>513</v>
      </c>
    </row>
    <row r="3022" spans="2:5" x14ac:dyDescent="0.3">
      <c r="B3022" t="s">
        <v>4915</v>
      </c>
      <c r="C3022">
        <v>530555</v>
      </c>
      <c r="D3022" t="s">
        <v>4916</v>
      </c>
      <c r="E3022" t="s">
        <v>794</v>
      </c>
    </row>
    <row r="3023" spans="2:5" x14ac:dyDescent="0.3">
      <c r="B3023" t="s">
        <v>4917</v>
      </c>
      <c r="C3023">
        <v>507970</v>
      </c>
      <c r="D3023" t="s">
        <v>496</v>
      </c>
      <c r="E3023" t="s">
        <v>678</v>
      </c>
    </row>
    <row r="3024" spans="2:5" x14ac:dyDescent="0.3">
      <c r="B3024" t="s">
        <v>4918</v>
      </c>
      <c r="C3024">
        <v>507970</v>
      </c>
      <c r="D3024" t="s">
        <v>496</v>
      </c>
      <c r="E3024" t="s">
        <v>678</v>
      </c>
    </row>
    <row r="3025" spans="2:5" x14ac:dyDescent="0.3">
      <c r="B3025" t="s">
        <v>4919</v>
      </c>
      <c r="C3025">
        <v>524689</v>
      </c>
      <c r="D3025" t="s">
        <v>4920</v>
      </c>
      <c r="E3025" t="s">
        <v>534</v>
      </c>
    </row>
    <row r="3026" spans="2:5" x14ac:dyDescent="0.3">
      <c r="B3026" t="s">
        <v>4921</v>
      </c>
      <c r="C3026">
        <v>524689</v>
      </c>
      <c r="D3026" t="s">
        <v>4920</v>
      </c>
      <c r="E3026" t="s">
        <v>534</v>
      </c>
    </row>
    <row r="3027" spans="2:5" x14ac:dyDescent="0.3">
      <c r="B3027" t="s">
        <v>4922</v>
      </c>
      <c r="C3027">
        <v>539481</v>
      </c>
      <c r="D3027" t="s">
        <v>496</v>
      </c>
      <c r="E3027" t="s">
        <v>513</v>
      </c>
    </row>
    <row r="3028" spans="2:5" x14ac:dyDescent="0.3">
      <c r="B3028" t="s">
        <v>4923</v>
      </c>
      <c r="C3028" t="s">
        <v>496</v>
      </c>
      <c r="D3028" t="s">
        <v>4924</v>
      </c>
      <c r="E3028" t="s">
        <v>507</v>
      </c>
    </row>
    <row r="3029" spans="2:5" x14ac:dyDescent="0.3">
      <c r="B3029" t="s">
        <v>4925</v>
      </c>
      <c r="C3029">
        <v>524628</v>
      </c>
      <c r="D3029" t="s">
        <v>496</v>
      </c>
      <c r="E3029" t="s">
        <v>518</v>
      </c>
    </row>
    <row r="3030" spans="2:5" x14ac:dyDescent="0.3">
      <c r="B3030" t="s">
        <v>4926</v>
      </c>
      <c r="C3030">
        <v>532911</v>
      </c>
      <c r="D3030" t="s">
        <v>496</v>
      </c>
      <c r="E3030" t="s">
        <v>582</v>
      </c>
    </row>
    <row r="3031" spans="2:5" x14ac:dyDescent="0.3">
      <c r="B3031" t="s">
        <v>4927</v>
      </c>
      <c r="C3031">
        <v>540359</v>
      </c>
      <c r="D3031" t="s">
        <v>496</v>
      </c>
      <c r="E3031" t="s">
        <v>534</v>
      </c>
    </row>
    <row r="3032" spans="2:5" x14ac:dyDescent="0.3">
      <c r="B3032" t="s">
        <v>4928</v>
      </c>
      <c r="C3032">
        <v>540467</v>
      </c>
      <c r="D3032" t="s">
        <v>496</v>
      </c>
      <c r="E3032" t="s">
        <v>610</v>
      </c>
    </row>
    <row r="3033" spans="2:5" x14ac:dyDescent="0.3">
      <c r="B3033" t="s">
        <v>4929</v>
      </c>
      <c r="C3033">
        <v>780017</v>
      </c>
      <c r="D3033" t="s">
        <v>496</v>
      </c>
      <c r="E3033" t="s">
        <v>587</v>
      </c>
    </row>
    <row r="3034" spans="2:5" x14ac:dyDescent="0.3">
      <c r="B3034" t="s">
        <v>4930</v>
      </c>
      <c r="C3034">
        <v>506128</v>
      </c>
      <c r="D3034" t="s">
        <v>496</v>
      </c>
      <c r="E3034" t="s">
        <v>534</v>
      </c>
    </row>
    <row r="3035" spans="2:5" x14ac:dyDescent="0.3">
      <c r="B3035" t="s">
        <v>4931</v>
      </c>
      <c r="C3035">
        <v>511702</v>
      </c>
      <c r="D3035" t="s">
        <v>496</v>
      </c>
      <c r="E3035" t="s">
        <v>513</v>
      </c>
    </row>
    <row r="3036" spans="2:5" x14ac:dyDescent="0.3">
      <c r="B3036" t="s">
        <v>4932</v>
      </c>
      <c r="C3036">
        <v>511176</v>
      </c>
      <c r="D3036" t="s">
        <v>496</v>
      </c>
      <c r="E3036" t="s">
        <v>582</v>
      </c>
    </row>
    <row r="3037" spans="2:5" x14ac:dyDescent="0.3">
      <c r="B3037" t="s">
        <v>4933</v>
      </c>
      <c r="C3037">
        <v>532780</v>
      </c>
      <c r="D3037" t="s">
        <v>4934</v>
      </c>
      <c r="E3037" t="s">
        <v>582</v>
      </c>
    </row>
    <row r="3038" spans="2:5" x14ac:dyDescent="0.3">
      <c r="B3038" t="s">
        <v>4935</v>
      </c>
      <c r="C3038">
        <v>526349</v>
      </c>
      <c r="D3038" t="s">
        <v>496</v>
      </c>
      <c r="E3038" t="s">
        <v>851</v>
      </c>
    </row>
    <row r="3039" spans="2:5" x14ac:dyDescent="0.3">
      <c r="B3039" t="s">
        <v>4936</v>
      </c>
      <c r="C3039">
        <v>541347</v>
      </c>
      <c r="D3039" t="s">
        <v>496</v>
      </c>
      <c r="E3039" t="s">
        <v>1195</v>
      </c>
    </row>
    <row r="3040" spans="2:5" x14ac:dyDescent="0.3">
      <c r="B3040" t="s">
        <v>4937</v>
      </c>
      <c r="C3040">
        <v>521080</v>
      </c>
      <c r="D3040" t="s">
        <v>496</v>
      </c>
      <c r="E3040" t="s">
        <v>511</v>
      </c>
    </row>
    <row r="3041" spans="2:5" x14ac:dyDescent="0.3">
      <c r="B3041" t="s">
        <v>4938</v>
      </c>
      <c r="C3041" t="s">
        <v>496</v>
      </c>
      <c r="D3041" t="s">
        <v>4939</v>
      </c>
      <c r="E3041" t="s">
        <v>507</v>
      </c>
    </row>
    <row r="3042" spans="2:5" x14ac:dyDescent="0.3">
      <c r="B3042" t="s">
        <v>4940</v>
      </c>
      <c r="C3042">
        <v>500456</v>
      </c>
      <c r="D3042" t="s">
        <v>496</v>
      </c>
      <c r="E3042" t="s">
        <v>873</v>
      </c>
    </row>
    <row r="3043" spans="2:5" x14ac:dyDescent="0.3">
      <c r="B3043" t="s">
        <v>4941</v>
      </c>
      <c r="C3043">
        <v>511734</v>
      </c>
      <c r="D3043" t="s">
        <v>496</v>
      </c>
      <c r="E3043" t="s">
        <v>513</v>
      </c>
    </row>
    <row r="3044" spans="2:5" x14ac:dyDescent="0.3">
      <c r="B3044" t="s">
        <v>4942</v>
      </c>
      <c r="C3044">
        <v>503092</v>
      </c>
      <c r="D3044" t="s">
        <v>496</v>
      </c>
      <c r="E3044" t="s">
        <v>511</v>
      </c>
    </row>
    <row r="3045" spans="2:5" x14ac:dyDescent="0.3">
      <c r="B3045" t="s">
        <v>4943</v>
      </c>
      <c r="C3045">
        <v>539401</v>
      </c>
      <c r="D3045" t="s">
        <v>496</v>
      </c>
      <c r="E3045" t="s">
        <v>610</v>
      </c>
    </row>
    <row r="3046" spans="2:5" x14ac:dyDescent="0.3">
      <c r="B3046" t="s">
        <v>4944</v>
      </c>
      <c r="C3046">
        <v>531120</v>
      </c>
      <c r="D3046" t="s">
        <v>4945</v>
      </c>
      <c r="E3046" t="s">
        <v>894</v>
      </c>
    </row>
    <row r="3047" spans="2:5" x14ac:dyDescent="0.3">
      <c r="B3047" t="s">
        <v>4946</v>
      </c>
      <c r="C3047">
        <v>526381</v>
      </c>
      <c r="D3047" t="s">
        <v>4947</v>
      </c>
      <c r="E3047" t="s">
        <v>568</v>
      </c>
    </row>
    <row r="3048" spans="2:5" x14ac:dyDescent="0.3">
      <c r="B3048" t="s">
        <v>4948</v>
      </c>
      <c r="C3048">
        <v>517417</v>
      </c>
      <c r="D3048" t="s">
        <v>496</v>
      </c>
      <c r="E3048" t="s">
        <v>504</v>
      </c>
    </row>
    <row r="3049" spans="2:5" x14ac:dyDescent="0.3">
      <c r="B3049" t="s">
        <v>4949</v>
      </c>
      <c r="C3049">
        <v>517417</v>
      </c>
      <c r="D3049" t="s">
        <v>496</v>
      </c>
      <c r="E3049" t="s">
        <v>504</v>
      </c>
    </row>
    <row r="3050" spans="2:5" x14ac:dyDescent="0.3">
      <c r="B3050" t="s">
        <v>4950</v>
      </c>
      <c r="C3050">
        <v>524031</v>
      </c>
      <c r="D3050" t="s">
        <v>496</v>
      </c>
      <c r="E3050" t="s">
        <v>582</v>
      </c>
    </row>
    <row r="3051" spans="2:5" x14ac:dyDescent="0.3">
      <c r="B3051" t="s">
        <v>4951</v>
      </c>
      <c r="C3051">
        <v>514326</v>
      </c>
      <c r="D3051" t="s">
        <v>4952</v>
      </c>
      <c r="E3051" t="s">
        <v>511</v>
      </c>
    </row>
    <row r="3052" spans="2:5" x14ac:dyDescent="0.3">
      <c r="B3052" t="s">
        <v>4953</v>
      </c>
      <c r="C3052">
        <v>514326</v>
      </c>
      <c r="D3052" t="s">
        <v>4952</v>
      </c>
      <c r="E3052" t="s">
        <v>511</v>
      </c>
    </row>
    <row r="3053" spans="2:5" x14ac:dyDescent="0.3">
      <c r="B3053" t="s">
        <v>4954</v>
      </c>
      <c r="C3053">
        <v>539113</v>
      </c>
      <c r="D3053" t="s">
        <v>496</v>
      </c>
      <c r="E3053" t="s">
        <v>513</v>
      </c>
    </row>
    <row r="3054" spans="2:5" x14ac:dyDescent="0.3">
      <c r="B3054" t="s">
        <v>4955</v>
      </c>
      <c r="C3054">
        <v>532742</v>
      </c>
      <c r="D3054" t="s">
        <v>496</v>
      </c>
      <c r="E3054" t="s">
        <v>656</v>
      </c>
    </row>
    <row r="3055" spans="2:5" x14ac:dyDescent="0.3">
      <c r="B3055" t="s">
        <v>4956</v>
      </c>
      <c r="C3055">
        <v>535658</v>
      </c>
      <c r="D3055" t="s">
        <v>496</v>
      </c>
      <c r="E3055" t="s">
        <v>513</v>
      </c>
    </row>
    <row r="3056" spans="2:5" x14ac:dyDescent="0.3">
      <c r="B3056" t="s">
        <v>4957</v>
      </c>
      <c r="C3056">
        <v>532676</v>
      </c>
      <c r="D3056" t="s">
        <v>4958</v>
      </c>
      <c r="E3056" t="s">
        <v>894</v>
      </c>
    </row>
    <row r="3057" spans="2:5" x14ac:dyDescent="0.3">
      <c r="B3057" t="s">
        <v>4959</v>
      </c>
      <c r="C3057">
        <v>514087</v>
      </c>
      <c r="D3057" t="s">
        <v>496</v>
      </c>
      <c r="E3057" t="s">
        <v>511</v>
      </c>
    </row>
    <row r="3058" spans="2:5" x14ac:dyDescent="0.3">
      <c r="B3058" t="s">
        <v>4960</v>
      </c>
      <c r="C3058">
        <v>534809</v>
      </c>
      <c r="D3058" t="s">
        <v>4961</v>
      </c>
      <c r="E3058" t="s">
        <v>610</v>
      </c>
    </row>
    <row r="3059" spans="2:5" x14ac:dyDescent="0.3">
      <c r="B3059" t="s">
        <v>4962</v>
      </c>
      <c r="C3059">
        <v>517119</v>
      </c>
      <c r="D3059" t="s">
        <v>496</v>
      </c>
      <c r="E3059" t="s">
        <v>821</v>
      </c>
    </row>
    <row r="3060" spans="2:5" x14ac:dyDescent="0.3">
      <c r="B3060" t="s">
        <v>4963</v>
      </c>
      <c r="C3060">
        <v>538730</v>
      </c>
      <c r="D3060" t="s">
        <v>4964</v>
      </c>
      <c r="E3060" t="s">
        <v>518</v>
      </c>
    </row>
    <row r="3061" spans="2:5" x14ac:dyDescent="0.3">
      <c r="B3061" t="s">
        <v>4965</v>
      </c>
      <c r="C3061">
        <v>532808</v>
      </c>
      <c r="D3061" t="s">
        <v>4966</v>
      </c>
      <c r="E3061" t="s">
        <v>610</v>
      </c>
    </row>
    <row r="3062" spans="2:5" x14ac:dyDescent="0.3">
      <c r="B3062" t="s">
        <v>4967</v>
      </c>
      <c r="C3062">
        <v>523260</v>
      </c>
      <c r="D3062" t="s">
        <v>4968</v>
      </c>
      <c r="E3062" t="s">
        <v>691</v>
      </c>
    </row>
    <row r="3063" spans="2:5" x14ac:dyDescent="0.3">
      <c r="B3063" t="s">
        <v>4969</v>
      </c>
      <c r="C3063">
        <v>539273</v>
      </c>
      <c r="D3063" t="s">
        <v>496</v>
      </c>
      <c r="E3063" t="s">
        <v>985</v>
      </c>
    </row>
    <row r="3064" spans="2:5" x14ac:dyDescent="0.3">
      <c r="B3064" t="s">
        <v>4970</v>
      </c>
      <c r="C3064">
        <v>524136</v>
      </c>
      <c r="D3064" t="s">
        <v>496</v>
      </c>
      <c r="E3064" t="s">
        <v>2315</v>
      </c>
    </row>
    <row r="3065" spans="2:5" x14ac:dyDescent="0.3">
      <c r="B3065" t="s">
        <v>4971</v>
      </c>
      <c r="C3065">
        <v>531352</v>
      </c>
      <c r="D3065" t="s">
        <v>496</v>
      </c>
      <c r="E3065" t="s">
        <v>511</v>
      </c>
    </row>
    <row r="3066" spans="2:5" x14ac:dyDescent="0.3">
      <c r="B3066" t="s">
        <v>4972</v>
      </c>
      <c r="C3066">
        <v>503031</v>
      </c>
      <c r="D3066" t="s">
        <v>4973</v>
      </c>
      <c r="E3066" t="s">
        <v>582</v>
      </c>
    </row>
    <row r="3067" spans="2:5" x14ac:dyDescent="0.3">
      <c r="B3067" t="s">
        <v>4974</v>
      </c>
      <c r="C3067">
        <v>539333</v>
      </c>
      <c r="D3067" t="s">
        <v>4975</v>
      </c>
      <c r="E3067" t="s">
        <v>582</v>
      </c>
    </row>
    <row r="3068" spans="2:5" x14ac:dyDescent="0.3">
      <c r="B3068" t="s">
        <v>4976</v>
      </c>
      <c r="C3068">
        <v>513228</v>
      </c>
      <c r="D3068" t="s">
        <v>4977</v>
      </c>
      <c r="E3068" t="s">
        <v>528</v>
      </c>
    </row>
    <row r="3069" spans="2:5" x14ac:dyDescent="0.3">
      <c r="B3069" t="s">
        <v>4978</v>
      </c>
      <c r="C3069" t="s">
        <v>496</v>
      </c>
      <c r="D3069" t="s">
        <v>4979</v>
      </c>
      <c r="E3069" t="s">
        <v>507</v>
      </c>
    </row>
    <row r="3070" spans="2:5" x14ac:dyDescent="0.3">
      <c r="B3070" t="s">
        <v>4980</v>
      </c>
      <c r="C3070">
        <v>500329</v>
      </c>
      <c r="D3070" t="s">
        <v>496</v>
      </c>
      <c r="E3070" t="s">
        <v>499</v>
      </c>
    </row>
    <row r="3071" spans="2:5" x14ac:dyDescent="0.3">
      <c r="B3071" t="s">
        <v>4981</v>
      </c>
      <c r="C3071">
        <v>524210</v>
      </c>
      <c r="D3071" t="s">
        <v>496</v>
      </c>
      <c r="E3071" t="s">
        <v>544</v>
      </c>
    </row>
    <row r="3072" spans="2:5" x14ac:dyDescent="0.3">
      <c r="B3072" t="s">
        <v>4982</v>
      </c>
      <c r="C3072">
        <v>524210</v>
      </c>
      <c r="D3072" t="s">
        <v>496</v>
      </c>
      <c r="E3072" t="s">
        <v>544</v>
      </c>
    </row>
    <row r="3073" spans="2:5" x14ac:dyDescent="0.3">
      <c r="B3073" t="s">
        <v>4983</v>
      </c>
      <c r="C3073">
        <v>501144</v>
      </c>
      <c r="D3073" t="s">
        <v>496</v>
      </c>
      <c r="E3073" t="s">
        <v>917</v>
      </c>
    </row>
    <row r="3074" spans="2:5" x14ac:dyDescent="0.3">
      <c r="B3074" t="s">
        <v>4984</v>
      </c>
      <c r="C3074" t="s">
        <v>496</v>
      </c>
      <c r="D3074" t="s">
        <v>4985</v>
      </c>
      <c r="E3074" t="s">
        <v>507</v>
      </c>
    </row>
    <row r="3075" spans="2:5" x14ac:dyDescent="0.3">
      <c r="B3075" t="s">
        <v>4986</v>
      </c>
      <c r="C3075">
        <v>521062</v>
      </c>
      <c r="D3075" t="s">
        <v>496</v>
      </c>
      <c r="E3075" t="s">
        <v>1235</v>
      </c>
    </row>
    <row r="3076" spans="2:5" x14ac:dyDescent="0.3">
      <c r="B3076" t="s">
        <v>4987</v>
      </c>
      <c r="C3076">
        <v>526435</v>
      </c>
      <c r="D3076" t="s">
        <v>496</v>
      </c>
      <c r="E3076" t="s">
        <v>490</v>
      </c>
    </row>
    <row r="3077" spans="2:5" x14ac:dyDescent="0.3">
      <c r="B3077" t="s">
        <v>4988</v>
      </c>
      <c r="C3077">
        <v>504132</v>
      </c>
      <c r="D3077" t="s">
        <v>496</v>
      </c>
      <c r="E3077" t="s">
        <v>681</v>
      </c>
    </row>
    <row r="3078" spans="2:5" x14ac:dyDescent="0.3">
      <c r="B3078" t="s">
        <v>4989</v>
      </c>
      <c r="C3078">
        <v>533179</v>
      </c>
      <c r="D3078" t="s">
        <v>4990</v>
      </c>
      <c r="E3078" t="s">
        <v>482</v>
      </c>
    </row>
    <row r="3079" spans="2:5" x14ac:dyDescent="0.3">
      <c r="B3079" t="s">
        <v>4991</v>
      </c>
      <c r="C3079">
        <v>517172</v>
      </c>
      <c r="D3079" t="s">
        <v>496</v>
      </c>
      <c r="E3079" t="s">
        <v>1038</v>
      </c>
    </row>
    <row r="3080" spans="2:5" x14ac:dyDescent="0.3">
      <c r="B3080" t="s">
        <v>4992</v>
      </c>
      <c r="C3080">
        <v>530381</v>
      </c>
      <c r="D3080" t="s">
        <v>4993</v>
      </c>
      <c r="E3080" t="s">
        <v>894</v>
      </c>
    </row>
    <row r="3081" spans="2:5" x14ac:dyDescent="0.3">
      <c r="B3081" t="s">
        <v>4994</v>
      </c>
      <c r="C3081">
        <v>532522</v>
      </c>
      <c r="D3081" t="s">
        <v>4995</v>
      </c>
      <c r="E3081" t="s">
        <v>706</v>
      </c>
    </row>
    <row r="3082" spans="2:5" x14ac:dyDescent="0.3">
      <c r="B3082" t="s">
        <v>4996</v>
      </c>
      <c r="C3082">
        <v>500680</v>
      </c>
      <c r="D3082" t="s">
        <v>4997</v>
      </c>
      <c r="E3082" t="s">
        <v>534</v>
      </c>
    </row>
    <row r="3083" spans="2:5" x14ac:dyDescent="0.3">
      <c r="B3083" t="s">
        <v>4998</v>
      </c>
      <c r="C3083">
        <v>531769</v>
      </c>
      <c r="D3083" t="s">
        <v>496</v>
      </c>
      <c r="E3083" t="s">
        <v>589</v>
      </c>
    </row>
    <row r="3084" spans="2:5" x14ac:dyDescent="0.3">
      <c r="B3084" t="s">
        <v>4999</v>
      </c>
      <c r="C3084">
        <v>533581</v>
      </c>
      <c r="D3084" t="s">
        <v>5000</v>
      </c>
      <c r="E3084" t="s">
        <v>865</v>
      </c>
    </row>
    <row r="3085" spans="2:5" x14ac:dyDescent="0.3">
      <c r="B3085" t="s">
        <v>5001</v>
      </c>
      <c r="C3085">
        <v>526747</v>
      </c>
      <c r="D3085" t="s">
        <v>496</v>
      </c>
      <c r="E3085" t="s">
        <v>801</v>
      </c>
    </row>
    <row r="3086" spans="2:5" x14ac:dyDescent="0.3">
      <c r="B3086" t="s">
        <v>5002</v>
      </c>
      <c r="C3086">
        <v>531281</v>
      </c>
      <c r="D3086" t="s">
        <v>496</v>
      </c>
      <c r="E3086" t="s">
        <v>1024</v>
      </c>
    </row>
    <row r="3087" spans="2:5" x14ac:dyDescent="0.3">
      <c r="B3087" t="s">
        <v>5003</v>
      </c>
      <c r="C3087">
        <v>500143</v>
      </c>
      <c r="D3087" t="s">
        <v>496</v>
      </c>
      <c r="E3087" t="s">
        <v>518</v>
      </c>
    </row>
    <row r="3088" spans="2:5" x14ac:dyDescent="0.3">
      <c r="B3088" t="s">
        <v>5004</v>
      </c>
      <c r="C3088">
        <v>512026</v>
      </c>
      <c r="D3088" t="s">
        <v>496</v>
      </c>
      <c r="E3088" t="s">
        <v>518</v>
      </c>
    </row>
    <row r="3089" spans="2:5" x14ac:dyDescent="0.3">
      <c r="B3089" t="s">
        <v>5005</v>
      </c>
      <c r="C3089">
        <v>523620</v>
      </c>
      <c r="D3089" t="s">
        <v>496</v>
      </c>
      <c r="E3089" t="s">
        <v>534</v>
      </c>
    </row>
    <row r="3090" spans="2:5" x14ac:dyDescent="0.3">
      <c r="B3090" t="s">
        <v>5006</v>
      </c>
      <c r="C3090">
        <v>506590</v>
      </c>
      <c r="D3090" t="s">
        <v>5007</v>
      </c>
      <c r="E3090" t="s">
        <v>5008</v>
      </c>
    </row>
    <row r="3091" spans="2:5" x14ac:dyDescent="0.3">
      <c r="B3091" t="s">
        <v>5009</v>
      </c>
      <c r="C3091">
        <v>526481</v>
      </c>
      <c r="D3091" t="s">
        <v>496</v>
      </c>
      <c r="E3091" t="s">
        <v>610</v>
      </c>
    </row>
    <row r="3092" spans="2:5" x14ac:dyDescent="0.3">
      <c r="B3092" t="s">
        <v>5010</v>
      </c>
      <c r="C3092">
        <v>537839</v>
      </c>
      <c r="D3092" t="s">
        <v>496</v>
      </c>
      <c r="E3092" t="s">
        <v>697</v>
      </c>
    </row>
    <row r="3093" spans="2:5" x14ac:dyDescent="0.3">
      <c r="B3093" t="s">
        <v>5011</v>
      </c>
      <c r="C3093">
        <v>509084</v>
      </c>
      <c r="D3093" t="s">
        <v>496</v>
      </c>
      <c r="E3093" t="s">
        <v>917</v>
      </c>
    </row>
    <row r="3094" spans="2:5" x14ac:dyDescent="0.3">
      <c r="B3094" t="s">
        <v>5012</v>
      </c>
      <c r="C3094">
        <v>526588</v>
      </c>
      <c r="D3094" t="s">
        <v>496</v>
      </c>
      <c r="E3094" t="s">
        <v>1735</v>
      </c>
    </row>
    <row r="3095" spans="2:5" x14ac:dyDescent="0.3">
      <c r="B3095" t="s">
        <v>5013</v>
      </c>
      <c r="C3095">
        <v>526588</v>
      </c>
      <c r="D3095" t="s">
        <v>496</v>
      </c>
      <c r="E3095" t="s">
        <v>1735</v>
      </c>
    </row>
    <row r="3096" spans="2:5" x14ac:dyDescent="0.3">
      <c r="B3096" t="s">
        <v>5014</v>
      </c>
      <c r="C3096">
        <v>524808</v>
      </c>
      <c r="D3096" t="s">
        <v>496</v>
      </c>
      <c r="E3096" t="s">
        <v>640</v>
      </c>
    </row>
    <row r="3097" spans="2:5" x14ac:dyDescent="0.3">
      <c r="B3097" t="s">
        <v>5015</v>
      </c>
      <c r="C3097">
        <v>524808</v>
      </c>
      <c r="D3097" t="s">
        <v>496</v>
      </c>
      <c r="E3097" t="s">
        <v>640</v>
      </c>
    </row>
    <row r="3098" spans="2:5" x14ac:dyDescent="0.3">
      <c r="B3098" t="s">
        <v>5016</v>
      </c>
      <c r="C3098">
        <v>523642</v>
      </c>
      <c r="D3098" t="s">
        <v>5017</v>
      </c>
      <c r="E3098" t="s">
        <v>640</v>
      </c>
    </row>
    <row r="3099" spans="2:5" x14ac:dyDescent="0.3">
      <c r="B3099" t="s">
        <v>5018</v>
      </c>
      <c r="C3099">
        <v>530305</v>
      </c>
      <c r="D3099" t="s">
        <v>496</v>
      </c>
      <c r="E3099" t="s">
        <v>1195</v>
      </c>
    </row>
    <row r="3100" spans="2:5" x14ac:dyDescent="0.3">
      <c r="B3100" t="s">
        <v>5019</v>
      </c>
      <c r="C3100">
        <v>507498</v>
      </c>
      <c r="D3100" t="s">
        <v>496</v>
      </c>
      <c r="E3100" t="s">
        <v>1195</v>
      </c>
    </row>
    <row r="3101" spans="2:5" x14ac:dyDescent="0.3">
      <c r="B3101" t="s">
        <v>5020</v>
      </c>
      <c r="C3101">
        <v>532355</v>
      </c>
      <c r="D3101" t="s">
        <v>496</v>
      </c>
      <c r="E3101" t="s">
        <v>499</v>
      </c>
    </row>
    <row r="3102" spans="2:5" x14ac:dyDescent="0.3">
      <c r="B3102" t="s">
        <v>5021</v>
      </c>
      <c r="C3102">
        <v>500331</v>
      </c>
      <c r="D3102" t="s">
        <v>5022</v>
      </c>
      <c r="E3102" t="s">
        <v>656</v>
      </c>
    </row>
    <row r="3103" spans="2:5" x14ac:dyDescent="0.3">
      <c r="B3103" t="s">
        <v>5023</v>
      </c>
      <c r="C3103">
        <v>500327</v>
      </c>
      <c r="D3103" t="s">
        <v>5024</v>
      </c>
      <c r="E3103" t="s">
        <v>616</v>
      </c>
    </row>
    <row r="3104" spans="2:5" x14ac:dyDescent="0.3">
      <c r="B3104" t="s">
        <v>5025</v>
      </c>
      <c r="C3104">
        <v>539883</v>
      </c>
      <c r="D3104" t="s">
        <v>5026</v>
      </c>
      <c r="E3104" t="s">
        <v>662</v>
      </c>
    </row>
    <row r="3105" spans="2:5" x14ac:dyDescent="0.3">
      <c r="B3105" t="s">
        <v>5027</v>
      </c>
      <c r="C3105">
        <v>519439</v>
      </c>
      <c r="D3105" t="s">
        <v>496</v>
      </c>
      <c r="E3105" t="s">
        <v>745</v>
      </c>
    </row>
    <row r="3106" spans="2:5" x14ac:dyDescent="0.3">
      <c r="B3106" t="s">
        <v>5028</v>
      </c>
      <c r="C3106">
        <v>531879</v>
      </c>
      <c r="D3106" t="s">
        <v>5029</v>
      </c>
      <c r="E3106" t="s">
        <v>1128</v>
      </c>
    </row>
    <row r="3107" spans="2:5" x14ac:dyDescent="0.3">
      <c r="B3107" t="s">
        <v>5030</v>
      </c>
      <c r="C3107">
        <v>514300</v>
      </c>
      <c r="D3107" t="s">
        <v>5031</v>
      </c>
      <c r="E3107" t="s">
        <v>511</v>
      </c>
    </row>
    <row r="3108" spans="2:5" x14ac:dyDescent="0.3">
      <c r="B3108" t="s">
        <v>5032</v>
      </c>
      <c r="C3108">
        <v>507864</v>
      </c>
      <c r="D3108" t="s">
        <v>496</v>
      </c>
      <c r="E3108" t="s">
        <v>479</v>
      </c>
    </row>
    <row r="3109" spans="2:5" x14ac:dyDescent="0.3">
      <c r="B3109" t="s">
        <v>5033</v>
      </c>
      <c r="C3109">
        <v>500302</v>
      </c>
      <c r="D3109" t="s">
        <v>5034</v>
      </c>
      <c r="E3109" t="s">
        <v>534</v>
      </c>
    </row>
    <row r="3110" spans="2:5" x14ac:dyDescent="0.3">
      <c r="B3110" t="s">
        <v>5035</v>
      </c>
      <c r="C3110">
        <v>532979</v>
      </c>
      <c r="D3110" t="s">
        <v>5036</v>
      </c>
      <c r="E3110" t="s">
        <v>534</v>
      </c>
    </row>
    <row r="3111" spans="2:5" x14ac:dyDescent="0.3">
      <c r="B3111" t="s">
        <v>5037</v>
      </c>
      <c r="C3111">
        <v>530683</v>
      </c>
      <c r="D3111" t="s">
        <v>496</v>
      </c>
      <c r="E3111" t="s">
        <v>691</v>
      </c>
    </row>
    <row r="3112" spans="2:5" x14ac:dyDescent="0.3">
      <c r="B3112" t="s">
        <v>5038</v>
      </c>
      <c r="C3112">
        <v>513519</v>
      </c>
      <c r="D3112" t="s">
        <v>5039</v>
      </c>
      <c r="E3112" t="s">
        <v>794</v>
      </c>
    </row>
    <row r="3113" spans="2:5" x14ac:dyDescent="0.3">
      <c r="B3113" t="s">
        <v>5040</v>
      </c>
      <c r="C3113">
        <v>500333</v>
      </c>
      <c r="D3113" t="s">
        <v>496</v>
      </c>
      <c r="E3113" t="s">
        <v>976</v>
      </c>
    </row>
    <row r="3114" spans="2:5" x14ac:dyDescent="0.3">
      <c r="B3114" t="s">
        <v>5041</v>
      </c>
      <c r="C3114">
        <v>523105</v>
      </c>
      <c r="D3114" t="s">
        <v>496</v>
      </c>
      <c r="E3114" t="s">
        <v>691</v>
      </c>
    </row>
    <row r="3115" spans="2:5" x14ac:dyDescent="0.3">
      <c r="B3115" t="s">
        <v>5042</v>
      </c>
      <c r="C3115">
        <v>523648</v>
      </c>
      <c r="D3115" t="s">
        <v>5043</v>
      </c>
      <c r="E3115" t="s">
        <v>656</v>
      </c>
    </row>
    <row r="3116" spans="2:5" x14ac:dyDescent="0.3">
      <c r="B3116" t="s">
        <v>5044</v>
      </c>
      <c r="C3116">
        <v>523648</v>
      </c>
      <c r="D3116" t="s">
        <v>5043</v>
      </c>
      <c r="E3116" t="s">
        <v>656</v>
      </c>
    </row>
    <row r="3117" spans="2:5" x14ac:dyDescent="0.3">
      <c r="B3117" t="s">
        <v>5045</v>
      </c>
      <c r="C3117">
        <v>534060</v>
      </c>
      <c r="D3117" t="s">
        <v>496</v>
      </c>
      <c r="E3117" t="s">
        <v>513</v>
      </c>
    </row>
    <row r="3118" spans="2:5" x14ac:dyDescent="0.3">
      <c r="B3118" t="s">
        <v>5046</v>
      </c>
      <c r="C3118">
        <v>532366</v>
      </c>
      <c r="D3118" t="s">
        <v>5047</v>
      </c>
      <c r="E3118" t="s">
        <v>513</v>
      </c>
    </row>
    <row r="3119" spans="2:5" x14ac:dyDescent="0.3">
      <c r="B3119" t="s">
        <v>5048</v>
      </c>
      <c r="C3119">
        <v>540173</v>
      </c>
      <c r="D3119" t="s">
        <v>5049</v>
      </c>
      <c r="E3119" t="s">
        <v>554</v>
      </c>
    </row>
    <row r="3120" spans="2:5" x14ac:dyDescent="0.3">
      <c r="B3120" t="s">
        <v>5050</v>
      </c>
      <c r="C3120">
        <v>539150</v>
      </c>
      <c r="D3120" t="s">
        <v>5051</v>
      </c>
      <c r="E3120" t="s">
        <v>1091</v>
      </c>
    </row>
    <row r="3121" spans="2:5" x14ac:dyDescent="0.3">
      <c r="B3121" t="s">
        <v>5052</v>
      </c>
      <c r="C3121">
        <v>532803</v>
      </c>
      <c r="D3121" t="s">
        <v>5053</v>
      </c>
      <c r="E3121" t="s">
        <v>694</v>
      </c>
    </row>
    <row r="3122" spans="2:5" x14ac:dyDescent="0.3">
      <c r="B3122" t="s">
        <v>5054</v>
      </c>
      <c r="C3122">
        <v>539195</v>
      </c>
      <c r="D3122" t="s">
        <v>496</v>
      </c>
      <c r="E3122" t="s">
        <v>544</v>
      </c>
    </row>
    <row r="3123" spans="2:5" x14ac:dyDescent="0.3">
      <c r="B3123" t="s">
        <v>5055</v>
      </c>
      <c r="C3123">
        <v>523628</v>
      </c>
      <c r="D3123" t="s">
        <v>5056</v>
      </c>
      <c r="E3123" t="s">
        <v>582</v>
      </c>
    </row>
    <row r="3124" spans="2:5" x14ac:dyDescent="0.3">
      <c r="B3124" t="s">
        <v>5057</v>
      </c>
      <c r="C3124">
        <v>524570</v>
      </c>
      <c r="D3124" t="s">
        <v>5058</v>
      </c>
      <c r="E3124" t="s">
        <v>656</v>
      </c>
    </row>
    <row r="3125" spans="2:5" x14ac:dyDescent="0.3">
      <c r="B3125" t="s">
        <v>5059</v>
      </c>
      <c r="C3125">
        <v>532486</v>
      </c>
      <c r="D3125" t="s">
        <v>5060</v>
      </c>
      <c r="E3125" t="s">
        <v>1024</v>
      </c>
    </row>
    <row r="3126" spans="2:5" x14ac:dyDescent="0.3">
      <c r="B3126" t="s">
        <v>5061</v>
      </c>
      <c r="C3126">
        <v>526687</v>
      </c>
      <c r="D3126" t="s">
        <v>496</v>
      </c>
      <c r="E3126" t="s">
        <v>697</v>
      </c>
    </row>
    <row r="3127" spans="2:5" x14ac:dyDescent="0.3">
      <c r="B3127" t="s">
        <v>5062</v>
      </c>
      <c r="C3127">
        <v>540717</v>
      </c>
      <c r="D3127" t="s">
        <v>496</v>
      </c>
      <c r="E3127" t="s">
        <v>518</v>
      </c>
    </row>
    <row r="3128" spans="2:5" x14ac:dyDescent="0.3">
      <c r="B3128" t="s">
        <v>5063</v>
      </c>
      <c r="C3128">
        <v>507645</v>
      </c>
      <c r="D3128" t="s">
        <v>496</v>
      </c>
      <c r="E3128" t="s">
        <v>656</v>
      </c>
    </row>
    <row r="3129" spans="2:5" x14ac:dyDescent="0.3">
      <c r="B3129" t="s">
        <v>5064</v>
      </c>
      <c r="C3129">
        <v>531768</v>
      </c>
      <c r="D3129" t="s">
        <v>5065</v>
      </c>
      <c r="E3129" t="s">
        <v>1663</v>
      </c>
    </row>
    <row r="3130" spans="2:5" x14ac:dyDescent="0.3">
      <c r="B3130" t="s">
        <v>5066</v>
      </c>
      <c r="C3130">
        <v>542652</v>
      </c>
      <c r="D3130" t="s">
        <v>5067</v>
      </c>
      <c r="E3130" t="s">
        <v>794</v>
      </c>
    </row>
    <row r="3131" spans="2:5" x14ac:dyDescent="0.3">
      <c r="B3131" t="s">
        <v>5068</v>
      </c>
      <c r="C3131">
        <v>506605</v>
      </c>
      <c r="D3131" t="s">
        <v>496</v>
      </c>
      <c r="E3131" t="s">
        <v>544</v>
      </c>
    </row>
    <row r="3132" spans="2:5" x14ac:dyDescent="0.3">
      <c r="B3132" t="s">
        <v>5069</v>
      </c>
      <c r="C3132">
        <v>531397</v>
      </c>
      <c r="D3132" t="s">
        <v>496</v>
      </c>
      <c r="E3132" t="s">
        <v>691</v>
      </c>
    </row>
    <row r="3133" spans="2:5" x14ac:dyDescent="0.3">
      <c r="B3133" t="s">
        <v>5070</v>
      </c>
      <c r="C3133">
        <v>514486</v>
      </c>
      <c r="D3133" t="s">
        <v>496</v>
      </c>
      <c r="E3133" t="s">
        <v>511</v>
      </c>
    </row>
    <row r="3134" spans="2:5" x14ac:dyDescent="0.3">
      <c r="B3134" t="s">
        <v>5071</v>
      </c>
      <c r="C3134">
        <v>531454</v>
      </c>
      <c r="D3134" t="s">
        <v>496</v>
      </c>
      <c r="E3134" t="s">
        <v>873</v>
      </c>
    </row>
    <row r="3135" spans="2:5" x14ac:dyDescent="0.3">
      <c r="B3135" t="s">
        <v>5072</v>
      </c>
      <c r="C3135">
        <v>531454</v>
      </c>
      <c r="D3135" t="s">
        <v>496</v>
      </c>
      <c r="E3135" t="s">
        <v>873</v>
      </c>
    </row>
    <row r="3136" spans="2:5" x14ac:dyDescent="0.3">
      <c r="B3136" t="s">
        <v>5073</v>
      </c>
      <c r="C3136">
        <v>537573</v>
      </c>
      <c r="D3136" t="s">
        <v>496</v>
      </c>
      <c r="E3136" t="s">
        <v>616</v>
      </c>
    </row>
    <row r="3137" spans="2:5" x14ac:dyDescent="0.3">
      <c r="B3137" t="s">
        <v>5074</v>
      </c>
      <c r="C3137">
        <v>526043</v>
      </c>
      <c r="D3137" t="s">
        <v>496</v>
      </c>
      <c r="E3137" t="s">
        <v>504</v>
      </c>
    </row>
    <row r="3138" spans="2:5" x14ac:dyDescent="0.3">
      <c r="B3138" t="s">
        <v>5075</v>
      </c>
      <c r="C3138">
        <v>524051</v>
      </c>
      <c r="D3138" t="s">
        <v>5076</v>
      </c>
      <c r="E3138" t="s">
        <v>544</v>
      </c>
    </row>
    <row r="3139" spans="2:5" x14ac:dyDescent="0.3">
      <c r="B3139" t="s">
        <v>5077</v>
      </c>
      <c r="C3139">
        <v>539354</v>
      </c>
      <c r="D3139" t="s">
        <v>496</v>
      </c>
      <c r="E3139" t="s">
        <v>691</v>
      </c>
    </row>
    <row r="3140" spans="2:5" x14ac:dyDescent="0.3">
      <c r="B3140" t="s">
        <v>5078</v>
      </c>
      <c r="C3140">
        <v>512481</v>
      </c>
      <c r="D3140" t="s">
        <v>496</v>
      </c>
      <c r="E3140" t="s">
        <v>513</v>
      </c>
    </row>
    <row r="3141" spans="2:5" x14ac:dyDescent="0.3">
      <c r="B3141" t="s">
        <v>5079</v>
      </c>
      <c r="C3141">
        <v>512481</v>
      </c>
      <c r="D3141" t="s">
        <v>496</v>
      </c>
      <c r="E3141" t="s">
        <v>513</v>
      </c>
    </row>
    <row r="3142" spans="2:5" x14ac:dyDescent="0.3">
      <c r="B3142" t="s">
        <v>5080</v>
      </c>
      <c r="C3142">
        <v>532626</v>
      </c>
      <c r="D3142" t="s">
        <v>496</v>
      </c>
      <c r="E3142" t="s">
        <v>2744</v>
      </c>
    </row>
    <row r="3143" spans="2:5" x14ac:dyDescent="0.3">
      <c r="B3143" t="s">
        <v>5081</v>
      </c>
      <c r="C3143">
        <v>532460</v>
      </c>
      <c r="D3143" t="s">
        <v>5082</v>
      </c>
      <c r="E3143" t="s">
        <v>1195</v>
      </c>
    </row>
    <row r="3144" spans="2:5" x14ac:dyDescent="0.3">
      <c r="B3144" t="s">
        <v>5083</v>
      </c>
      <c r="C3144">
        <v>532011</v>
      </c>
      <c r="D3144" t="s">
        <v>496</v>
      </c>
      <c r="E3144" t="s">
        <v>499</v>
      </c>
    </row>
    <row r="3145" spans="2:5" x14ac:dyDescent="0.3">
      <c r="B3145" t="s">
        <v>5084</v>
      </c>
      <c r="C3145">
        <v>540727</v>
      </c>
      <c r="D3145" t="s">
        <v>496</v>
      </c>
      <c r="E3145" t="s">
        <v>1416</v>
      </c>
    </row>
    <row r="3146" spans="2:5" x14ac:dyDescent="0.3">
      <c r="B3146" t="s">
        <v>5085</v>
      </c>
      <c r="C3146">
        <v>519359</v>
      </c>
      <c r="D3146" t="s">
        <v>496</v>
      </c>
      <c r="E3146" t="s">
        <v>745</v>
      </c>
    </row>
    <row r="3147" spans="2:5" x14ac:dyDescent="0.3">
      <c r="B3147" t="s">
        <v>5086</v>
      </c>
      <c r="C3147">
        <v>531870</v>
      </c>
      <c r="D3147" t="s">
        <v>496</v>
      </c>
      <c r="E3147" t="s">
        <v>894</v>
      </c>
    </row>
    <row r="3148" spans="2:5" x14ac:dyDescent="0.3">
      <c r="B3148" t="s">
        <v>5087</v>
      </c>
      <c r="C3148">
        <v>532933</v>
      </c>
      <c r="D3148" t="s">
        <v>496</v>
      </c>
      <c r="E3148" t="s">
        <v>851</v>
      </c>
    </row>
    <row r="3149" spans="2:5" x14ac:dyDescent="0.3">
      <c r="B3149" t="s">
        <v>5088</v>
      </c>
      <c r="C3149" t="s">
        <v>496</v>
      </c>
      <c r="D3149" t="s">
        <v>5089</v>
      </c>
      <c r="E3149" t="s">
        <v>507</v>
      </c>
    </row>
    <row r="3150" spans="2:5" x14ac:dyDescent="0.3">
      <c r="B3150" t="s">
        <v>5090</v>
      </c>
      <c r="C3150">
        <v>532810</v>
      </c>
      <c r="D3150" t="s">
        <v>5091</v>
      </c>
      <c r="E3150" t="s">
        <v>513</v>
      </c>
    </row>
    <row r="3151" spans="2:5" x14ac:dyDescent="0.3">
      <c r="B3151" t="s">
        <v>5092</v>
      </c>
      <c r="C3151">
        <v>532898</v>
      </c>
      <c r="D3151" t="s">
        <v>5093</v>
      </c>
      <c r="E3151" t="s">
        <v>635</v>
      </c>
    </row>
    <row r="3152" spans="2:5" x14ac:dyDescent="0.3">
      <c r="B3152" t="s">
        <v>5094</v>
      </c>
      <c r="C3152">
        <v>532898</v>
      </c>
      <c r="D3152" t="s">
        <v>5093</v>
      </c>
      <c r="E3152" t="s">
        <v>635</v>
      </c>
    </row>
    <row r="3153" spans="2:5" x14ac:dyDescent="0.3">
      <c r="B3153" t="s">
        <v>5095</v>
      </c>
      <c r="C3153">
        <v>539302</v>
      </c>
      <c r="D3153" t="s">
        <v>5096</v>
      </c>
      <c r="E3153" t="s">
        <v>894</v>
      </c>
    </row>
    <row r="3154" spans="2:5" x14ac:dyDescent="0.3">
      <c r="B3154" t="s">
        <v>5097</v>
      </c>
      <c r="C3154" t="s">
        <v>496</v>
      </c>
      <c r="D3154" t="s">
        <v>5098</v>
      </c>
      <c r="E3154" t="s">
        <v>507</v>
      </c>
    </row>
    <row r="3155" spans="2:5" x14ac:dyDescent="0.3">
      <c r="B3155" t="s">
        <v>5099</v>
      </c>
      <c r="C3155">
        <v>538731</v>
      </c>
      <c r="D3155" t="s">
        <v>496</v>
      </c>
      <c r="E3155" t="s">
        <v>674</v>
      </c>
    </row>
    <row r="3156" spans="2:5" x14ac:dyDescent="0.3">
      <c r="B3156" t="s">
        <v>5100</v>
      </c>
      <c r="C3156">
        <v>532934</v>
      </c>
      <c r="D3156" t="s">
        <v>5101</v>
      </c>
      <c r="E3156" t="s">
        <v>851</v>
      </c>
    </row>
    <row r="3157" spans="2:5" x14ac:dyDescent="0.3">
      <c r="B3157" t="s">
        <v>5102</v>
      </c>
      <c r="C3157">
        <v>539351</v>
      </c>
      <c r="D3157" t="s">
        <v>5103</v>
      </c>
      <c r="E3157" t="s">
        <v>556</v>
      </c>
    </row>
    <row r="3158" spans="2:5" x14ac:dyDescent="0.3">
      <c r="B3158" t="s">
        <v>5104</v>
      </c>
      <c r="C3158">
        <v>540027</v>
      </c>
      <c r="D3158" t="s">
        <v>496</v>
      </c>
      <c r="E3158" t="s">
        <v>497</v>
      </c>
    </row>
    <row r="3159" spans="2:5" x14ac:dyDescent="0.3">
      <c r="B3159" t="s">
        <v>5105</v>
      </c>
      <c r="C3159">
        <v>540027</v>
      </c>
      <c r="D3159" t="s">
        <v>496</v>
      </c>
      <c r="E3159" t="s">
        <v>497</v>
      </c>
    </row>
    <row r="3160" spans="2:5" x14ac:dyDescent="0.3">
      <c r="B3160" t="s">
        <v>5106</v>
      </c>
      <c r="C3160">
        <v>531855</v>
      </c>
      <c r="D3160" t="s">
        <v>496</v>
      </c>
      <c r="E3160" t="s">
        <v>528</v>
      </c>
    </row>
    <row r="3161" spans="2:5" x14ac:dyDescent="0.3">
      <c r="B3161" t="s">
        <v>5107</v>
      </c>
      <c r="C3161">
        <v>506042</v>
      </c>
      <c r="D3161" t="s">
        <v>496</v>
      </c>
      <c r="E3161" t="s">
        <v>528</v>
      </c>
    </row>
    <row r="3162" spans="2:5" x14ac:dyDescent="0.3">
      <c r="B3162" t="s">
        <v>5108</v>
      </c>
      <c r="C3162">
        <v>513532</v>
      </c>
      <c r="D3162" t="s">
        <v>496</v>
      </c>
      <c r="E3162" t="s">
        <v>851</v>
      </c>
    </row>
    <row r="3163" spans="2:5" x14ac:dyDescent="0.3">
      <c r="B3163" t="s">
        <v>5109</v>
      </c>
      <c r="C3163">
        <v>530095</v>
      </c>
      <c r="D3163" t="s">
        <v>496</v>
      </c>
      <c r="E3163" t="s">
        <v>528</v>
      </c>
    </row>
    <row r="3164" spans="2:5" x14ac:dyDescent="0.3">
      <c r="B3164" t="s">
        <v>5110</v>
      </c>
      <c r="C3164">
        <v>533178</v>
      </c>
      <c r="D3164" t="s">
        <v>5111</v>
      </c>
      <c r="E3164" t="s">
        <v>511</v>
      </c>
    </row>
    <row r="3165" spans="2:5" x14ac:dyDescent="0.3">
      <c r="B3165" t="s">
        <v>5112</v>
      </c>
      <c r="C3165">
        <v>500192</v>
      </c>
      <c r="D3165" t="s">
        <v>496</v>
      </c>
      <c r="E3165" t="s">
        <v>511</v>
      </c>
    </row>
    <row r="3166" spans="2:5" x14ac:dyDescent="0.3">
      <c r="B3166" t="s">
        <v>5113</v>
      </c>
      <c r="C3166">
        <v>522205</v>
      </c>
      <c r="D3166" t="s">
        <v>5114</v>
      </c>
      <c r="E3166" t="s">
        <v>894</v>
      </c>
    </row>
    <row r="3167" spans="2:5" x14ac:dyDescent="0.3">
      <c r="B3167" t="s">
        <v>5115</v>
      </c>
      <c r="C3167">
        <v>531746</v>
      </c>
      <c r="D3167" t="s">
        <v>5116</v>
      </c>
      <c r="E3167" t="s">
        <v>582</v>
      </c>
    </row>
    <row r="3168" spans="2:5" x14ac:dyDescent="0.3">
      <c r="B3168" t="s">
        <v>5117</v>
      </c>
      <c r="C3168">
        <v>533605</v>
      </c>
      <c r="D3168" t="s">
        <v>5118</v>
      </c>
      <c r="E3168" t="s">
        <v>894</v>
      </c>
    </row>
    <row r="3169" spans="2:5" x14ac:dyDescent="0.3">
      <c r="B3169" t="s">
        <v>5119</v>
      </c>
      <c r="C3169">
        <v>506022</v>
      </c>
      <c r="D3169" t="s">
        <v>5120</v>
      </c>
      <c r="E3169" t="s">
        <v>528</v>
      </c>
    </row>
    <row r="3170" spans="2:5" x14ac:dyDescent="0.3">
      <c r="B3170" t="s">
        <v>5121</v>
      </c>
      <c r="C3170">
        <v>542684</v>
      </c>
      <c r="D3170" t="s">
        <v>5122</v>
      </c>
      <c r="E3170" t="s">
        <v>616</v>
      </c>
    </row>
    <row r="3171" spans="2:5" x14ac:dyDescent="0.3">
      <c r="B3171" t="s">
        <v>5123</v>
      </c>
      <c r="C3171">
        <v>533239</v>
      </c>
      <c r="D3171" t="s">
        <v>5124</v>
      </c>
      <c r="E3171" t="s">
        <v>894</v>
      </c>
    </row>
    <row r="3172" spans="2:5" x14ac:dyDescent="0.3">
      <c r="B3172" t="s">
        <v>5125</v>
      </c>
      <c r="C3172">
        <v>531437</v>
      </c>
      <c r="D3172" t="s">
        <v>496</v>
      </c>
      <c r="E3172" t="s">
        <v>511</v>
      </c>
    </row>
    <row r="3173" spans="2:5" x14ac:dyDescent="0.3">
      <c r="B3173" t="s">
        <v>5126</v>
      </c>
      <c r="C3173">
        <v>531172</v>
      </c>
      <c r="D3173" t="s">
        <v>496</v>
      </c>
      <c r="E3173" t="s">
        <v>511</v>
      </c>
    </row>
    <row r="3174" spans="2:5" x14ac:dyDescent="0.3">
      <c r="B3174" t="s">
        <v>5127</v>
      </c>
      <c r="C3174">
        <v>519014</v>
      </c>
      <c r="D3174" t="s">
        <v>496</v>
      </c>
      <c r="E3174" t="s">
        <v>511</v>
      </c>
    </row>
    <row r="3175" spans="2:5" x14ac:dyDescent="0.3">
      <c r="B3175" t="s">
        <v>5128</v>
      </c>
      <c r="C3175">
        <v>519014</v>
      </c>
      <c r="D3175" t="s">
        <v>496</v>
      </c>
      <c r="E3175" t="s">
        <v>511</v>
      </c>
    </row>
    <row r="3176" spans="2:5" x14ac:dyDescent="0.3">
      <c r="B3176" t="s">
        <v>5129</v>
      </c>
      <c r="C3176">
        <v>540724</v>
      </c>
      <c r="D3176" t="s">
        <v>5130</v>
      </c>
      <c r="E3176" t="s">
        <v>556</v>
      </c>
    </row>
    <row r="3177" spans="2:5" x14ac:dyDescent="0.3">
      <c r="B3177" t="s">
        <v>5131</v>
      </c>
      <c r="C3177">
        <v>526490</v>
      </c>
      <c r="D3177" t="s">
        <v>496</v>
      </c>
      <c r="E3177" t="s">
        <v>991</v>
      </c>
    </row>
    <row r="3178" spans="2:5" x14ac:dyDescent="0.3">
      <c r="B3178" t="s">
        <v>5132</v>
      </c>
      <c r="C3178">
        <v>531257</v>
      </c>
      <c r="D3178" t="s">
        <v>496</v>
      </c>
      <c r="E3178" t="s">
        <v>656</v>
      </c>
    </row>
    <row r="3179" spans="2:5" x14ac:dyDescent="0.3">
      <c r="B3179" t="s">
        <v>5133</v>
      </c>
      <c r="C3179">
        <v>540901</v>
      </c>
      <c r="D3179" t="s">
        <v>5134</v>
      </c>
      <c r="E3179" t="s">
        <v>497</v>
      </c>
    </row>
    <row r="3180" spans="2:5" x14ac:dyDescent="0.3">
      <c r="B3180" t="s">
        <v>5135</v>
      </c>
      <c r="C3180">
        <v>506107</v>
      </c>
      <c r="D3180" t="s">
        <v>496</v>
      </c>
      <c r="E3180" t="s">
        <v>917</v>
      </c>
    </row>
    <row r="3181" spans="2:5" x14ac:dyDescent="0.3">
      <c r="B3181" t="s">
        <v>5136</v>
      </c>
      <c r="C3181">
        <v>539636</v>
      </c>
      <c r="D3181" t="s">
        <v>5137</v>
      </c>
      <c r="E3181" t="s">
        <v>851</v>
      </c>
    </row>
    <row r="3182" spans="2:5" x14ac:dyDescent="0.3">
      <c r="B3182" t="s">
        <v>5138</v>
      </c>
      <c r="C3182">
        <v>523874</v>
      </c>
      <c r="D3182" t="s">
        <v>496</v>
      </c>
      <c r="E3182" t="s">
        <v>518</v>
      </c>
    </row>
    <row r="3183" spans="2:5" x14ac:dyDescent="0.3">
      <c r="B3183" t="s">
        <v>5139</v>
      </c>
      <c r="C3183">
        <v>517258</v>
      </c>
      <c r="D3183" t="s">
        <v>496</v>
      </c>
      <c r="E3183" t="s">
        <v>1038</v>
      </c>
    </row>
    <row r="3184" spans="2:5" x14ac:dyDescent="0.3">
      <c r="B3184" t="s">
        <v>5140</v>
      </c>
      <c r="C3184">
        <v>523539</v>
      </c>
      <c r="D3184" t="s">
        <v>5141</v>
      </c>
      <c r="E3184" t="s">
        <v>1416</v>
      </c>
    </row>
    <row r="3185" spans="2:5" x14ac:dyDescent="0.3">
      <c r="B3185" t="s">
        <v>5142</v>
      </c>
      <c r="C3185">
        <v>523539</v>
      </c>
      <c r="D3185" t="s">
        <v>5141</v>
      </c>
      <c r="E3185" t="s">
        <v>1416</v>
      </c>
    </row>
    <row r="3186" spans="2:5" x14ac:dyDescent="0.3">
      <c r="B3186" t="s">
        <v>5143</v>
      </c>
      <c r="C3186" t="s">
        <v>496</v>
      </c>
      <c r="D3186" t="s">
        <v>5144</v>
      </c>
      <c r="E3186" t="s">
        <v>587</v>
      </c>
    </row>
    <row r="3187" spans="2:5" x14ac:dyDescent="0.3">
      <c r="B3187" t="s">
        <v>5145</v>
      </c>
      <c r="C3187">
        <v>530669</v>
      </c>
      <c r="D3187" t="s">
        <v>496</v>
      </c>
      <c r="E3187" t="s">
        <v>479</v>
      </c>
    </row>
    <row r="3188" spans="2:5" x14ac:dyDescent="0.3">
      <c r="B3188" t="s">
        <v>5146</v>
      </c>
      <c r="C3188">
        <v>530331</v>
      </c>
      <c r="D3188" t="s">
        <v>496</v>
      </c>
      <c r="E3188" t="s">
        <v>511</v>
      </c>
    </row>
    <row r="3189" spans="2:5" x14ac:dyDescent="0.3">
      <c r="B3189" t="s">
        <v>5147</v>
      </c>
      <c r="C3189">
        <v>780007</v>
      </c>
      <c r="D3189" t="s">
        <v>496</v>
      </c>
      <c r="E3189" t="s">
        <v>587</v>
      </c>
    </row>
    <row r="3190" spans="2:5" x14ac:dyDescent="0.3">
      <c r="B3190" t="s">
        <v>5148</v>
      </c>
      <c r="C3190">
        <v>526247</v>
      </c>
      <c r="D3190" t="s">
        <v>5149</v>
      </c>
      <c r="E3190" t="s">
        <v>656</v>
      </c>
    </row>
    <row r="3191" spans="2:5" x14ac:dyDescent="0.3">
      <c r="B3191" t="s">
        <v>5150</v>
      </c>
      <c r="C3191">
        <v>500540</v>
      </c>
      <c r="D3191" t="s">
        <v>5151</v>
      </c>
      <c r="E3191" t="s">
        <v>504</v>
      </c>
    </row>
    <row r="3192" spans="2:5" x14ac:dyDescent="0.3">
      <c r="B3192" t="s">
        <v>5152</v>
      </c>
      <c r="C3192">
        <v>513291</v>
      </c>
      <c r="D3192" t="s">
        <v>496</v>
      </c>
      <c r="E3192" t="s">
        <v>819</v>
      </c>
    </row>
    <row r="3193" spans="2:5" x14ac:dyDescent="0.3">
      <c r="B3193" t="s">
        <v>5153</v>
      </c>
      <c r="C3193">
        <v>514354</v>
      </c>
      <c r="D3193" t="s">
        <v>5154</v>
      </c>
      <c r="E3193" t="s">
        <v>544</v>
      </c>
    </row>
    <row r="3194" spans="2:5" x14ac:dyDescent="0.3">
      <c r="B3194" t="s">
        <v>5155</v>
      </c>
      <c r="C3194">
        <v>509835</v>
      </c>
      <c r="D3194" t="s">
        <v>496</v>
      </c>
      <c r="E3194" t="s">
        <v>511</v>
      </c>
    </row>
    <row r="3195" spans="2:5" x14ac:dyDescent="0.3">
      <c r="B3195" t="s">
        <v>5156</v>
      </c>
      <c r="C3195">
        <v>531802</v>
      </c>
      <c r="D3195" t="s">
        <v>496</v>
      </c>
      <c r="E3195" t="s">
        <v>582</v>
      </c>
    </row>
    <row r="3196" spans="2:5" x14ac:dyDescent="0.3">
      <c r="B3196" t="s">
        <v>5157</v>
      </c>
      <c r="C3196">
        <v>509077</v>
      </c>
      <c r="D3196" t="s">
        <v>5158</v>
      </c>
      <c r="E3196" t="s">
        <v>2099</v>
      </c>
    </row>
    <row r="3197" spans="2:5" x14ac:dyDescent="0.3">
      <c r="B3197" t="s">
        <v>5159</v>
      </c>
      <c r="C3197">
        <v>533274</v>
      </c>
      <c r="D3197" t="s">
        <v>5160</v>
      </c>
      <c r="E3197" t="s">
        <v>582</v>
      </c>
    </row>
    <row r="3198" spans="2:5" x14ac:dyDescent="0.3">
      <c r="B3198" t="s">
        <v>5161</v>
      </c>
      <c r="C3198">
        <v>540293</v>
      </c>
      <c r="D3198" t="s">
        <v>5162</v>
      </c>
      <c r="E3198" t="s">
        <v>851</v>
      </c>
    </row>
    <row r="3199" spans="2:5" x14ac:dyDescent="0.3">
      <c r="B3199" t="s">
        <v>5163</v>
      </c>
      <c r="C3199">
        <v>519262</v>
      </c>
      <c r="D3199" t="s">
        <v>496</v>
      </c>
      <c r="E3199" t="s">
        <v>694</v>
      </c>
    </row>
    <row r="3200" spans="2:5" x14ac:dyDescent="0.3">
      <c r="B3200" t="s">
        <v>5164</v>
      </c>
      <c r="C3200">
        <v>531246</v>
      </c>
      <c r="D3200" t="s">
        <v>496</v>
      </c>
      <c r="E3200" t="s">
        <v>745</v>
      </c>
    </row>
    <row r="3201" spans="2:5" x14ac:dyDescent="0.3">
      <c r="B3201" t="s">
        <v>5165</v>
      </c>
      <c r="C3201">
        <v>530589</v>
      </c>
      <c r="D3201" t="s">
        <v>496</v>
      </c>
      <c r="E3201" t="s">
        <v>616</v>
      </c>
    </row>
    <row r="3202" spans="2:5" x14ac:dyDescent="0.3">
      <c r="B3202" t="s">
        <v>5166</v>
      </c>
      <c r="C3202">
        <v>535514</v>
      </c>
      <c r="D3202" t="s">
        <v>496</v>
      </c>
      <c r="E3202" t="s">
        <v>513</v>
      </c>
    </row>
    <row r="3203" spans="2:5" x14ac:dyDescent="0.3">
      <c r="B3203" t="s">
        <v>5167</v>
      </c>
      <c r="C3203">
        <v>540404</v>
      </c>
      <c r="D3203" t="s">
        <v>496</v>
      </c>
      <c r="E3203" t="s">
        <v>694</v>
      </c>
    </row>
    <row r="3204" spans="2:5" x14ac:dyDescent="0.3">
      <c r="B3204" t="s">
        <v>5168</v>
      </c>
      <c r="C3204">
        <v>532748</v>
      </c>
      <c r="D3204" t="s">
        <v>5169</v>
      </c>
      <c r="E3204" t="s">
        <v>499</v>
      </c>
    </row>
    <row r="3205" spans="2:5" x14ac:dyDescent="0.3">
      <c r="B3205" t="s">
        <v>5170</v>
      </c>
      <c r="C3205">
        <v>519299</v>
      </c>
      <c r="D3205" t="s">
        <v>496</v>
      </c>
      <c r="E3205" t="s">
        <v>745</v>
      </c>
    </row>
    <row r="3206" spans="2:5" x14ac:dyDescent="0.3">
      <c r="B3206" t="s">
        <v>5171</v>
      </c>
      <c r="C3206">
        <v>530695</v>
      </c>
      <c r="D3206" t="s">
        <v>496</v>
      </c>
      <c r="E3206" t="s">
        <v>582</v>
      </c>
    </row>
    <row r="3207" spans="2:5" x14ac:dyDescent="0.3">
      <c r="B3207" t="s">
        <v>5172</v>
      </c>
      <c r="C3207">
        <v>500337</v>
      </c>
      <c r="D3207" t="s">
        <v>5173</v>
      </c>
      <c r="E3207" t="s">
        <v>479</v>
      </c>
    </row>
    <row r="3208" spans="2:5" x14ac:dyDescent="0.3">
      <c r="B3208" t="s">
        <v>5174</v>
      </c>
      <c r="C3208">
        <v>521149</v>
      </c>
      <c r="D3208" t="s">
        <v>496</v>
      </c>
      <c r="E3208" t="s">
        <v>582</v>
      </c>
    </row>
    <row r="3209" spans="2:5" x14ac:dyDescent="0.3">
      <c r="B3209" t="s">
        <v>5175</v>
      </c>
      <c r="C3209">
        <v>521149</v>
      </c>
      <c r="D3209" t="s">
        <v>496</v>
      </c>
      <c r="E3209" t="s">
        <v>582</v>
      </c>
    </row>
    <row r="3210" spans="2:5" x14ac:dyDescent="0.3">
      <c r="B3210" t="s">
        <v>5176</v>
      </c>
      <c r="C3210">
        <v>531735</v>
      </c>
      <c r="D3210" t="s">
        <v>496</v>
      </c>
      <c r="E3210" t="s">
        <v>513</v>
      </c>
    </row>
    <row r="3211" spans="2:5" x14ac:dyDescent="0.3">
      <c r="B3211" t="s">
        <v>5177</v>
      </c>
      <c r="C3211">
        <v>500338</v>
      </c>
      <c r="D3211" t="s">
        <v>5178</v>
      </c>
      <c r="E3211" t="s">
        <v>509</v>
      </c>
    </row>
    <row r="3212" spans="2:5" x14ac:dyDescent="0.3">
      <c r="B3212" t="s">
        <v>5179</v>
      </c>
      <c r="C3212">
        <v>512217</v>
      </c>
      <c r="D3212" t="s">
        <v>496</v>
      </c>
      <c r="E3212" t="s">
        <v>513</v>
      </c>
    </row>
    <row r="3213" spans="2:5" x14ac:dyDescent="0.3">
      <c r="B3213" t="s">
        <v>5180</v>
      </c>
      <c r="C3213">
        <v>531688</v>
      </c>
      <c r="D3213" t="s">
        <v>496</v>
      </c>
      <c r="E3213" t="s">
        <v>589</v>
      </c>
    </row>
    <row r="3214" spans="2:5" x14ac:dyDescent="0.3">
      <c r="B3214" t="s">
        <v>5181</v>
      </c>
      <c r="C3214">
        <v>531688</v>
      </c>
      <c r="D3214" t="s">
        <v>496</v>
      </c>
      <c r="E3214" t="s">
        <v>589</v>
      </c>
    </row>
    <row r="3215" spans="2:5" x14ac:dyDescent="0.3">
      <c r="B3215" t="s">
        <v>5182</v>
      </c>
      <c r="C3215" t="s">
        <v>496</v>
      </c>
      <c r="D3215" t="s">
        <v>5183</v>
      </c>
      <c r="E3215" t="s">
        <v>507</v>
      </c>
    </row>
    <row r="3216" spans="2:5" x14ac:dyDescent="0.3">
      <c r="B3216" t="s">
        <v>5184</v>
      </c>
      <c r="C3216">
        <v>539359</v>
      </c>
      <c r="D3216" t="s">
        <v>496</v>
      </c>
      <c r="E3216" t="s">
        <v>1416</v>
      </c>
    </row>
    <row r="3217" spans="2:5" x14ac:dyDescent="0.3">
      <c r="B3217" t="s">
        <v>5185</v>
      </c>
      <c r="C3217">
        <v>532387</v>
      </c>
      <c r="D3217" t="s">
        <v>5186</v>
      </c>
      <c r="E3217" t="s">
        <v>499</v>
      </c>
    </row>
    <row r="3218" spans="2:5" x14ac:dyDescent="0.3">
      <c r="B3218" t="s">
        <v>5187</v>
      </c>
      <c r="C3218">
        <v>524580</v>
      </c>
      <c r="D3218" t="s">
        <v>496</v>
      </c>
      <c r="E3218" t="s">
        <v>518</v>
      </c>
    </row>
    <row r="3219" spans="2:5" x14ac:dyDescent="0.3">
      <c r="B3219" t="s">
        <v>5188</v>
      </c>
      <c r="C3219">
        <v>511557</v>
      </c>
      <c r="D3219" t="s">
        <v>496</v>
      </c>
      <c r="E3219" t="s">
        <v>917</v>
      </c>
    </row>
    <row r="3220" spans="2:5" x14ac:dyDescent="0.3">
      <c r="B3220" t="s">
        <v>5189</v>
      </c>
      <c r="C3220">
        <v>512105</v>
      </c>
      <c r="D3220" t="s">
        <v>496</v>
      </c>
      <c r="E3220" t="s">
        <v>917</v>
      </c>
    </row>
    <row r="3221" spans="2:5" x14ac:dyDescent="0.3">
      <c r="B3221" t="s">
        <v>5190</v>
      </c>
      <c r="C3221">
        <v>526009</v>
      </c>
      <c r="D3221" t="s">
        <v>496</v>
      </c>
      <c r="E3221" t="s">
        <v>518</v>
      </c>
    </row>
    <row r="3222" spans="2:5" x14ac:dyDescent="0.3">
      <c r="B3222" t="s">
        <v>5191</v>
      </c>
      <c r="C3222">
        <v>526009</v>
      </c>
      <c r="D3222" t="s">
        <v>496</v>
      </c>
      <c r="E3222" t="s">
        <v>518</v>
      </c>
    </row>
    <row r="3223" spans="2:5" x14ac:dyDescent="0.3">
      <c r="B3223" t="s">
        <v>5192</v>
      </c>
      <c r="C3223" t="s">
        <v>496</v>
      </c>
      <c r="D3223" t="s">
        <v>5193</v>
      </c>
      <c r="E3223" t="s">
        <v>518</v>
      </c>
    </row>
    <row r="3224" spans="2:5" x14ac:dyDescent="0.3">
      <c r="B3224" t="s">
        <v>5194</v>
      </c>
      <c r="C3224">
        <v>500459</v>
      </c>
      <c r="D3224" t="s">
        <v>5195</v>
      </c>
      <c r="E3224" t="s">
        <v>678</v>
      </c>
    </row>
    <row r="3225" spans="2:5" x14ac:dyDescent="0.3">
      <c r="B3225" t="s">
        <v>5196</v>
      </c>
      <c r="C3225">
        <v>531265</v>
      </c>
      <c r="D3225" t="s">
        <v>496</v>
      </c>
      <c r="E3225" t="s">
        <v>576</v>
      </c>
    </row>
    <row r="3226" spans="2:5" x14ac:dyDescent="0.3">
      <c r="B3226" t="s">
        <v>5197</v>
      </c>
      <c r="C3226" t="s">
        <v>496</v>
      </c>
      <c r="D3226" t="s">
        <v>5198</v>
      </c>
      <c r="E3226" t="s">
        <v>507</v>
      </c>
    </row>
    <row r="3227" spans="2:5" x14ac:dyDescent="0.3">
      <c r="B3227" t="s">
        <v>5199</v>
      </c>
      <c r="C3227">
        <v>526494</v>
      </c>
      <c r="D3227" t="s">
        <v>496</v>
      </c>
      <c r="E3227" t="s">
        <v>691</v>
      </c>
    </row>
    <row r="3228" spans="2:5" x14ac:dyDescent="0.3">
      <c r="B3228" t="s">
        <v>5200</v>
      </c>
      <c r="C3228">
        <v>590057</v>
      </c>
      <c r="D3228" t="s">
        <v>5201</v>
      </c>
      <c r="E3228" t="s">
        <v>589</v>
      </c>
    </row>
    <row r="3229" spans="2:5" x14ac:dyDescent="0.3">
      <c r="B3229" t="s">
        <v>5202</v>
      </c>
      <c r="C3229">
        <v>590057</v>
      </c>
      <c r="D3229" t="s">
        <v>5201</v>
      </c>
      <c r="E3229" t="s">
        <v>589</v>
      </c>
    </row>
    <row r="3230" spans="2:5" x14ac:dyDescent="0.3">
      <c r="B3230" t="s">
        <v>5203</v>
      </c>
      <c r="C3230">
        <v>540703</v>
      </c>
      <c r="D3230" t="s">
        <v>496</v>
      </c>
      <c r="E3230" t="s">
        <v>580</v>
      </c>
    </row>
    <row r="3231" spans="2:5" x14ac:dyDescent="0.3">
      <c r="B3231" t="s">
        <v>5204</v>
      </c>
      <c r="C3231">
        <v>532647</v>
      </c>
      <c r="D3231" t="s">
        <v>5205</v>
      </c>
      <c r="E3231" t="s">
        <v>610</v>
      </c>
    </row>
    <row r="3232" spans="2:5" x14ac:dyDescent="0.3">
      <c r="B3232" t="s">
        <v>5206</v>
      </c>
      <c r="C3232">
        <v>532647</v>
      </c>
      <c r="D3232" t="s">
        <v>5205</v>
      </c>
      <c r="E3232" t="s">
        <v>610</v>
      </c>
    </row>
    <row r="3233" spans="2:5" x14ac:dyDescent="0.3">
      <c r="B3233" t="s">
        <v>5207</v>
      </c>
      <c r="C3233">
        <v>534675</v>
      </c>
      <c r="D3233" t="s">
        <v>5208</v>
      </c>
      <c r="E3233" t="s">
        <v>582</v>
      </c>
    </row>
    <row r="3234" spans="2:5" x14ac:dyDescent="0.3">
      <c r="B3234" t="s">
        <v>5209</v>
      </c>
      <c r="C3234">
        <v>505502</v>
      </c>
      <c r="D3234" t="s">
        <v>496</v>
      </c>
      <c r="E3234" t="s">
        <v>479</v>
      </c>
    </row>
    <row r="3235" spans="2:5" x14ac:dyDescent="0.3">
      <c r="B3235" t="s">
        <v>5210</v>
      </c>
      <c r="C3235">
        <v>526801</v>
      </c>
      <c r="D3235" t="s">
        <v>5211</v>
      </c>
      <c r="E3235" t="s">
        <v>894</v>
      </c>
    </row>
    <row r="3236" spans="2:5" x14ac:dyDescent="0.3">
      <c r="B3236" t="s">
        <v>5212</v>
      </c>
      <c r="C3236">
        <v>540544</v>
      </c>
      <c r="D3236" t="s">
        <v>5213</v>
      </c>
      <c r="E3236" t="s">
        <v>894</v>
      </c>
    </row>
    <row r="3237" spans="2:5" x14ac:dyDescent="0.3">
      <c r="B3237" t="s">
        <v>5214</v>
      </c>
      <c r="C3237">
        <v>532524</v>
      </c>
      <c r="D3237" t="s">
        <v>5215</v>
      </c>
      <c r="E3237" t="s">
        <v>635</v>
      </c>
    </row>
    <row r="3238" spans="2:5" x14ac:dyDescent="0.3">
      <c r="B3238" t="s">
        <v>5216</v>
      </c>
      <c r="C3238">
        <v>533344</v>
      </c>
      <c r="D3238" t="s">
        <v>5217</v>
      </c>
      <c r="E3238" t="s">
        <v>513</v>
      </c>
    </row>
    <row r="3239" spans="2:5" x14ac:dyDescent="0.3">
      <c r="B3239" t="s">
        <v>5218</v>
      </c>
      <c r="C3239">
        <v>532524</v>
      </c>
      <c r="D3239" t="s">
        <v>5215</v>
      </c>
      <c r="E3239" t="s">
        <v>635</v>
      </c>
    </row>
    <row r="3240" spans="2:5" x14ac:dyDescent="0.3">
      <c r="B3240" t="s">
        <v>5219</v>
      </c>
      <c r="C3240">
        <v>539006</v>
      </c>
      <c r="D3240" t="s">
        <v>496</v>
      </c>
      <c r="E3240" t="s">
        <v>1416</v>
      </c>
    </row>
    <row r="3241" spans="2:5" x14ac:dyDescent="0.3">
      <c r="B3241" t="s">
        <v>5220</v>
      </c>
      <c r="C3241">
        <v>509220</v>
      </c>
      <c r="D3241" t="s">
        <v>5221</v>
      </c>
      <c r="E3241" t="s">
        <v>518</v>
      </c>
    </row>
    <row r="3242" spans="2:5" x14ac:dyDescent="0.3">
      <c r="B3242" t="s">
        <v>5222</v>
      </c>
      <c r="C3242">
        <v>539785</v>
      </c>
      <c r="D3242" t="s">
        <v>5223</v>
      </c>
      <c r="E3242" t="s">
        <v>490</v>
      </c>
    </row>
    <row r="3243" spans="2:5" x14ac:dyDescent="0.3">
      <c r="B3243" t="s">
        <v>5224</v>
      </c>
      <c r="C3243">
        <v>512591</v>
      </c>
      <c r="D3243" t="s">
        <v>496</v>
      </c>
      <c r="E3243" t="s">
        <v>518</v>
      </c>
    </row>
    <row r="3244" spans="2:5" x14ac:dyDescent="0.3">
      <c r="B3244" t="s">
        <v>5225</v>
      </c>
      <c r="C3244" t="s">
        <v>496</v>
      </c>
      <c r="D3244" t="s">
        <v>5226</v>
      </c>
      <c r="E3244" t="s">
        <v>507</v>
      </c>
    </row>
    <row r="3245" spans="2:5" x14ac:dyDescent="0.3">
      <c r="B3245" t="s">
        <v>5227</v>
      </c>
      <c r="C3245">
        <v>512461</v>
      </c>
      <c r="D3245" t="s">
        <v>496</v>
      </c>
      <c r="E3245" t="s">
        <v>518</v>
      </c>
    </row>
    <row r="3246" spans="2:5" x14ac:dyDescent="0.3">
      <c r="B3246" t="s">
        <v>5228</v>
      </c>
      <c r="C3246">
        <v>512099</v>
      </c>
      <c r="D3246" t="s">
        <v>496</v>
      </c>
      <c r="E3246" t="s">
        <v>610</v>
      </c>
    </row>
    <row r="3247" spans="2:5" x14ac:dyDescent="0.3">
      <c r="B3247" t="s">
        <v>5229</v>
      </c>
      <c r="C3247">
        <v>532693</v>
      </c>
      <c r="D3247" t="s">
        <v>5230</v>
      </c>
      <c r="E3247" t="s">
        <v>894</v>
      </c>
    </row>
    <row r="3248" spans="2:5" x14ac:dyDescent="0.3">
      <c r="B3248" t="s">
        <v>5231</v>
      </c>
      <c r="C3248">
        <v>533295</v>
      </c>
      <c r="D3248" t="s">
        <v>5232</v>
      </c>
      <c r="E3248" t="s">
        <v>814</v>
      </c>
    </row>
    <row r="3249" spans="2:5" x14ac:dyDescent="0.3">
      <c r="B3249" t="s">
        <v>5233</v>
      </c>
      <c r="C3249">
        <v>506852</v>
      </c>
      <c r="D3249" t="s">
        <v>496</v>
      </c>
      <c r="E3249" t="s">
        <v>544</v>
      </c>
    </row>
    <row r="3250" spans="2:5" x14ac:dyDescent="0.3">
      <c r="B3250" t="s">
        <v>5234</v>
      </c>
      <c r="C3250">
        <v>506618</v>
      </c>
      <c r="D3250" t="s">
        <v>5235</v>
      </c>
      <c r="E3250" t="s">
        <v>640</v>
      </c>
    </row>
    <row r="3251" spans="2:5" x14ac:dyDescent="0.3">
      <c r="B3251" t="s">
        <v>5236</v>
      </c>
      <c r="C3251">
        <v>500346</v>
      </c>
      <c r="D3251" t="s">
        <v>496</v>
      </c>
      <c r="E3251" t="s">
        <v>642</v>
      </c>
    </row>
    <row r="3252" spans="2:5" x14ac:dyDescent="0.3">
      <c r="B3252" t="s">
        <v>5237</v>
      </c>
      <c r="C3252">
        <v>532461</v>
      </c>
      <c r="D3252" t="s">
        <v>5238</v>
      </c>
      <c r="E3252" t="s">
        <v>814</v>
      </c>
    </row>
    <row r="3253" spans="2:5" x14ac:dyDescent="0.3">
      <c r="B3253" t="s">
        <v>5239</v>
      </c>
      <c r="C3253">
        <v>532891</v>
      </c>
      <c r="D3253" t="s">
        <v>5240</v>
      </c>
      <c r="E3253" t="s">
        <v>582</v>
      </c>
    </row>
    <row r="3254" spans="2:5" x14ac:dyDescent="0.3">
      <c r="B3254" t="s">
        <v>5241</v>
      </c>
      <c r="C3254">
        <v>540492</v>
      </c>
      <c r="D3254" t="s">
        <v>496</v>
      </c>
      <c r="E3254" t="s">
        <v>518</v>
      </c>
    </row>
    <row r="3255" spans="2:5" x14ac:dyDescent="0.3">
      <c r="B3255" t="s">
        <v>5242</v>
      </c>
      <c r="C3255">
        <v>523315</v>
      </c>
      <c r="D3255" t="s">
        <v>496</v>
      </c>
      <c r="E3255" t="s">
        <v>490</v>
      </c>
    </row>
    <row r="3256" spans="2:5" x14ac:dyDescent="0.3">
      <c r="B3256" t="s">
        <v>5243</v>
      </c>
      <c r="C3256">
        <v>538993</v>
      </c>
      <c r="D3256" t="s">
        <v>496</v>
      </c>
      <c r="E3256" t="s">
        <v>582</v>
      </c>
    </row>
    <row r="3257" spans="2:5" x14ac:dyDescent="0.3">
      <c r="B3257" t="s">
        <v>5244</v>
      </c>
      <c r="C3257">
        <v>540159</v>
      </c>
      <c r="D3257" t="s">
        <v>496</v>
      </c>
      <c r="E3257" t="s">
        <v>499</v>
      </c>
    </row>
    <row r="3258" spans="2:5" x14ac:dyDescent="0.3">
      <c r="B3258" t="s">
        <v>5245</v>
      </c>
      <c r="C3258">
        <v>538647</v>
      </c>
      <c r="D3258" t="s">
        <v>496</v>
      </c>
      <c r="E3258" t="s">
        <v>513</v>
      </c>
    </row>
    <row r="3259" spans="2:5" x14ac:dyDescent="0.3">
      <c r="B3259" t="s">
        <v>5246</v>
      </c>
      <c r="C3259" t="s">
        <v>496</v>
      </c>
      <c r="D3259" t="s">
        <v>5247</v>
      </c>
      <c r="E3259" t="s">
        <v>507</v>
      </c>
    </row>
    <row r="3260" spans="2:5" x14ac:dyDescent="0.3">
      <c r="B3260" t="s">
        <v>5248</v>
      </c>
      <c r="C3260">
        <v>531562</v>
      </c>
      <c r="D3260" t="s">
        <v>496</v>
      </c>
      <c r="E3260" t="s">
        <v>511</v>
      </c>
    </row>
    <row r="3261" spans="2:5" x14ac:dyDescent="0.3">
      <c r="B3261" t="s">
        <v>5249</v>
      </c>
      <c r="C3261">
        <v>517556</v>
      </c>
      <c r="D3261" t="s">
        <v>5250</v>
      </c>
      <c r="E3261" t="s">
        <v>582</v>
      </c>
    </row>
    <row r="3262" spans="2:5" x14ac:dyDescent="0.3">
      <c r="B3262" t="s">
        <v>5251</v>
      </c>
      <c r="C3262">
        <v>532689</v>
      </c>
      <c r="D3262" t="s">
        <v>5252</v>
      </c>
      <c r="E3262" t="s">
        <v>497</v>
      </c>
    </row>
    <row r="3263" spans="2:5" x14ac:dyDescent="0.3">
      <c r="B3263" t="s">
        <v>5253</v>
      </c>
      <c r="C3263">
        <v>536659</v>
      </c>
      <c r="D3263" t="s">
        <v>496</v>
      </c>
      <c r="E3263" t="s">
        <v>894</v>
      </c>
    </row>
    <row r="3264" spans="2:5" x14ac:dyDescent="0.3">
      <c r="B3264" t="s">
        <v>5254</v>
      </c>
      <c r="C3264">
        <v>534109</v>
      </c>
      <c r="D3264" t="s">
        <v>496</v>
      </c>
      <c r="E3264" t="s">
        <v>513</v>
      </c>
    </row>
    <row r="3265" spans="2:5" x14ac:dyDescent="0.3">
      <c r="B3265" t="s">
        <v>5255</v>
      </c>
      <c r="C3265">
        <v>511116</v>
      </c>
      <c r="D3265" t="s">
        <v>496</v>
      </c>
      <c r="E3265" t="s">
        <v>1440</v>
      </c>
    </row>
    <row r="3266" spans="2:5" x14ac:dyDescent="0.3">
      <c r="B3266" t="s">
        <v>5256</v>
      </c>
      <c r="C3266">
        <v>538596</v>
      </c>
      <c r="D3266" t="s">
        <v>496</v>
      </c>
      <c r="E3266" t="s">
        <v>582</v>
      </c>
    </row>
    <row r="3267" spans="2:5" x14ac:dyDescent="0.3">
      <c r="B3267" t="s">
        <v>5257</v>
      </c>
      <c r="C3267">
        <v>530281</v>
      </c>
      <c r="D3267" t="s">
        <v>496</v>
      </c>
      <c r="E3267" t="s">
        <v>691</v>
      </c>
    </row>
    <row r="3268" spans="2:5" x14ac:dyDescent="0.3">
      <c r="B3268" t="s">
        <v>5258</v>
      </c>
      <c r="C3268">
        <v>530281</v>
      </c>
      <c r="D3268" t="s">
        <v>496</v>
      </c>
      <c r="E3268" t="s">
        <v>691</v>
      </c>
    </row>
    <row r="3269" spans="2:5" x14ac:dyDescent="0.3">
      <c r="B3269" t="s">
        <v>5259</v>
      </c>
      <c r="C3269">
        <v>590099</v>
      </c>
      <c r="D3269" t="s">
        <v>5260</v>
      </c>
      <c r="E3269" t="s">
        <v>479</v>
      </c>
    </row>
    <row r="3270" spans="2:5" x14ac:dyDescent="0.3">
      <c r="B3270" t="s">
        <v>5261</v>
      </c>
      <c r="C3270">
        <v>590110</v>
      </c>
      <c r="D3270" t="s">
        <v>5262</v>
      </c>
      <c r="E3270" t="s">
        <v>479</v>
      </c>
    </row>
    <row r="3271" spans="2:5" x14ac:dyDescent="0.3">
      <c r="B3271" t="s">
        <v>5263</v>
      </c>
      <c r="C3271">
        <v>539978</v>
      </c>
      <c r="D3271" t="s">
        <v>5264</v>
      </c>
      <c r="E3271" t="s">
        <v>485</v>
      </c>
    </row>
    <row r="3272" spans="2:5" x14ac:dyDescent="0.3">
      <c r="B3272" t="s">
        <v>5265</v>
      </c>
      <c r="C3272">
        <v>539962</v>
      </c>
      <c r="D3272" t="s">
        <v>496</v>
      </c>
      <c r="E3272" t="s">
        <v>513</v>
      </c>
    </row>
    <row r="3273" spans="2:5" x14ac:dyDescent="0.3">
      <c r="B3273" t="s">
        <v>5266</v>
      </c>
      <c r="C3273">
        <v>535719</v>
      </c>
      <c r="D3273" t="s">
        <v>496</v>
      </c>
      <c r="E3273" t="s">
        <v>482</v>
      </c>
    </row>
    <row r="3274" spans="2:5" x14ac:dyDescent="0.3">
      <c r="B3274" t="s">
        <v>5267</v>
      </c>
      <c r="C3274">
        <v>535719</v>
      </c>
      <c r="D3274" t="s">
        <v>496</v>
      </c>
      <c r="E3274" t="s">
        <v>482</v>
      </c>
    </row>
    <row r="3275" spans="2:5" x14ac:dyDescent="0.3">
      <c r="B3275" t="s">
        <v>5268</v>
      </c>
      <c r="C3275">
        <v>539678</v>
      </c>
      <c r="D3275" t="s">
        <v>5269</v>
      </c>
      <c r="E3275" t="s">
        <v>589</v>
      </c>
    </row>
    <row r="3276" spans="2:5" x14ac:dyDescent="0.3">
      <c r="B3276" t="s">
        <v>5270</v>
      </c>
      <c r="C3276">
        <v>532866</v>
      </c>
      <c r="D3276" t="s">
        <v>5271</v>
      </c>
      <c r="E3276" t="s">
        <v>482</v>
      </c>
    </row>
    <row r="3277" spans="2:5" x14ac:dyDescent="0.3">
      <c r="B3277" t="s">
        <v>5272</v>
      </c>
      <c r="C3277">
        <v>532024</v>
      </c>
      <c r="D3277" t="s">
        <v>496</v>
      </c>
      <c r="E3277" t="s">
        <v>479</v>
      </c>
    </row>
    <row r="3278" spans="2:5" x14ac:dyDescent="0.3">
      <c r="B3278" t="s">
        <v>5273</v>
      </c>
      <c r="C3278">
        <v>536456</v>
      </c>
      <c r="D3278" t="s">
        <v>496</v>
      </c>
      <c r="E3278" t="s">
        <v>694</v>
      </c>
    </row>
    <row r="3279" spans="2:5" x14ac:dyDescent="0.3">
      <c r="B3279" t="s">
        <v>5274</v>
      </c>
      <c r="C3279">
        <v>509845</v>
      </c>
      <c r="D3279" t="s">
        <v>496</v>
      </c>
      <c r="E3279" t="s">
        <v>582</v>
      </c>
    </row>
    <row r="3280" spans="2:5" x14ac:dyDescent="0.3">
      <c r="B3280" t="s">
        <v>5275</v>
      </c>
      <c r="C3280" t="s">
        <v>496</v>
      </c>
      <c r="D3280" t="s">
        <v>5276</v>
      </c>
      <c r="E3280" t="s">
        <v>507</v>
      </c>
    </row>
    <row r="3281" spans="2:5" x14ac:dyDescent="0.3">
      <c r="B3281" t="s">
        <v>5277</v>
      </c>
      <c r="C3281">
        <v>533284</v>
      </c>
      <c r="D3281" t="s">
        <v>5278</v>
      </c>
      <c r="E3281" t="s">
        <v>894</v>
      </c>
    </row>
    <row r="3282" spans="2:5" x14ac:dyDescent="0.3">
      <c r="B3282" t="s">
        <v>5279</v>
      </c>
      <c r="C3282">
        <v>530917</v>
      </c>
      <c r="D3282" t="s">
        <v>496</v>
      </c>
      <c r="E3282" t="s">
        <v>917</v>
      </c>
    </row>
    <row r="3283" spans="2:5" x14ac:dyDescent="0.3">
      <c r="B3283" t="s">
        <v>5280</v>
      </c>
      <c r="C3283">
        <v>517447</v>
      </c>
      <c r="D3283" t="s">
        <v>5281</v>
      </c>
      <c r="E3283" t="s">
        <v>589</v>
      </c>
    </row>
    <row r="3284" spans="2:5" x14ac:dyDescent="0.3">
      <c r="B3284" t="s">
        <v>5282</v>
      </c>
      <c r="C3284">
        <v>517447</v>
      </c>
      <c r="D3284" t="s">
        <v>5281</v>
      </c>
      <c r="E3284" t="s">
        <v>589</v>
      </c>
    </row>
    <row r="3285" spans="2:5" x14ac:dyDescent="0.3">
      <c r="B3285" t="s">
        <v>5283</v>
      </c>
      <c r="C3285">
        <v>532735</v>
      </c>
      <c r="D3285" t="s">
        <v>5284</v>
      </c>
      <c r="E3285" t="s">
        <v>482</v>
      </c>
    </row>
    <row r="3286" spans="2:5" x14ac:dyDescent="0.3">
      <c r="B3286" t="s">
        <v>5285</v>
      </c>
      <c r="C3286">
        <v>512565</v>
      </c>
      <c r="D3286" t="s">
        <v>496</v>
      </c>
      <c r="E3286" t="s">
        <v>694</v>
      </c>
    </row>
    <row r="3287" spans="2:5" x14ac:dyDescent="0.3">
      <c r="B3287" t="s">
        <v>5286</v>
      </c>
      <c r="C3287">
        <v>538119</v>
      </c>
      <c r="D3287" t="s">
        <v>496</v>
      </c>
      <c r="E3287" t="s">
        <v>511</v>
      </c>
    </row>
    <row r="3288" spans="2:5" x14ac:dyDescent="0.3">
      <c r="B3288" t="s">
        <v>5287</v>
      </c>
      <c r="C3288">
        <v>524502</v>
      </c>
      <c r="D3288" t="s">
        <v>496</v>
      </c>
      <c r="E3288" t="s">
        <v>1663</v>
      </c>
    </row>
    <row r="3289" spans="2:5" x14ac:dyDescent="0.3">
      <c r="B3289" t="s">
        <v>5288</v>
      </c>
      <c r="C3289">
        <v>524502</v>
      </c>
      <c r="D3289" t="s">
        <v>496</v>
      </c>
      <c r="E3289" t="s">
        <v>1663</v>
      </c>
    </row>
    <row r="3290" spans="2:5" x14ac:dyDescent="0.3">
      <c r="B3290" t="s">
        <v>5289</v>
      </c>
      <c r="C3290">
        <v>502271</v>
      </c>
      <c r="D3290" t="s">
        <v>496</v>
      </c>
      <c r="E3290" t="s">
        <v>681</v>
      </c>
    </row>
    <row r="3291" spans="2:5" x14ac:dyDescent="0.3">
      <c r="B3291" t="s">
        <v>5290</v>
      </c>
      <c r="C3291">
        <v>520073</v>
      </c>
      <c r="D3291" t="s">
        <v>496</v>
      </c>
      <c r="E3291" t="s">
        <v>851</v>
      </c>
    </row>
    <row r="3292" spans="2:5" x14ac:dyDescent="0.3">
      <c r="B3292" t="s">
        <v>5291</v>
      </c>
      <c r="C3292">
        <v>590070</v>
      </c>
      <c r="D3292" t="s">
        <v>5292</v>
      </c>
      <c r="E3292" t="s">
        <v>499</v>
      </c>
    </row>
    <row r="3293" spans="2:5" x14ac:dyDescent="0.3">
      <c r="B3293" t="s">
        <v>5293</v>
      </c>
      <c r="C3293">
        <v>590070</v>
      </c>
      <c r="D3293" t="s">
        <v>5292</v>
      </c>
      <c r="E3293" t="s">
        <v>499</v>
      </c>
    </row>
    <row r="3294" spans="2:5" x14ac:dyDescent="0.3">
      <c r="B3294" t="s">
        <v>5294</v>
      </c>
      <c r="C3294">
        <v>532692</v>
      </c>
      <c r="D3294" t="s">
        <v>5295</v>
      </c>
      <c r="E3294" t="s">
        <v>691</v>
      </c>
    </row>
    <row r="3295" spans="2:5" x14ac:dyDescent="0.3">
      <c r="B3295" t="s">
        <v>5296</v>
      </c>
      <c r="C3295">
        <v>539673</v>
      </c>
      <c r="D3295" t="s">
        <v>496</v>
      </c>
      <c r="E3295" t="s">
        <v>530</v>
      </c>
    </row>
    <row r="3296" spans="2:5" x14ac:dyDescent="0.3">
      <c r="B3296" t="s">
        <v>5297</v>
      </c>
      <c r="C3296">
        <v>531273</v>
      </c>
      <c r="D3296" t="s">
        <v>496</v>
      </c>
      <c r="E3296" t="s">
        <v>582</v>
      </c>
    </row>
    <row r="3297" spans="2:5" x14ac:dyDescent="0.3">
      <c r="B3297" t="s">
        <v>5298</v>
      </c>
      <c r="C3297">
        <v>531273</v>
      </c>
      <c r="D3297" t="s">
        <v>496</v>
      </c>
      <c r="E3297" t="s">
        <v>582</v>
      </c>
    </row>
    <row r="3298" spans="2:5" x14ac:dyDescent="0.3">
      <c r="B3298" t="s">
        <v>5299</v>
      </c>
      <c r="C3298">
        <v>539814</v>
      </c>
      <c r="D3298" t="s">
        <v>496</v>
      </c>
      <c r="E3298" t="s">
        <v>518</v>
      </c>
    </row>
    <row r="3299" spans="2:5" x14ac:dyDescent="0.3">
      <c r="B3299" t="s">
        <v>5300</v>
      </c>
      <c r="C3299">
        <v>540125</v>
      </c>
      <c r="D3299" t="s">
        <v>496</v>
      </c>
      <c r="E3299" t="s">
        <v>610</v>
      </c>
    </row>
    <row r="3300" spans="2:5" x14ac:dyDescent="0.3">
      <c r="B3300" t="s">
        <v>5301</v>
      </c>
      <c r="C3300">
        <v>532497</v>
      </c>
      <c r="D3300" t="s">
        <v>5302</v>
      </c>
      <c r="E3300" t="s">
        <v>1128</v>
      </c>
    </row>
    <row r="3301" spans="2:5" x14ac:dyDescent="0.3">
      <c r="B3301" t="s">
        <v>5303</v>
      </c>
      <c r="C3301">
        <v>531412</v>
      </c>
      <c r="D3301" t="s">
        <v>496</v>
      </c>
      <c r="E3301" t="s">
        <v>678</v>
      </c>
    </row>
    <row r="3302" spans="2:5" x14ac:dyDescent="0.3">
      <c r="B3302" t="s">
        <v>5304</v>
      </c>
      <c r="C3302">
        <v>531412</v>
      </c>
      <c r="D3302" t="s">
        <v>496</v>
      </c>
      <c r="E3302" t="s">
        <v>678</v>
      </c>
    </row>
    <row r="3303" spans="2:5" x14ac:dyDescent="0.3">
      <c r="B3303" t="s">
        <v>5305</v>
      </c>
      <c r="C3303">
        <v>539837</v>
      </c>
      <c r="D3303" t="s">
        <v>496</v>
      </c>
      <c r="E3303" t="s">
        <v>681</v>
      </c>
    </row>
    <row r="3304" spans="2:5" x14ac:dyDescent="0.3">
      <c r="B3304" t="s">
        <v>5306</v>
      </c>
      <c r="C3304">
        <v>526813</v>
      </c>
      <c r="D3304" t="s">
        <v>496</v>
      </c>
      <c r="E3304" t="s">
        <v>2667</v>
      </c>
    </row>
    <row r="3305" spans="2:5" x14ac:dyDescent="0.3">
      <c r="B3305" t="s">
        <v>5307</v>
      </c>
      <c r="C3305">
        <v>531552</v>
      </c>
      <c r="D3305" t="s">
        <v>496</v>
      </c>
      <c r="E3305" t="s">
        <v>582</v>
      </c>
    </row>
    <row r="3306" spans="2:5" x14ac:dyDescent="0.3">
      <c r="B3306" t="s">
        <v>5308</v>
      </c>
      <c r="C3306">
        <v>538921</v>
      </c>
      <c r="D3306" t="s">
        <v>496</v>
      </c>
      <c r="E3306" t="s">
        <v>694</v>
      </c>
    </row>
    <row r="3307" spans="2:5" x14ac:dyDescent="0.3">
      <c r="B3307" t="s">
        <v>5309</v>
      </c>
      <c r="C3307">
        <v>514316</v>
      </c>
      <c r="D3307" t="s">
        <v>496</v>
      </c>
      <c r="E3307" t="s">
        <v>511</v>
      </c>
    </row>
    <row r="3308" spans="2:5" x14ac:dyDescent="0.3">
      <c r="B3308" t="s">
        <v>5310</v>
      </c>
      <c r="C3308">
        <v>531887</v>
      </c>
      <c r="D3308" t="s">
        <v>496</v>
      </c>
      <c r="E3308" t="s">
        <v>610</v>
      </c>
    </row>
    <row r="3309" spans="2:5" x14ac:dyDescent="0.3">
      <c r="B3309" t="s">
        <v>5311</v>
      </c>
      <c r="C3309">
        <v>540270</v>
      </c>
      <c r="D3309" t="s">
        <v>496</v>
      </c>
      <c r="E3309" t="s">
        <v>518</v>
      </c>
    </row>
    <row r="3310" spans="2:5" x14ac:dyDescent="0.3">
      <c r="B3310" t="s">
        <v>5312</v>
      </c>
      <c r="C3310">
        <v>542649</v>
      </c>
      <c r="D3310" t="s">
        <v>5313</v>
      </c>
      <c r="E3310" t="s">
        <v>5314</v>
      </c>
    </row>
    <row r="3311" spans="2:5" x14ac:dyDescent="0.3">
      <c r="B3311" t="s">
        <v>5315</v>
      </c>
      <c r="C3311">
        <v>500339</v>
      </c>
      <c r="D3311" t="s">
        <v>5316</v>
      </c>
      <c r="E3311" t="s">
        <v>710</v>
      </c>
    </row>
    <row r="3312" spans="2:5" x14ac:dyDescent="0.3">
      <c r="B3312" t="s">
        <v>5317</v>
      </c>
      <c r="C3312">
        <v>532441</v>
      </c>
      <c r="D3312" t="s">
        <v>496</v>
      </c>
      <c r="E3312" t="s">
        <v>511</v>
      </c>
    </row>
    <row r="3313" spans="2:5" x14ac:dyDescent="0.3">
      <c r="B3313" t="s">
        <v>5318</v>
      </c>
      <c r="C3313">
        <v>531694</v>
      </c>
      <c r="D3313" t="s">
        <v>496</v>
      </c>
      <c r="E3313" t="s">
        <v>582</v>
      </c>
    </row>
    <row r="3314" spans="2:5" x14ac:dyDescent="0.3">
      <c r="B3314" t="s">
        <v>5319</v>
      </c>
      <c r="C3314">
        <v>523523</v>
      </c>
      <c r="D3314" t="s">
        <v>5320</v>
      </c>
      <c r="E3314" t="s">
        <v>490</v>
      </c>
    </row>
    <row r="3315" spans="2:5" x14ac:dyDescent="0.3">
      <c r="B3315" t="s">
        <v>5321</v>
      </c>
      <c r="C3315">
        <v>530111</v>
      </c>
      <c r="D3315" t="s">
        <v>496</v>
      </c>
      <c r="E3315" t="s">
        <v>691</v>
      </c>
    </row>
    <row r="3316" spans="2:5" x14ac:dyDescent="0.3">
      <c r="B3316" t="s">
        <v>5322</v>
      </c>
      <c r="C3316">
        <v>530699</v>
      </c>
      <c r="D3316" t="s">
        <v>5323</v>
      </c>
      <c r="E3316" t="s">
        <v>511</v>
      </c>
    </row>
    <row r="3317" spans="2:5" x14ac:dyDescent="0.3">
      <c r="B3317" t="s">
        <v>5324</v>
      </c>
      <c r="C3317">
        <v>532826</v>
      </c>
      <c r="D3317" t="s">
        <v>5325</v>
      </c>
      <c r="E3317" t="s">
        <v>1235</v>
      </c>
    </row>
    <row r="3318" spans="2:5" x14ac:dyDescent="0.3">
      <c r="B3318" t="s">
        <v>5326</v>
      </c>
      <c r="C3318">
        <v>503127</v>
      </c>
      <c r="D3318" t="s">
        <v>496</v>
      </c>
      <c r="E3318" t="s">
        <v>485</v>
      </c>
    </row>
    <row r="3319" spans="2:5" x14ac:dyDescent="0.3">
      <c r="B3319" t="s">
        <v>5327</v>
      </c>
      <c r="C3319">
        <v>532503</v>
      </c>
      <c r="D3319" t="s">
        <v>496</v>
      </c>
      <c r="E3319" t="s">
        <v>511</v>
      </c>
    </row>
    <row r="3320" spans="2:5" x14ac:dyDescent="0.3">
      <c r="B3320" t="s">
        <v>5328</v>
      </c>
      <c r="C3320">
        <v>538707</v>
      </c>
      <c r="D3320" t="s">
        <v>496</v>
      </c>
      <c r="E3320" t="s">
        <v>691</v>
      </c>
    </row>
    <row r="3321" spans="2:5" x14ac:dyDescent="0.3">
      <c r="B3321" t="s">
        <v>5329</v>
      </c>
      <c r="C3321">
        <v>526873</v>
      </c>
      <c r="D3321" t="s">
        <v>496</v>
      </c>
      <c r="E3321" t="s">
        <v>706</v>
      </c>
    </row>
    <row r="3322" spans="2:5" x14ac:dyDescent="0.3">
      <c r="B3322" t="s">
        <v>5330</v>
      </c>
      <c r="C3322">
        <v>530253</v>
      </c>
      <c r="D3322" t="s">
        <v>496</v>
      </c>
      <c r="E3322" t="s">
        <v>819</v>
      </c>
    </row>
    <row r="3323" spans="2:5" x14ac:dyDescent="0.3">
      <c r="B3323" t="s">
        <v>5331</v>
      </c>
      <c r="C3323">
        <v>507962</v>
      </c>
      <c r="D3323" t="s">
        <v>496</v>
      </c>
      <c r="E3323" t="s">
        <v>513</v>
      </c>
    </row>
    <row r="3324" spans="2:5" x14ac:dyDescent="0.3">
      <c r="B3324" t="s">
        <v>5332</v>
      </c>
      <c r="C3324">
        <v>526662</v>
      </c>
      <c r="D3324" t="s">
        <v>5333</v>
      </c>
      <c r="E3324" t="s">
        <v>894</v>
      </c>
    </row>
    <row r="3325" spans="2:5" x14ac:dyDescent="0.3">
      <c r="B3325" t="s">
        <v>5334</v>
      </c>
      <c r="C3325">
        <v>531500</v>
      </c>
      <c r="D3325" t="s">
        <v>5335</v>
      </c>
      <c r="E3325" t="s">
        <v>610</v>
      </c>
    </row>
    <row r="3326" spans="2:5" x14ac:dyDescent="0.3">
      <c r="B3326" t="s">
        <v>5336</v>
      </c>
      <c r="C3326">
        <v>526823</v>
      </c>
      <c r="D3326" t="s">
        <v>496</v>
      </c>
      <c r="E3326" t="s">
        <v>582</v>
      </c>
    </row>
    <row r="3327" spans="2:5" x14ac:dyDescent="0.3">
      <c r="B3327" t="s">
        <v>5337</v>
      </c>
      <c r="C3327">
        <v>514028</v>
      </c>
      <c r="D3327" t="s">
        <v>496</v>
      </c>
      <c r="E3327" t="s">
        <v>511</v>
      </c>
    </row>
    <row r="3328" spans="2:5" x14ac:dyDescent="0.3">
      <c r="B3328" t="s">
        <v>5338</v>
      </c>
      <c r="C3328">
        <v>539495</v>
      </c>
      <c r="D3328" t="s">
        <v>496</v>
      </c>
      <c r="E3328" t="s">
        <v>513</v>
      </c>
    </row>
    <row r="3329" spans="2:5" x14ac:dyDescent="0.3">
      <c r="B3329" t="s">
        <v>5339</v>
      </c>
      <c r="C3329">
        <v>513369</v>
      </c>
      <c r="D3329" t="s">
        <v>496</v>
      </c>
      <c r="E3329" t="s">
        <v>1416</v>
      </c>
    </row>
    <row r="3330" spans="2:5" x14ac:dyDescent="0.3">
      <c r="B3330" t="s">
        <v>5340</v>
      </c>
      <c r="C3330" t="s">
        <v>496</v>
      </c>
      <c r="D3330" t="s">
        <v>5341</v>
      </c>
      <c r="E3330" t="s">
        <v>507</v>
      </c>
    </row>
    <row r="3331" spans="2:5" x14ac:dyDescent="0.3">
      <c r="B3331" t="s">
        <v>5342</v>
      </c>
      <c r="C3331">
        <v>541601</v>
      </c>
      <c r="D3331" t="s">
        <v>496</v>
      </c>
      <c r="E3331" t="s">
        <v>534</v>
      </c>
    </row>
    <row r="3332" spans="2:5" x14ac:dyDescent="0.3">
      <c r="B3332" t="s">
        <v>5343</v>
      </c>
      <c r="C3332">
        <v>522257</v>
      </c>
      <c r="D3332" t="s">
        <v>496</v>
      </c>
      <c r="E3332" t="s">
        <v>504</v>
      </c>
    </row>
    <row r="3333" spans="2:5" x14ac:dyDescent="0.3">
      <c r="B3333" t="s">
        <v>5344</v>
      </c>
      <c r="C3333">
        <v>517522</v>
      </c>
      <c r="D3333" t="s">
        <v>496</v>
      </c>
      <c r="E3333" t="s">
        <v>851</v>
      </c>
    </row>
    <row r="3334" spans="2:5" x14ac:dyDescent="0.3">
      <c r="B3334" t="s">
        <v>5345</v>
      </c>
      <c r="C3334">
        <v>512409</v>
      </c>
      <c r="D3334" t="s">
        <v>496</v>
      </c>
      <c r="E3334" t="s">
        <v>513</v>
      </c>
    </row>
    <row r="3335" spans="2:5" x14ac:dyDescent="0.3">
      <c r="B3335" t="s">
        <v>5346</v>
      </c>
      <c r="C3335" t="s">
        <v>496</v>
      </c>
      <c r="D3335" t="s">
        <v>5347</v>
      </c>
      <c r="E3335" t="s">
        <v>507</v>
      </c>
    </row>
    <row r="3336" spans="2:5" x14ac:dyDescent="0.3">
      <c r="B3336" t="s">
        <v>5348</v>
      </c>
      <c r="C3336">
        <v>500354</v>
      </c>
      <c r="D3336" t="s">
        <v>5349</v>
      </c>
      <c r="E3336" t="s">
        <v>1195</v>
      </c>
    </row>
    <row r="3337" spans="2:5" x14ac:dyDescent="0.3">
      <c r="B3337" t="s">
        <v>5350</v>
      </c>
      <c r="C3337">
        <v>532665</v>
      </c>
      <c r="D3337" t="s">
        <v>5351</v>
      </c>
      <c r="E3337" t="s">
        <v>511</v>
      </c>
    </row>
    <row r="3338" spans="2:5" x14ac:dyDescent="0.3">
      <c r="B3338" t="s">
        <v>5352</v>
      </c>
      <c r="C3338">
        <v>500355</v>
      </c>
      <c r="D3338" t="s">
        <v>5353</v>
      </c>
      <c r="E3338" t="s">
        <v>640</v>
      </c>
    </row>
    <row r="3339" spans="2:5" x14ac:dyDescent="0.3">
      <c r="B3339" t="s">
        <v>5354</v>
      </c>
      <c r="C3339">
        <v>500355</v>
      </c>
      <c r="D3339" t="s">
        <v>5353</v>
      </c>
      <c r="E3339" t="s">
        <v>640</v>
      </c>
    </row>
    <row r="3340" spans="2:5" x14ac:dyDescent="0.3">
      <c r="B3340" t="s">
        <v>5355</v>
      </c>
      <c r="C3340">
        <v>534734</v>
      </c>
      <c r="D3340" t="s">
        <v>496</v>
      </c>
      <c r="E3340" t="s">
        <v>656</v>
      </c>
    </row>
    <row r="3341" spans="2:5" x14ac:dyDescent="0.3">
      <c r="B3341" t="s">
        <v>5356</v>
      </c>
      <c r="C3341">
        <v>522281</v>
      </c>
      <c r="D3341" t="s">
        <v>496</v>
      </c>
      <c r="E3341" t="s">
        <v>794</v>
      </c>
    </row>
    <row r="3342" spans="2:5" x14ac:dyDescent="0.3">
      <c r="B3342" t="s">
        <v>5357</v>
      </c>
      <c r="C3342">
        <v>500357</v>
      </c>
      <c r="D3342" t="s">
        <v>496</v>
      </c>
      <c r="E3342" t="s">
        <v>490</v>
      </c>
    </row>
    <row r="3343" spans="2:5" x14ac:dyDescent="0.3">
      <c r="B3343" t="s">
        <v>5358</v>
      </c>
      <c r="C3343">
        <v>500358</v>
      </c>
      <c r="D3343" t="s">
        <v>496</v>
      </c>
      <c r="E3343" t="s">
        <v>513</v>
      </c>
    </row>
    <row r="3344" spans="2:5" x14ac:dyDescent="0.3">
      <c r="B3344" t="s">
        <v>5359</v>
      </c>
      <c r="C3344">
        <v>524037</v>
      </c>
      <c r="D3344" t="s">
        <v>496</v>
      </c>
      <c r="E3344" t="s">
        <v>1004</v>
      </c>
    </row>
    <row r="3345" spans="2:5" x14ac:dyDescent="0.3">
      <c r="B3345" t="s">
        <v>5360</v>
      </c>
      <c r="C3345">
        <v>502587</v>
      </c>
      <c r="D3345" t="s">
        <v>496</v>
      </c>
      <c r="E3345" t="s">
        <v>490</v>
      </c>
    </row>
    <row r="3346" spans="2:5" x14ac:dyDescent="0.3">
      <c r="B3346" t="s">
        <v>5361</v>
      </c>
      <c r="C3346">
        <v>539309</v>
      </c>
      <c r="D3346" t="s">
        <v>5362</v>
      </c>
      <c r="E3346" t="s">
        <v>819</v>
      </c>
    </row>
    <row r="3347" spans="2:5" x14ac:dyDescent="0.3">
      <c r="B3347" t="s">
        <v>5363</v>
      </c>
      <c r="C3347">
        <v>523289</v>
      </c>
      <c r="D3347" t="s">
        <v>496</v>
      </c>
      <c r="E3347" t="s">
        <v>518</v>
      </c>
    </row>
    <row r="3348" spans="2:5" x14ac:dyDescent="0.3">
      <c r="B3348" t="s">
        <v>5364</v>
      </c>
      <c r="C3348">
        <v>515127</v>
      </c>
      <c r="D3348" t="s">
        <v>496</v>
      </c>
      <c r="E3348" t="s">
        <v>518</v>
      </c>
    </row>
    <row r="3349" spans="2:5" x14ac:dyDescent="0.3">
      <c r="B3349" t="s">
        <v>5365</v>
      </c>
      <c r="C3349">
        <v>538540</v>
      </c>
      <c r="D3349" t="s">
        <v>496</v>
      </c>
      <c r="E3349" t="s">
        <v>513</v>
      </c>
    </row>
    <row r="3350" spans="2:5" x14ac:dyDescent="0.3">
      <c r="B3350" t="s">
        <v>5366</v>
      </c>
      <c r="C3350">
        <v>532369</v>
      </c>
      <c r="D3350" t="s">
        <v>5367</v>
      </c>
      <c r="E3350" t="s">
        <v>1024</v>
      </c>
    </row>
    <row r="3351" spans="2:5" x14ac:dyDescent="0.3">
      <c r="B3351" t="s">
        <v>5368</v>
      </c>
      <c r="C3351">
        <v>532370</v>
      </c>
      <c r="D3351" t="s">
        <v>5369</v>
      </c>
      <c r="E3351" t="s">
        <v>482</v>
      </c>
    </row>
    <row r="3352" spans="2:5" x14ac:dyDescent="0.3">
      <c r="B3352" t="s">
        <v>5370</v>
      </c>
      <c r="C3352">
        <v>514223</v>
      </c>
      <c r="D3352" t="s">
        <v>5371</v>
      </c>
      <c r="E3352" t="s">
        <v>518</v>
      </c>
    </row>
    <row r="3353" spans="2:5" x14ac:dyDescent="0.3">
      <c r="B3353" t="s">
        <v>5372</v>
      </c>
      <c r="C3353">
        <v>530951</v>
      </c>
      <c r="D3353" t="s">
        <v>496</v>
      </c>
      <c r="E3353" t="s">
        <v>589</v>
      </c>
    </row>
    <row r="3354" spans="2:5" x14ac:dyDescent="0.3">
      <c r="B3354" t="s">
        <v>5373</v>
      </c>
      <c r="C3354">
        <v>532527</v>
      </c>
      <c r="D3354" t="s">
        <v>5374</v>
      </c>
      <c r="E3354" t="s">
        <v>1416</v>
      </c>
    </row>
    <row r="3355" spans="2:5" x14ac:dyDescent="0.3">
      <c r="B3355" t="s">
        <v>5375</v>
      </c>
      <c r="C3355">
        <v>533262</v>
      </c>
      <c r="D3355" t="s">
        <v>5376</v>
      </c>
      <c r="E3355" t="s">
        <v>894</v>
      </c>
    </row>
    <row r="3356" spans="2:5" x14ac:dyDescent="0.3">
      <c r="B3356" t="s">
        <v>5377</v>
      </c>
      <c r="C3356">
        <v>532690</v>
      </c>
      <c r="D3356" t="s">
        <v>5378</v>
      </c>
      <c r="E3356" t="s">
        <v>528</v>
      </c>
    </row>
    <row r="3357" spans="2:5" x14ac:dyDescent="0.3">
      <c r="B3357" t="s">
        <v>5379</v>
      </c>
      <c r="C3357">
        <v>530925</v>
      </c>
      <c r="D3357" t="s">
        <v>496</v>
      </c>
      <c r="E3357" t="s">
        <v>513</v>
      </c>
    </row>
    <row r="3358" spans="2:5" x14ac:dyDescent="0.3">
      <c r="B3358" t="s">
        <v>5380</v>
      </c>
      <c r="C3358">
        <v>507490</v>
      </c>
      <c r="D3358" t="s">
        <v>5381</v>
      </c>
      <c r="E3358" t="s">
        <v>1195</v>
      </c>
    </row>
    <row r="3359" spans="2:5" x14ac:dyDescent="0.3">
      <c r="B3359" t="s">
        <v>5382</v>
      </c>
      <c r="C3359">
        <v>531228</v>
      </c>
      <c r="D3359" t="s">
        <v>496</v>
      </c>
      <c r="E3359" t="s">
        <v>513</v>
      </c>
    </row>
    <row r="3360" spans="2:5" x14ac:dyDescent="0.3">
      <c r="B3360" t="s">
        <v>5383</v>
      </c>
      <c r="C3360">
        <v>532987</v>
      </c>
      <c r="D3360" t="s">
        <v>5384</v>
      </c>
      <c r="E3360" t="s">
        <v>851</v>
      </c>
    </row>
    <row r="3361" spans="2:5" x14ac:dyDescent="0.3">
      <c r="B3361" t="s">
        <v>5385</v>
      </c>
      <c r="C3361">
        <v>532988</v>
      </c>
      <c r="D3361" t="s">
        <v>5386</v>
      </c>
      <c r="E3361" t="s">
        <v>851</v>
      </c>
    </row>
    <row r="3362" spans="2:5" x14ac:dyDescent="0.3">
      <c r="B3362" t="s">
        <v>5387</v>
      </c>
      <c r="C3362">
        <v>505800</v>
      </c>
      <c r="D3362" t="s">
        <v>5388</v>
      </c>
      <c r="E3362" t="s">
        <v>851</v>
      </c>
    </row>
    <row r="3363" spans="2:5" x14ac:dyDescent="0.3">
      <c r="B3363" t="s">
        <v>5389</v>
      </c>
      <c r="C3363">
        <v>532661</v>
      </c>
      <c r="D3363" t="s">
        <v>5390</v>
      </c>
      <c r="E3363" t="s">
        <v>851</v>
      </c>
    </row>
    <row r="3364" spans="2:5" x14ac:dyDescent="0.3">
      <c r="B3364" t="s">
        <v>5391</v>
      </c>
      <c r="C3364">
        <v>541945</v>
      </c>
      <c r="D3364" t="s">
        <v>496</v>
      </c>
      <c r="E3364" t="s">
        <v>894</v>
      </c>
    </row>
    <row r="3365" spans="2:5" x14ac:dyDescent="0.3">
      <c r="B3365" t="s">
        <v>5392</v>
      </c>
      <c r="C3365">
        <v>531583</v>
      </c>
      <c r="D3365" t="s">
        <v>496</v>
      </c>
      <c r="E3365" t="s">
        <v>513</v>
      </c>
    </row>
    <row r="3366" spans="2:5" x14ac:dyDescent="0.3">
      <c r="B3366" t="s">
        <v>5393</v>
      </c>
      <c r="C3366">
        <v>500360</v>
      </c>
      <c r="D3366" t="s">
        <v>496</v>
      </c>
      <c r="E3366" t="s">
        <v>504</v>
      </c>
    </row>
    <row r="3367" spans="2:5" x14ac:dyDescent="0.3">
      <c r="B3367" t="s">
        <v>5394</v>
      </c>
      <c r="C3367">
        <v>501351</v>
      </c>
      <c r="D3367" t="s">
        <v>496</v>
      </c>
      <c r="E3367" t="s">
        <v>917</v>
      </c>
    </row>
    <row r="3368" spans="2:5" x14ac:dyDescent="0.3">
      <c r="B3368" t="s">
        <v>5395</v>
      </c>
      <c r="C3368">
        <v>507966</v>
      </c>
      <c r="D3368" t="s">
        <v>496</v>
      </c>
      <c r="E3368" t="s">
        <v>697</v>
      </c>
    </row>
    <row r="3369" spans="2:5" x14ac:dyDescent="0.3">
      <c r="B3369" t="s">
        <v>5396</v>
      </c>
      <c r="C3369">
        <v>522207</v>
      </c>
      <c r="D3369" t="s">
        <v>496</v>
      </c>
      <c r="E3369" t="s">
        <v>851</v>
      </c>
    </row>
    <row r="3370" spans="2:5" x14ac:dyDescent="0.3">
      <c r="B3370" t="s">
        <v>5397</v>
      </c>
      <c r="C3370">
        <v>522207</v>
      </c>
      <c r="D3370" t="s">
        <v>496</v>
      </c>
      <c r="E3370" t="s">
        <v>851</v>
      </c>
    </row>
    <row r="3371" spans="2:5" x14ac:dyDescent="0.3">
      <c r="B3371" t="s">
        <v>5398</v>
      </c>
      <c r="C3371">
        <v>524230</v>
      </c>
      <c r="D3371" t="s">
        <v>5399</v>
      </c>
      <c r="E3371" t="s">
        <v>1004</v>
      </c>
    </row>
    <row r="3372" spans="2:5" x14ac:dyDescent="0.3">
      <c r="B3372" t="s">
        <v>5400</v>
      </c>
      <c r="C3372">
        <v>531233</v>
      </c>
      <c r="D3372" t="s">
        <v>496</v>
      </c>
      <c r="E3372" t="s">
        <v>681</v>
      </c>
    </row>
    <row r="3373" spans="2:5" x14ac:dyDescent="0.3">
      <c r="B3373" t="s">
        <v>5401</v>
      </c>
      <c r="C3373">
        <v>507649</v>
      </c>
      <c r="D3373" t="s">
        <v>496</v>
      </c>
      <c r="E3373" t="s">
        <v>745</v>
      </c>
    </row>
    <row r="3374" spans="2:5" x14ac:dyDescent="0.3">
      <c r="B3374" t="s">
        <v>5402</v>
      </c>
      <c r="C3374">
        <v>532918</v>
      </c>
      <c r="D3374" t="s">
        <v>496</v>
      </c>
      <c r="E3374" t="s">
        <v>819</v>
      </c>
    </row>
    <row r="3375" spans="2:5" x14ac:dyDescent="0.3">
      <c r="B3375" t="s">
        <v>5403</v>
      </c>
      <c r="C3375">
        <v>524610</v>
      </c>
      <c r="D3375" t="s">
        <v>496</v>
      </c>
      <c r="E3375" t="s">
        <v>656</v>
      </c>
    </row>
    <row r="3376" spans="2:5" x14ac:dyDescent="0.3">
      <c r="B3376" t="s">
        <v>5404</v>
      </c>
      <c r="C3376">
        <v>540796</v>
      </c>
      <c r="D3376" t="s">
        <v>496</v>
      </c>
      <c r="E3376" t="s">
        <v>582</v>
      </c>
    </row>
    <row r="3377" spans="2:5" x14ac:dyDescent="0.3">
      <c r="B3377" t="s">
        <v>5405</v>
      </c>
      <c r="C3377">
        <v>520111</v>
      </c>
      <c r="D3377" t="s">
        <v>5406</v>
      </c>
      <c r="E3377" t="s">
        <v>894</v>
      </c>
    </row>
    <row r="3378" spans="2:5" x14ac:dyDescent="0.3">
      <c r="B3378" t="s">
        <v>5407</v>
      </c>
      <c r="C3378">
        <v>534597</v>
      </c>
      <c r="D3378" t="s">
        <v>5408</v>
      </c>
      <c r="E3378" t="s">
        <v>635</v>
      </c>
    </row>
    <row r="3379" spans="2:5" x14ac:dyDescent="0.3">
      <c r="B3379" t="s">
        <v>5409</v>
      </c>
      <c r="C3379">
        <v>533122</v>
      </c>
      <c r="D3379" t="s">
        <v>5410</v>
      </c>
      <c r="E3379" t="s">
        <v>635</v>
      </c>
    </row>
    <row r="3380" spans="2:5" x14ac:dyDescent="0.3">
      <c r="B3380" t="s">
        <v>5411</v>
      </c>
      <c r="C3380">
        <v>537840</v>
      </c>
      <c r="D3380" t="s">
        <v>496</v>
      </c>
      <c r="E3380" t="s">
        <v>894</v>
      </c>
    </row>
    <row r="3381" spans="2:5" x14ac:dyDescent="0.3">
      <c r="B3381" t="s">
        <v>5412</v>
      </c>
      <c r="C3381">
        <v>507300</v>
      </c>
      <c r="D3381" t="s">
        <v>496</v>
      </c>
      <c r="E3381" t="s">
        <v>1195</v>
      </c>
    </row>
    <row r="3382" spans="2:5" x14ac:dyDescent="0.3">
      <c r="B3382" t="s">
        <v>5413</v>
      </c>
      <c r="C3382">
        <v>533294</v>
      </c>
      <c r="D3382" t="s">
        <v>5414</v>
      </c>
      <c r="E3382" t="s">
        <v>1128</v>
      </c>
    </row>
    <row r="3383" spans="2:5" x14ac:dyDescent="0.3">
      <c r="B3383" t="s">
        <v>5415</v>
      </c>
      <c r="C3383">
        <v>526095</v>
      </c>
      <c r="D3383" t="s">
        <v>496</v>
      </c>
      <c r="E3383" t="s">
        <v>1024</v>
      </c>
    </row>
    <row r="3384" spans="2:5" x14ac:dyDescent="0.3">
      <c r="B3384" t="s">
        <v>5416</v>
      </c>
      <c r="C3384">
        <v>504341</v>
      </c>
      <c r="D3384" t="s">
        <v>496</v>
      </c>
      <c r="E3384" t="s">
        <v>479</v>
      </c>
    </row>
    <row r="3385" spans="2:5" x14ac:dyDescent="0.3">
      <c r="B3385" t="s">
        <v>5417</v>
      </c>
      <c r="C3385">
        <v>541634</v>
      </c>
      <c r="D3385" t="s">
        <v>496</v>
      </c>
      <c r="E3385" t="s">
        <v>1024</v>
      </c>
    </row>
    <row r="3386" spans="2:5" x14ac:dyDescent="0.3">
      <c r="B3386" t="s">
        <v>5418</v>
      </c>
      <c r="C3386">
        <v>531207</v>
      </c>
      <c r="D3386" t="s">
        <v>496</v>
      </c>
      <c r="E3386" t="s">
        <v>534</v>
      </c>
    </row>
    <row r="3387" spans="2:5" x14ac:dyDescent="0.3">
      <c r="B3387" t="s">
        <v>5419</v>
      </c>
      <c r="C3387">
        <v>500330</v>
      </c>
      <c r="D3387" t="s">
        <v>5420</v>
      </c>
      <c r="E3387" t="s">
        <v>511</v>
      </c>
    </row>
    <row r="3388" spans="2:5" x14ac:dyDescent="0.3">
      <c r="B3388" t="s">
        <v>5421</v>
      </c>
      <c r="C3388">
        <v>540065</v>
      </c>
      <c r="D3388" t="s">
        <v>5422</v>
      </c>
      <c r="E3388" t="s">
        <v>814</v>
      </c>
    </row>
    <row r="3389" spans="2:5" x14ac:dyDescent="0.3">
      <c r="B3389" t="s">
        <v>5423</v>
      </c>
      <c r="C3389">
        <v>531825</v>
      </c>
      <c r="D3389" t="s">
        <v>496</v>
      </c>
      <c r="E3389" t="s">
        <v>482</v>
      </c>
    </row>
    <row r="3390" spans="2:5" x14ac:dyDescent="0.3">
      <c r="B3390" t="s">
        <v>5424</v>
      </c>
      <c r="C3390">
        <v>537254</v>
      </c>
      <c r="D3390" t="s">
        <v>496</v>
      </c>
      <c r="E3390" t="s">
        <v>518</v>
      </c>
    </row>
    <row r="3391" spans="2:5" x14ac:dyDescent="0.3">
      <c r="B3391" t="s">
        <v>5425</v>
      </c>
      <c r="C3391">
        <v>534708</v>
      </c>
      <c r="D3391" t="s">
        <v>496</v>
      </c>
      <c r="E3391" t="s">
        <v>665</v>
      </c>
    </row>
    <row r="3392" spans="2:5" x14ac:dyDescent="0.3">
      <c r="B3392" t="s">
        <v>5426</v>
      </c>
      <c r="C3392">
        <v>533608</v>
      </c>
      <c r="D3392" t="s">
        <v>496</v>
      </c>
      <c r="E3392" t="s">
        <v>616</v>
      </c>
    </row>
    <row r="3393" spans="2:5" x14ac:dyDescent="0.3">
      <c r="B3393" t="s">
        <v>5427</v>
      </c>
      <c r="C3393">
        <v>533285</v>
      </c>
      <c r="D3393" t="s">
        <v>496</v>
      </c>
      <c r="E3393" t="s">
        <v>582</v>
      </c>
    </row>
    <row r="3394" spans="2:5" x14ac:dyDescent="0.3">
      <c r="B3394" t="s">
        <v>5428</v>
      </c>
      <c r="C3394">
        <v>539691</v>
      </c>
      <c r="D3394" t="s">
        <v>496</v>
      </c>
      <c r="E3394" t="s">
        <v>518</v>
      </c>
    </row>
    <row r="3395" spans="2:5" x14ac:dyDescent="0.3">
      <c r="B3395" t="s">
        <v>5429</v>
      </c>
      <c r="C3395">
        <v>530053</v>
      </c>
      <c r="D3395" t="s">
        <v>496</v>
      </c>
      <c r="E3395" t="s">
        <v>582</v>
      </c>
    </row>
    <row r="3396" spans="2:5" x14ac:dyDescent="0.3">
      <c r="B3396" t="s">
        <v>5430</v>
      </c>
      <c r="C3396">
        <v>513558</v>
      </c>
      <c r="D3396" t="s">
        <v>496</v>
      </c>
      <c r="E3396" t="s">
        <v>528</v>
      </c>
    </row>
    <row r="3397" spans="2:5" x14ac:dyDescent="0.3">
      <c r="B3397" t="s">
        <v>5431</v>
      </c>
      <c r="C3397">
        <v>538611</v>
      </c>
      <c r="D3397" t="s">
        <v>496</v>
      </c>
      <c r="E3397" t="s">
        <v>479</v>
      </c>
    </row>
    <row r="3398" spans="2:5" x14ac:dyDescent="0.3">
      <c r="B3398" t="s">
        <v>5432</v>
      </c>
      <c r="C3398">
        <v>532955</v>
      </c>
      <c r="D3398" t="s">
        <v>5433</v>
      </c>
      <c r="E3398" t="s">
        <v>513</v>
      </c>
    </row>
    <row r="3399" spans="2:5" x14ac:dyDescent="0.3">
      <c r="B3399" t="s">
        <v>5434</v>
      </c>
      <c r="C3399">
        <v>523650</v>
      </c>
      <c r="D3399" t="s">
        <v>496</v>
      </c>
      <c r="E3399" t="s">
        <v>504</v>
      </c>
    </row>
    <row r="3400" spans="2:5" x14ac:dyDescent="0.3">
      <c r="B3400" t="s">
        <v>5435</v>
      </c>
      <c r="C3400">
        <v>532805</v>
      </c>
      <c r="D3400" t="s">
        <v>5436</v>
      </c>
      <c r="E3400" t="s">
        <v>518</v>
      </c>
    </row>
    <row r="3401" spans="2:5" x14ac:dyDescent="0.3">
      <c r="B3401" t="s">
        <v>5437</v>
      </c>
      <c r="C3401">
        <v>532805</v>
      </c>
      <c r="D3401" t="s">
        <v>5436</v>
      </c>
      <c r="E3401" t="s">
        <v>518</v>
      </c>
    </row>
    <row r="3402" spans="2:5" x14ac:dyDescent="0.3">
      <c r="B3402" t="s">
        <v>5438</v>
      </c>
      <c r="C3402">
        <v>532884</v>
      </c>
      <c r="D3402" t="s">
        <v>5439</v>
      </c>
      <c r="E3402" t="s">
        <v>1532</v>
      </c>
    </row>
    <row r="3403" spans="2:5" x14ac:dyDescent="0.3">
      <c r="B3403" t="s">
        <v>5440</v>
      </c>
      <c r="C3403">
        <v>530815</v>
      </c>
      <c r="D3403" t="s">
        <v>496</v>
      </c>
      <c r="E3403" t="s">
        <v>544</v>
      </c>
    </row>
    <row r="3404" spans="2:5" x14ac:dyDescent="0.3">
      <c r="B3404" t="s">
        <v>5441</v>
      </c>
      <c r="C3404">
        <v>531033</v>
      </c>
      <c r="D3404" t="s">
        <v>496</v>
      </c>
      <c r="E3404" t="s">
        <v>513</v>
      </c>
    </row>
    <row r="3405" spans="2:5" x14ac:dyDescent="0.3">
      <c r="B3405" t="s">
        <v>5442</v>
      </c>
      <c r="C3405">
        <v>530807</v>
      </c>
      <c r="D3405" t="s">
        <v>496</v>
      </c>
      <c r="E3405" t="s">
        <v>582</v>
      </c>
    </row>
    <row r="3406" spans="2:5" x14ac:dyDescent="0.3">
      <c r="B3406" t="s">
        <v>5443</v>
      </c>
      <c r="C3406">
        <v>515018</v>
      </c>
      <c r="D3406" t="s">
        <v>5444</v>
      </c>
      <c r="E3406" t="s">
        <v>773</v>
      </c>
    </row>
    <row r="3407" spans="2:5" x14ac:dyDescent="0.3">
      <c r="B3407" t="s">
        <v>5445</v>
      </c>
      <c r="C3407">
        <v>540175</v>
      </c>
      <c r="D3407" t="s">
        <v>496</v>
      </c>
      <c r="E3407" t="s">
        <v>479</v>
      </c>
    </row>
    <row r="3408" spans="2:5" x14ac:dyDescent="0.3">
      <c r="B3408" t="s">
        <v>5446</v>
      </c>
      <c r="C3408">
        <v>511585</v>
      </c>
      <c r="D3408" t="s">
        <v>496</v>
      </c>
      <c r="E3408" t="s">
        <v>513</v>
      </c>
    </row>
    <row r="3409" spans="2:5" x14ac:dyDescent="0.3">
      <c r="B3409" t="s">
        <v>5447</v>
      </c>
      <c r="C3409">
        <v>512624</v>
      </c>
      <c r="D3409" t="s">
        <v>496</v>
      </c>
      <c r="E3409" t="s">
        <v>518</v>
      </c>
    </row>
    <row r="3410" spans="2:5" x14ac:dyDescent="0.3">
      <c r="B3410" t="s">
        <v>5448</v>
      </c>
      <c r="C3410">
        <v>505817</v>
      </c>
      <c r="D3410" t="s">
        <v>496</v>
      </c>
      <c r="E3410" t="s">
        <v>851</v>
      </c>
    </row>
    <row r="3411" spans="2:5" x14ac:dyDescent="0.3">
      <c r="B3411" t="s">
        <v>5449</v>
      </c>
      <c r="C3411">
        <v>505817</v>
      </c>
      <c r="D3411" t="s">
        <v>496</v>
      </c>
      <c r="E3411" t="s">
        <v>851</v>
      </c>
    </row>
    <row r="3412" spans="2:5" x14ac:dyDescent="0.3">
      <c r="B3412" t="s">
        <v>5450</v>
      </c>
      <c r="C3412">
        <v>526075</v>
      </c>
      <c r="D3412" t="s">
        <v>496</v>
      </c>
      <c r="E3412" t="s">
        <v>534</v>
      </c>
    </row>
    <row r="3413" spans="2:5" x14ac:dyDescent="0.3">
      <c r="B3413" t="s">
        <v>5451</v>
      </c>
      <c r="C3413">
        <v>530517</v>
      </c>
      <c r="D3413" t="s">
        <v>5452</v>
      </c>
      <c r="E3413" t="s">
        <v>922</v>
      </c>
    </row>
    <row r="3414" spans="2:5" x14ac:dyDescent="0.3">
      <c r="B3414" t="s">
        <v>5453</v>
      </c>
      <c r="C3414" t="s">
        <v>496</v>
      </c>
      <c r="D3414" t="s">
        <v>5454</v>
      </c>
      <c r="E3414" t="s">
        <v>507</v>
      </c>
    </row>
    <row r="3415" spans="2:5" x14ac:dyDescent="0.3">
      <c r="B3415" t="s">
        <v>5455</v>
      </c>
      <c r="C3415">
        <v>532124</v>
      </c>
      <c r="D3415" t="s">
        <v>496</v>
      </c>
      <c r="E3415" t="s">
        <v>697</v>
      </c>
    </row>
    <row r="3416" spans="2:5" x14ac:dyDescent="0.3">
      <c r="B3416" t="s">
        <v>5456</v>
      </c>
      <c r="C3416">
        <v>532124</v>
      </c>
      <c r="D3416" t="s">
        <v>496</v>
      </c>
      <c r="E3416" t="s">
        <v>697</v>
      </c>
    </row>
    <row r="3417" spans="2:5" x14ac:dyDescent="0.3">
      <c r="B3417" t="s">
        <v>5457</v>
      </c>
      <c r="C3417">
        <v>500111</v>
      </c>
      <c r="D3417" t="s">
        <v>5458</v>
      </c>
      <c r="E3417" t="s">
        <v>513</v>
      </c>
    </row>
    <row r="3418" spans="2:5" x14ac:dyDescent="0.3">
      <c r="B3418" t="s">
        <v>5459</v>
      </c>
      <c r="C3418">
        <v>503162</v>
      </c>
      <c r="D3418" t="s">
        <v>496</v>
      </c>
      <c r="E3418" t="s">
        <v>511</v>
      </c>
    </row>
    <row r="3419" spans="2:5" x14ac:dyDescent="0.3">
      <c r="B3419" t="s">
        <v>5460</v>
      </c>
      <c r="C3419">
        <v>532712</v>
      </c>
      <c r="D3419" t="s">
        <v>5461</v>
      </c>
      <c r="E3419" t="s">
        <v>1440</v>
      </c>
    </row>
    <row r="3420" spans="2:5" x14ac:dyDescent="0.3">
      <c r="B3420" t="s">
        <v>5462</v>
      </c>
      <c r="C3420">
        <v>590106</v>
      </c>
      <c r="D3420" t="s">
        <v>5463</v>
      </c>
      <c r="E3420" t="s">
        <v>479</v>
      </c>
    </row>
    <row r="3421" spans="2:5" x14ac:dyDescent="0.3">
      <c r="B3421" t="s">
        <v>5464</v>
      </c>
      <c r="C3421">
        <v>590095</v>
      </c>
      <c r="D3421" t="s">
        <v>5465</v>
      </c>
      <c r="E3421" t="s">
        <v>479</v>
      </c>
    </row>
    <row r="3422" spans="2:5" x14ac:dyDescent="0.3">
      <c r="B3422" t="s">
        <v>5466</v>
      </c>
      <c r="C3422">
        <v>590113</v>
      </c>
      <c r="D3422" t="s">
        <v>5467</v>
      </c>
      <c r="E3422" t="s">
        <v>479</v>
      </c>
    </row>
    <row r="3423" spans="2:5" x14ac:dyDescent="0.3">
      <c r="B3423" t="s">
        <v>5468</v>
      </c>
      <c r="C3423">
        <v>590104</v>
      </c>
      <c r="D3423" t="s">
        <v>5469</v>
      </c>
      <c r="E3423" t="s">
        <v>479</v>
      </c>
    </row>
    <row r="3424" spans="2:5" x14ac:dyDescent="0.3">
      <c r="B3424" t="s">
        <v>5470</v>
      </c>
      <c r="C3424">
        <v>590103</v>
      </c>
      <c r="D3424" t="s">
        <v>5471</v>
      </c>
      <c r="E3424" t="s">
        <v>479</v>
      </c>
    </row>
    <row r="3425" spans="2:5" x14ac:dyDescent="0.3">
      <c r="B3425" t="s">
        <v>5472</v>
      </c>
      <c r="C3425">
        <v>590108</v>
      </c>
      <c r="D3425" t="s">
        <v>5473</v>
      </c>
      <c r="E3425" t="s">
        <v>479</v>
      </c>
    </row>
    <row r="3426" spans="2:5" x14ac:dyDescent="0.3">
      <c r="B3426" t="s">
        <v>5474</v>
      </c>
      <c r="C3426">
        <v>590109</v>
      </c>
      <c r="D3426" t="s">
        <v>5475</v>
      </c>
      <c r="E3426" t="s">
        <v>479</v>
      </c>
    </row>
    <row r="3427" spans="2:5" x14ac:dyDescent="0.3">
      <c r="B3427" t="s">
        <v>5476</v>
      </c>
      <c r="C3427">
        <v>540709</v>
      </c>
      <c r="D3427" t="s">
        <v>5477</v>
      </c>
      <c r="E3427" t="s">
        <v>554</v>
      </c>
    </row>
    <row r="3428" spans="2:5" x14ac:dyDescent="0.3">
      <c r="B3428" t="s">
        <v>5478</v>
      </c>
      <c r="C3428">
        <v>523445</v>
      </c>
      <c r="D3428" t="s">
        <v>5479</v>
      </c>
      <c r="E3428" t="s">
        <v>894</v>
      </c>
    </row>
    <row r="3429" spans="2:5" x14ac:dyDescent="0.3">
      <c r="B3429" t="s">
        <v>5480</v>
      </c>
      <c r="C3429">
        <v>500325</v>
      </c>
      <c r="D3429" t="s">
        <v>5481</v>
      </c>
      <c r="E3429" t="s">
        <v>627</v>
      </c>
    </row>
    <row r="3430" spans="2:5" x14ac:dyDescent="0.3">
      <c r="B3430" t="s">
        <v>5482</v>
      </c>
      <c r="C3430">
        <v>500390</v>
      </c>
      <c r="D3430" t="s">
        <v>5483</v>
      </c>
      <c r="E3430" t="s">
        <v>635</v>
      </c>
    </row>
    <row r="3431" spans="2:5" x14ac:dyDescent="0.3">
      <c r="B3431" t="s">
        <v>5484</v>
      </c>
      <c r="C3431">
        <v>533107</v>
      </c>
      <c r="D3431" t="s">
        <v>5485</v>
      </c>
      <c r="E3431" t="s">
        <v>969</v>
      </c>
    </row>
    <row r="3432" spans="2:5" x14ac:dyDescent="0.3">
      <c r="B3432" t="s">
        <v>5486</v>
      </c>
      <c r="C3432">
        <v>540767</v>
      </c>
      <c r="D3432" t="s">
        <v>5487</v>
      </c>
      <c r="E3432" t="s">
        <v>2902</v>
      </c>
    </row>
    <row r="3433" spans="2:5" x14ac:dyDescent="0.3">
      <c r="B3433" t="s">
        <v>5488</v>
      </c>
      <c r="C3433">
        <v>532939</v>
      </c>
      <c r="D3433" t="s">
        <v>5489</v>
      </c>
      <c r="E3433" t="s">
        <v>635</v>
      </c>
    </row>
    <row r="3434" spans="2:5" x14ac:dyDescent="0.3">
      <c r="B3434" t="s">
        <v>5490</v>
      </c>
      <c r="C3434">
        <v>511712</v>
      </c>
      <c r="D3434" t="s">
        <v>496</v>
      </c>
      <c r="E3434" t="s">
        <v>479</v>
      </c>
    </row>
    <row r="3435" spans="2:5" x14ac:dyDescent="0.3">
      <c r="B3435" t="s">
        <v>5491</v>
      </c>
      <c r="C3435">
        <v>539760</v>
      </c>
      <c r="D3435" t="s">
        <v>496</v>
      </c>
      <c r="E3435" t="s">
        <v>794</v>
      </c>
    </row>
    <row r="3436" spans="2:5" x14ac:dyDescent="0.3">
      <c r="B3436" t="s">
        <v>5492</v>
      </c>
      <c r="C3436">
        <v>532915</v>
      </c>
      <c r="D3436" t="s">
        <v>5493</v>
      </c>
      <c r="E3436" t="s">
        <v>479</v>
      </c>
    </row>
    <row r="3437" spans="2:5" x14ac:dyDescent="0.3">
      <c r="B3437" t="s">
        <v>5494</v>
      </c>
      <c r="C3437">
        <v>540426</v>
      </c>
      <c r="D3437" t="s">
        <v>496</v>
      </c>
      <c r="E3437" t="s">
        <v>582</v>
      </c>
    </row>
    <row r="3438" spans="2:5" x14ac:dyDescent="0.3">
      <c r="B3438" t="s">
        <v>5495</v>
      </c>
      <c r="C3438">
        <v>513043</v>
      </c>
      <c r="D3438" t="s">
        <v>496</v>
      </c>
      <c r="E3438" t="s">
        <v>819</v>
      </c>
    </row>
    <row r="3439" spans="2:5" x14ac:dyDescent="0.3">
      <c r="B3439" t="s">
        <v>5496</v>
      </c>
      <c r="C3439">
        <v>512487</v>
      </c>
      <c r="D3439" t="s">
        <v>496</v>
      </c>
      <c r="E3439" t="s">
        <v>518</v>
      </c>
    </row>
    <row r="3440" spans="2:5" x14ac:dyDescent="0.3">
      <c r="B3440" t="s">
        <v>5497</v>
      </c>
      <c r="C3440">
        <v>505658</v>
      </c>
      <c r="D3440" t="s">
        <v>496</v>
      </c>
      <c r="E3440" t="s">
        <v>504</v>
      </c>
    </row>
    <row r="3441" spans="2:5" x14ac:dyDescent="0.3">
      <c r="B3441" t="s">
        <v>5498</v>
      </c>
      <c r="C3441">
        <v>504360</v>
      </c>
      <c r="D3441" t="s">
        <v>496</v>
      </c>
      <c r="E3441" t="s">
        <v>518</v>
      </c>
    </row>
    <row r="3442" spans="2:5" x14ac:dyDescent="0.3">
      <c r="B3442" t="s">
        <v>5499</v>
      </c>
      <c r="C3442">
        <v>511149</v>
      </c>
      <c r="D3442" t="s">
        <v>496</v>
      </c>
      <c r="E3442" t="s">
        <v>917</v>
      </c>
    </row>
    <row r="3443" spans="2:5" x14ac:dyDescent="0.3">
      <c r="B3443" t="s">
        <v>5500</v>
      </c>
      <c r="C3443">
        <v>530919</v>
      </c>
      <c r="D3443" t="s">
        <v>5501</v>
      </c>
      <c r="E3443" t="s">
        <v>3835</v>
      </c>
    </row>
    <row r="3444" spans="2:5" x14ac:dyDescent="0.3">
      <c r="B3444" t="s">
        <v>5502</v>
      </c>
      <c r="C3444" t="s">
        <v>496</v>
      </c>
      <c r="D3444" t="s">
        <v>5503</v>
      </c>
      <c r="E3444" t="s">
        <v>3835</v>
      </c>
    </row>
    <row r="3445" spans="2:5" x14ac:dyDescent="0.3">
      <c r="B3445" t="s">
        <v>5504</v>
      </c>
      <c r="C3445">
        <v>532923</v>
      </c>
      <c r="D3445" t="s">
        <v>5505</v>
      </c>
      <c r="E3445" t="s">
        <v>610</v>
      </c>
    </row>
    <row r="3446" spans="2:5" x14ac:dyDescent="0.3">
      <c r="B3446" t="s">
        <v>5506</v>
      </c>
      <c r="C3446">
        <v>535322</v>
      </c>
      <c r="D3446" t="s">
        <v>5507</v>
      </c>
      <c r="E3446" t="s">
        <v>554</v>
      </c>
    </row>
    <row r="3447" spans="2:5" x14ac:dyDescent="0.3">
      <c r="B3447" t="s">
        <v>5508</v>
      </c>
      <c r="C3447">
        <v>532687</v>
      </c>
      <c r="D3447" t="s">
        <v>5509</v>
      </c>
      <c r="E3447" t="s">
        <v>2489</v>
      </c>
    </row>
    <row r="3448" spans="2:5" x14ac:dyDescent="0.3">
      <c r="B3448" t="s">
        <v>5510</v>
      </c>
      <c r="C3448">
        <v>532687</v>
      </c>
      <c r="D3448" t="s">
        <v>5509</v>
      </c>
      <c r="E3448" t="s">
        <v>2489</v>
      </c>
    </row>
    <row r="3449" spans="2:5" x14ac:dyDescent="0.3">
      <c r="B3449" t="s">
        <v>5511</v>
      </c>
      <c r="C3449">
        <v>524218</v>
      </c>
      <c r="D3449" t="s">
        <v>496</v>
      </c>
      <c r="E3449" t="s">
        <v>534</v>
      </c>
    </row>
    <row r="3450" spans="2:5" x14ac:dyDescent="0.3">
      <c r="B3450" t="s">
        <v>5512</v>
      </c>
      <c r="C3450">
        <v>505509</v>
      </c>
      <c r="D3450" t="s">
        <v>5513</v>
      </c>
      <c r="E3450" t="s">
        <v>616</v>
      </c>
    </row>
    <row r="3451" spans="2:5" x14ac:dyDescent="0.3">
      <c r="B3451" t="s">
        <v>5514</v>
      </c>
      <c r="C3451">
        <v>515085</v>
      </c>
      <c r="D3451" t="s">
        <v>496</v>
      </c>
      <c r="E3451" t="s">
        <v>773</v>
      </c>
    </row>
    <row r="3452" spans="2:5" x14ac:dyDescent="0.3">
      <c r="B3452" t="s">
        <v>5515</v>
      </c>
      <c r="C3452">
        <v>519191</v>
      </c>
      <c r="D3452" t="s">
        <v>5516</v>
      </c>
      <c r="E3452" t="s">
        <v>5517</v>
      </c>
    </row>
    <row r="3453" spans="2:5" x14ac:dyDescent="0.3">
      <c r="B3453" t="s">
        <v>5518</v>
      </c>
      <c r="C3453">
        <v>505368</v>
      </c>
      <c r="D3453" t="s">
        <v>5519</v>
      </c>
      <c r="E3453" t="s">
        <v>504</v>
      </c>
    </row>
    <row r="3454" spans="2:5" x14ac:dyDescent="0.3">
      <c r="B3454" t="s">
        <v>5520</v>
      </c>
      <c r="C3454">
        <v>531888</v>
      </c>
      <c r="D3454" t="s">
        <v>496</v>
      </c>
      <c r="E3454" t="s">
        <v>504</v>
      </c>
    </row>
    <row r="3455" spans="2:5" x14ac:dyDescent="0.3">
      <c r="B3455" t="s">
        <v>5521</v>
      </c>
      <c r="C3455">
        <v>539669</v>
      </c>
      <c r="D3455" t="s">
        <v>496</v>
      </c>
      <c r="E3455" t="s">
        <v>513</v>
      </c>
    </row>
    <row r="3456" spans="2:5" x14ac:dyDescent="0.3">
      <c r="B3456" t="s">
        <v>5522</v>
      </c>
      <c r="C3456">
        <v>531952</v>
      </c>
      <c r="D3456" t="s">
        <v>496</v>
      </c>
      <c r="E3456" t="s">
        <v>511</v>
      </c>
    </row>
    <row r="3457" spans="2:5" x14ac:dyDescent="0.3">
      <c r="B3457" t="s">
        <v>5523</v>
      </c>
      <c r="C3457">
        <v>530271</v>
      </c>
      <c r="D3457" t="s">
        <v>496</v>
      </c>
      <c r="E3457" t="s">
        <v>513</v>
      </c>
    </row>
    <row r="3458" spans="2:5" x14ac:dyDescent="0.3">
      <c r="B3458" t="s">
        <v>5524</v>
      </c>
      <c r="C3458">
        <v>532766</v>
      </c>
      <c r="D3458" t="s">
        <v>496</v>
      </c>
      <c r="E3458" t="s">
        <v>894</v>
      </c>
    </row>
    <row r="3459" spans="2:5" x14ac:dyDescent="0.3">
      <c r="B3459" t="s">
        <v>5525</v>
      </c>
      <c r="C3459">
        <v>539435</v>
      </c>
      <c r="D3459" t="s">
        <v>496</v>
      </c>
      <c r="E3459" t="s">
        <v>479</v>
      </c>
    </row>
    <row r="3460" spans="2:5" x14ac:dyDescent="0.3">
      <c r="B3460" t="s">
        <v>5526</v>
      </c>
      <c r="C3460">
        <v>519230</v>
      </c>
      <c r="D3460" t="s">
        <v>496</v>
      </c>
      <c r="E3460" t="s">
        <v>518</v>
      </c>
    </row>
    <row r="3461" spans="2:5" x14ac:dyDescent="0.3">
      <c r="B3461" t="s">
        <v>5527</v>
      </c>
      <c r="C3461">
        <v>520008</v>
      </c>
      <c r="D3461" t="s">
        <v>5528</v>
      </c>
      <c r="E3461" t="s">
        <v>851</v>
      </c>
    </row>
    <row r="3462" spans="2:5" x14ac:dyDescent="0.3">
      <c r="B3462" t="s">
        <v>5529</v>
      </c>
      <c r="C3462">
        <v>540590</v>
      </c>
      <c r="D3462" t="s">
        <v>496</v>
      </c>
      <c r="E3462" t="s">
        <v>826</v>
      </c>
    </row>
    <row r="3463" spans="2:5" x14ac:dyDescent="0.3">
      <c r="B3463" t="s">
        <v>5530</v>
      </c>
      <c r="C3463">
        <v>524480</v>
      </c>
      <c r="D3463" t="s">
        <v>496</v>
      </c>
      <c r="E3463" t="s">
        <v>544</v>
      </c>
    </row>
    <row r="3464" spans="2:5" x14ac:dyDescent="0.3">
      <c r="B3464" t="s">
        <v>5531</v>
      </c>
      <c r="C3464">
        <v>540082</v>
      </c>
      <c r="D3464" t="s">
        <v>496</v>
      </c>
      <c r="E3464" t="s">
        <v>819</v>
      </c>
    </row>
    <row r="3465" spans="2:5" x14ac:dyDescent="0.3">
      <c r="B3465" t="s">
        <v>5532</v>
      </c>
      <c r="C3465">
        <v>504365</v>
      </c>
      <c r="D3465" t="s">
        <v>496</v>
      </c>
      <c r="E3465" t="s">
        <v>479</v>
      </c>
    </row>
    <row r="3466" spans="2:5" x14ac:dyDescent="0.3">
      <c r="B3466" t="s">
        <v>5533</v>
      </c>
      <c r="C3466">
        <v>541151</v>
      </c>
      <c r="D3466" t="s">
        <v>496</v>
      </c>
      <c r="E3466" t="s">
        <v>580</v>
      </c>
    </row>
    <row r="3467" spans="2:5" x14ac:dyDescent="0.3">
      <c r="B3467" t="s">
        <v>5534</v>
      </c>
      <c r="C3467">
        <v>541151</v>
      </c>
      <c r="D3467" t="s">
        <v>496</v>
      </c>
      <c r="E3467" t="s">
        <v>580</v>
      </c>
    </row>
    <row r="3468" spans="2:5" x14ac:dyDescent="0.3">
      <c r="B3468" t="s">
        <v>5535</v>
      </c>
      <c r="C3468">
        <v>507508</v>
      </c>
      <c r="D3468" t="s">
        <v>496</v>
      </c>
      <c r="E3468" t="s">
        <v>1195</v>
      </c>
    </row>
    <row r="3469" spans="2:5" x14ac:dyDescent="0.3">
      <c r="B3469" t="s">
        <v>5536</v>
      </c>
      <c r="C3469">
        <v>530251</v>
      </c>
      <c r="D3469" t="s">
        <v>496</v>
      </c>
      <c r="E3469" t="s">
        <v>518</v>
      </c>
    </row>
    <row r="3470" spans="2:5" x14ac:dyDescent="0.3">
      <c r="B3470" t="s">
        <v>5537</v>
      </c>
      <c r="C3470">
        <v>514177</v>
      </c>
      <c r="D3470" t="s">
        <v>496</v>
      </c>
      <c r="E3470" t="s">
        <v>511</v>
      </c>
    </row>
    <row r="3471" spans="2:5" x14ac:dyDescent="0.3">
      <c r="B3471" t="s">
        <v>5538</v>
      </c>
      <c r="C3471">
        <v>531539</v>
      </c>
      <c r="D3471" t="s">
        <v>496</v>
      </c>
      <c r="E3471" t="s">
        <v>528</v>
      </c>
    </row>
    <row r="3472" spans="2:5" x14ac:dyDescent="0.3">
      <c r="B3472" t="s">
        <v>5539</v>
      </c>
      <c r="C3472">
        <v>526861</v>
      </c>
      <c r="D3472" t="s">
        <v>496</v>
      </c>
      <c r="E3472" t="s">
        <v>504</v>
      </c>
    </row>
    <row r="3473" spans="2:5" x14ac:dyDescent="0.3">
      <c r="B3473" t="s">
        <v>5540</v>
      </c>
      <c r="C3473">
        <v>523021</v>
      </c>
      <c r="D3473" t="s">
        <v>496</v>
      </c>
      <c r="E3473" t="s">
        <v>691</v>
      </c>
    </row>
    <row r="3474" spans="2:5" x14ac:dyDescent="0.3">
      <c r="B3474" t="s">
        <v>5541</v>
      </c>
      <c r="C3474">
        <v>526492</v>
      </c>
      <c r="D3474" t="s">
        <v>496</v>
      </c>
      <c r="E3474" t="s">
        <v>1416</v>
      </c>
    </row>
    <row r="3475" spans="2:5" x14ac:dyDescent="0.3">
      <c r="B3475" t="s">
        <v>5542</v>
      </c>
      <c r="C3475">
        <v>542383</v>
      </c>
      <c r="D3475" t="s">
        <v>5543</v>
      </c>
      <c r="E3475" t="s">
        <v>817</v>
      </c>
    </row>
    <row r="3476" spans="2:5" x14ac:dyDescent="0.3">
      <c r="B3476" t="s">
        <v>5544</v>
      </c>
      <c r="C3476">
        <v>541556</v>
      </c>
      <c r="D3476" t="s">
        <v>5545</v>
      </c>
      <c r="E3476" t="s">
        <v>894</v>
      </c>
    </row>
    <row r="3477" spans="2:5" x14ac:dyDescent="0.3">
      <c r="B3477" t="s">
        <v>5546</v>
      </c>
      <c r="C3477">
        <v>519097</v>
      </c>
      <c r="D3477" t="s">
        <v>496</v>
      </c>
      <c r="E3477" t="s">
        <v>544</v>
      </c>
    </row>
    <row r="3478" spans="2:5" x14ac:dyDescent="0.3">
      <c r="B3478" t="s">
        <v>5547</v>
      </c>
      <c r="C3478">
        <v>526407</v>
      </c>
      <c r="D3478" t="s">
        <v>496</v>
      </c>
      <c r="E3478" t="s">
        <v>610</v>
      </c>
    </row>
    <row r="3479" spans="2:5" x14ac:dyDescent="0.3">
      <c r="B3479" t="s">
        <v>5548</v>
      </c>
      <c r="C3479">
        <v>540843</v>
      </c>
      <c r="D3479" t="s">
        <v>496</v>
      </c>
      <c r="E3479" t="s">
        <v>3276</v>
      </c>
    </row>
    <row r="3480" spans="2:5" x14ac:dyDescent="0.3">
      <c r="B3480" t="s">
        <v>5549</v>
      </c>
      <c r="C3480" t="s">
        <v>496</v>
      </c>
      <c r="D3480" t="s">
        <v>5550</v>
      </c>
      <c r="E3480" t="s">
        <v>507</v>
      </c>
    </row>
    <row r="3481" spans="2:5" x14ac:dyDescent="0.3">
      <c r="B3481" t="s">
        <v>5551</v>
      </c>
      <c r="C3481">
        <v>512618</v>
      </c>
      <c r="D3481" t="s">
        <v>496</v>
      </c>
      <c r="E3481" t="s">
        <v>511</v>
      </c>
    </row>
    <row r="3482" spans="2:5" x14ac:dyDescent="0.3">
      <c r="B3482" t="s">
        <v>5552</v>
      </c>
      <c r="C3482">
        <v>540358</v>
      </c>
      <c r="D3482" t="s">
        <v>496</v>
      </c>
      <c r="E3482" t="s">
        <v>794</v>
      </c>
    </row>
    <row r="3483" spans="2:5" x14ac:dyDescent="0.3">
      <c r="B3483" t="s">
        <v>5553</v>
      </c>
      <c r="C3483">
        <v>500365</v>
      </c>
      <c r="D3483" t="s">
        <v>496</v>
      </c>
      <c r="E3483" t="s">
        <v>528</v>
      </c>
    </row>
    <row r="3484" spans="2:5" x14ac:dyDescent="0.3">
      <c r="B3484" t="s">
        <v>5554</v>
      </c>
      <c r="C3484">
        <v>531447</v>
      </c>
      <c r="D3484" t="s">
        <v>496</v>
      </c>
      <c r="E3484" t="s">
        <v>518</v>
      </c>
    </row>
    <row r="3485" spans="2:5" x14ac:dyDescent="0.3">
      <c r="B3485" t="s">
        <v>5555</v>
      </c>
      <c r="C3485">
        <v>531822</v>
      </c>
      <c r="D3485" t="s">
        <v>496</v>
      </c>
      <c r="E3485" t="s">
        <v>582</v>
      </c>
    </row>
    <row r="3486" spans="2:5" x14ac:dyDescent="0.3">
      <c r="B3486" t="s">
        <v>5556</v>
      </c>
      <c r="C3486">
        <v>532731</v>
      </c>
      <c r="D3486" t="s">
        <v>5557</v>
      </c>
      <c r="E3486" t="s">
        <v>528</v>
      </c>
    </row>
    <row r="3487" spans="2:5" x14ac:dyDescent="0.3">
      <c r="B3487" t="s">
        <v>5558</v>
      </c>
      <c r="C3487">
        <v>505807</v>
      </c>
      <c r="D3487" t="s">
        <v>496</v>
      </c>
      <c r="E3487" t="s">
        <v>1416</v>
      </c>
    </row>
    <row r="3488" spans="2:5" x14ac:dyDescent="0.3">
      <c r="B3488" t="s">
        <v>5559</v>
      </c>
      <c r="C3488">
        <v>502448</v>
      </c>
      <c r="D3488" t="s">
        <v>5560</v>
      </c>
      <c r="E3488" t="s">
        <v>691</v>
      </c>
    </row>
    <row r="3489" spans="2:5" x14ac:dyDescent="0.3">
      <c r="B3489" t="s">
        <v>5561</v>
      </c>
      <c r="C3489">
        <v>500366</v>
      </c>
      <c r="D3489" t="s">
        <v>5562</v>
      </c>
      <c r="E3489" t="s">
        <v>502</v>
      </c>
    </row>
    <row r="3490" spans="2:5" x14ac:dyDescent="0.3">
      <c r="B3490" t="s">
        <v>5563</v>
      </c>
      <c r="C3490">
        <v>500366</v>
      </c>
      <c r="D3490" t="s">
        <v>5562</v>
      </c>
      <c r="E3490" t="s">
        <v>502</v>
      </c>
    </row>
    <row r="3491" spans="2:5" x14ac:dyDescent="0.3">
      <c r="B3491" t="s">
        <v>5564</v>
      </c>
      <c r="C3491">
        <v>542145</v>
      </c>
      <c r="D3491" t="s">
        <v>496</v>
      </c>
      <c r="E3491" t="s">
        <v>518</v>
      </c>
    </row>
    <row r="3492" spans="2:5" x14ac:dyDescent="0.3">
      <c r="B3492" t="s">
        <v>5565</v>
      </c>
      <c r="C3492">
        <v>530991</v>
      </c>
      <c r="D3492" t="s">
        <v>496</v>
      </c>
      <c r="E3492" t="s">
        <v>534</v>
      </c>
    </row>
    <row r="3493" spans="2:5" x14ac:dyDescent="0.3">
      <c r="B3493" t="s">
        <v>5566</v>
      </c>
      <c r="C3493">
        <v>542599</v>
      </c>
      <c r="D3493" t="s">
        <v>5567</v>
      </c>
      <c r="E3493" t="s">
        <v>697</v>
      </c>
    </row>
    <row r="3494" spans="2:5" x14ac:dyDescent="0.3">
      <c r="B3494" t="s">
        <v>5568</v>
      </c>
      <c r="C3494">
        <v>531324</v>
      </c>
      <c r="D3494" t="s">
        <v>496</v>
      </c>
      <c r="E3494" t="s">
        <v>479</v>
      </c>
    </row>
    <row r="3495" spans="2:5" x14ac:dyDescent="0.3">
      <c r="B3495" t="s">
        <v>5569</v>
      </c>
      <c r="C3495">
        <v>533168</v>
      </c>
      <c r="D3495" t="s">
        <v>5570</v>
      </c>
      <c r="E3495" t="s">
        <v>903</v>
      </c>
    </row>
    <row r="3496" spans="2:5" x14ac:dyDescent="0.3">
      <c r="B3496" t="s">
        <v>5571</v>
      </c>
      <c r="C3496">
        <v>533168</v>
      </c>
      <c r="D3496" t="s">
        <v>5570</v>
      </c>
      <c r="E3496" t="s">
        <v>903</v>
      </c>
    </row>
    <row r="3497" spans="2:5" x14ac:dyDescent="0.3">
      <c r="B3497" t="s">
        <v>5572</v>
      </c>
      <c r="C3497">
        <v>517500</v>
      </c>
      <c r="D3497" t="s">
        <v>496</v>
      </c>
      <c r="E3497" t="s">
        <v>504</v>
      </c>
    </row>
    <row r="3498" spans="2:5" x14ac:dyDescent="0.3">
      <c r="B3498" t="s">
        <v>5573</v>
      </c>
      <c r="C3498">
        <v>539922</v>
      </c>
      <c r="D3498" t="s">
        <v>496</v>
      </c>
      <c r="E3498" t="s">
        <v>518</v>
      </c>
    </row>
    <row r="3499" spans="2:5" x14ac:dyDescent="0.3">
      <c r="B3499" t="s">
        <v>5574</v>
      </c>
      <c r="C3499">
        <v>539922</v>
      </c>
      <c r="D3499" t="s">
        <v>496</v>
      </c>
      <c r="E3499" t="s">
        <v>518</v>
      </c>
    </row>
    <row r="3500" spans="2:5" x14ac:dyDescent="0.3">
      <c r="B3500" t="s">
        <v>5575</v>
      </c>
      <c r="C3500">
        <v>526193</v>
      </c>
      <c r="D3500" t="s">
        <v>496</v>
      </c>
      <c r="E3500" t="s">
        <v>773</v>
      </c>
    </row>
    <row r="3501" spans="2:5" x14ac:dyDescent="0.3">
      <c r="B3501" t="s">
        <v>5576</v>
      </c>
      <c r="C3501">
        <v>512047</v>
      </c>
      <c r="D3501" t="s">
        <v>496</v>
      </c>
      <c r="E3501" t="s">
        <v>610</v>
      </c>
    </row>
    <row r="3502" spans="2:5" x14ac:dyDescent="0.3">
      <c r="B3502" t="s">
        <v>5577</v>
      </c>
      <c r="C3502">
        <v>532699</v>
      </c>
      <c r="D3502" t="s">
        <v>5578</v>
      </c>
      <c r="E3502" t="s">
        <v>697</v>
      </c>
    </row>
    <row r="3503" spans="2:5" x14ac:dyDescent="0.3">
      <c r="B3503" t="s">
        <v>5579</v>
      </c>
      <c r="C3503">
        <v>526640</v>
      </c>
      <c r="D3503" t="s">
        <v>496</v>
      </c>
      <c r="E3503" t="s">
        <v>697</v>
      </c>
    </row>
    <row r="3504" spans="2:5" x14ac:dyDescent="0.3">
      <c r="B3504" t="s">
        <v>5580</v>
      </c>
      <c r="C3504">
        <v>532983</v>
      </c>
      <c r="D3504" t="s">
        <v>5581</v>
      </c>
      <c r="E3504" t="s">
        <v>534</v>
      </c>
    </row>
    <row r="3505" spans="2:5" x14ac:dyDescent="0.3">
      <c r="B3505" t="s">
        <v>5582</v>
      </c>
      <c r="C3505">
        <v>511626</v>
      </c>
      <c r="D3505" t="s">
        <v>496</v>
      </c>
      <c r="E3505" t="s">
        <v>513</v>
      </c>
    </row>
    <row r="3506" spans="2:5" x14ac:dyDescent="0.3">
      <c r="B3506" t="s">
        <v>5583</v>
      </c>
      <c r="C3506">
        <v>530179</v>
      </c>
      <c r="D3506" t="s">
        <v>496</v>
      </c>
      <c r="E3506" t="s">
        <v>511</v>
      </c>
    </row>
    <row r="3507" spans="2:5" x14ac:dyDescent="0.3">
      <c r="B3507" t="s">
        <v>5584</v>
      </c>
      <c r="C3507">
        <v>539875</v>
      </c>
      <c r="D3507" t="s">
        <v>496</v>
      </c>
      <c r="E3507" t="s">
        <v>516</v>
      </c>
    </row>
    <row r="3508" spans="2:5" x14ac:dyDescent="0.3">
      <c r="B3508" t="s">
        <v>5585</v>
      </c>
      <c r="C3508">
        <v>500350</v>
      </c>
      <c r="D3508" t="s">
        <v>5586</v>
      </c>
      <c r="E3508" t="s">
        <v>511</v>
      </c>
    </row>
    <row r="3509" spans="2:5" x14ac:dyDescent="0.3">
      <c r="B3509" t="s">
        <v>5587</v>
      </c>
      <c r="C3509">
        <v>531215</v>
      </c>
      <c r="D3509" t="s">
        <v>496</v>
      </c>
      <c r="E3509" t="s">
        <v>794</v>
      </c>
    </row>
    <row r="3510" spans="2:5" x14ac:dyDescent="0.3">
      <c r="B3510" t="s">
        <v>5588</v>
      </c>
      <c r="C3510">
        <v>500367</v>
      </c>
      <c r="D3510" t="s">
        <v>496</v>
      </c>
      <c r="E3510" t="s">
        <v>976</v>
      </c>
    </row>
    <row r="3511" spans="2:5" x14ac:dyDescent="0.3">
      <c r="B3511" t="s">
        <v>5589</v>
      </c>
      <c r="C3511">
        <v>531099</v>
      </c>
      <c r="D3511" t="s">
        <v>496</v>
      </c>
      <c r="E3511" t="s">
        <v>534</v>
      </c>
    </row>
    <row r="3512" spans="2:5" x14ac:dyDescent="0.3">
      <c r="B3512" t="s">
        <v>5590</v>
      </c>
      <c r="C3512">
        <v>509020</v>
      </c>
      <c r="D3512" t="s">
        <v>5591</v>
      </c>
      <c r="E3512" t="s">
        <v>745</v>
      </c>
    </row>
    <row r="3513" spans="2:5" x14ac:dyDescent="0.3">
      <c r="B3513" t="s">
        <v>5592</v>
      </c>
      <c r="C3513">
        <v>500368</v>
      </c>
      <c r="D3513" t="s">
        <v>5593</v>
      </c>
      <c r="E3513" t="s">
        <v>745</v>
      </c>
    </row>
    <row r="3514" spans="2:5" x14ac:dyDescent="0.3">
      <c r="B3514" t="s">
        <v>5594</v>
      </c>
      <c r="C3514">
        <v>540696</v>
      </c>
      <c r="D3514" t="s">
        <v>496</v>
      </c>
      <c r="E3514" t="s">
        <v>518</v>
      </c>
    </row>
    <row r="3515" spans="2:5" x14ac:dyDescent="0.3">
      <c r="B3515" t="s">
        <v>5595</v>
      </c>
      <c r="C3515">
        <v>540696</v>
      </c>
      <c r="D3515" t="s">
        <v>496</v>
      </c>
      <c r="E3515" t="s">
        <v>518</v>
      </c>
    </row>
    <row r="3516" spans="2:5" x14ac:dyDescent="0.3">
      <c r="B3516" t="s">
        <v>5596</v>
      </c>
      <c r="C3516">
        <v>532785</v>
      </c>
      <c r="D3516" t="s">
        <v>5597</v>
      </c>
      <c r="E3516" t="s">
        <v>490</v>
      </c>
    </row>
    <row r="3517" spans="2:5" x14ac:dyDescent="0.3">
      <c r="B3517" t="s">
        <v>5598</v>
      </c>
      <c r="C3517">
        <v>539226</v>
      </c>
      <c r="D3517" t="s">
        <v>496</v>
      </c>
      <c r="E3517" t="s">
        <v>528</v>
      </c>
    </row>
    <row r="3518" spans="2:5" x14ac:dyDescent="0.3">
      <c r="B3518" t="s">
        <v>5599</v>
      </c>
      <c r="C3518" t="s">
        <v>496</v>
      </c>
      <c r="D3518" t="s">
        <v>5600</v>
      </c>
      <c r="E3518" t="s">
        <v>507</v>
      </c>
    </row>
    <row r="3519" spans="2:5" x14ac:dyDescent="0.3">
      <c r="B3519" t="s">
        <v>5601</v>
      </c>
      <c r="C3519">
        <v>519413</v>
      </c>
      <c r="D3519" t="s">
        <v>496</v>
      </c>
      <c r="E3519" t="s">
        <v>518</v>
      </c>
    </row>
    <row r="3520" spans="2:5" x14ac:dyDescent="0.3">
      <c r="B3520" t="s">
        <v>5602</v>
      </c>
      <c r="C3520">
        <v>530449</v>
      </c>
      <c r="D3520" t="s">
        <v>496</v>
      </c>
      <c r="E3520" t="s">
        <v>616</v>
      </c>
    </row>
    <row r="3521" spans="2:5" x14ac:dyDescent="0.3">
      <c r="B3521" t="s">
        <v>5603</v>
      </c>
      <c r="C3521">
        <v>533552</v>
      </c>
      <c r="D3521" t="s">
        <v>5604</v>
      </c>
      <c r="E3521" t="s">
        <v>610</v>
      </c>
    </row>
    <row r="3522" spans="2:5" x14ac:dyDescent="0.3">
      <c r="B3522" t="s">
        <v>5605</v>
      </c>
      <c r="C3522">
        <v>533470</v>
      </c>
      <c r="D3522" t="s">
        <v>5606</v>
      </c>
      <c r="E3522" t="s">
        <v>991</v>
      </c>
    </row>
    <row r="3523" spans="2:5" x14ac:dyDescent="0.3">
      <c r="B3523" t="s">
        <v>5607</v>
      </c>
      <c r="C3523">
        <v>504335</v>
      </c>
      <c r="D3523" t="s">
        <v>496</v>
      </c>
      <c r="E3523" t="s">
        <v>518</v>
      </c>
    </row>
    <row r="3524" spans="2:5" x14ac:dyDescent="0.3">
      <c r="B3524" t="s">
        <v>5608</v>
      </c>
      <c r="C3524">
        <v>517035</v>
      </c>
      <c r="D3524" t="s">
        <v>496</v>
      </c>
      <c r="E3524" t="s">
        <v>1038</v>
      </c>
    </row>
    <row r="3525" spans="2:5" x14ac:dyDescent="0.3">
      <c r="B3525" t="s">
        <v>5609</v>
      </c>
      <c r="C3525">
        <v>542034</v>
      </c>
      <c r="D3525" t="s">
        <v>496</v>
      </c>
      <c r="E3525" t="s">
        <v>610</v>
      </c>
    </row>
    <row r="3526" spans="2:5" x14ac:dyDescent="0.3">
      <c r="B3526" t="s">
        <v>5610</v>
      </c>
      <c r="C3526">
        <v>532604</v>
      </c>
      <c r="D3526" t="s">
        <v>5611</v>
      </c>
      <c r="E3526" t="s">
        <v>528</v>
      </c>
    </row>
    <row r="3527" spans="2:5" x14ac:dyDescent="0.3">
      <c r="B3527" t="s">
        <v>5612</v>
      </c>
      <c r="C3527">
        <v>540497</v>
      </c>
      <c r="D3527" t="s">
        <v>5613</v>
      </c>
      <c r="E3527" t="s">
        <v>1020</v>
      </c>
    </row>
    <row r="3528" spans="2:5" x14ac:dyDescent="0.3">
      <c r="B3528" t="s">
        <v>5614</v>
      </c>
      <c r="C3528">
        <v>534598</v>
      </c>
      <c r="D3528" t="s">
        <v>5615</v>
      </c>
      <c r="E3528" t="s">
        <v>635</v>
      </c>
    </row>
    <row r="3529" spans="2:5" x14ac:dyDescent="0.3">
      <c r="B3529" t="s">
        <v>5616</v>
      </c>
      <c r="C3529">
        <v>539450</v>
      </c>
      <c r="D3529" t="s">
        <v>5617</v>
      </c>
      <c r="E3529" t="s">
        <v>678</v>
      </c>
    </row>
    <row r="3530" spans="2:5" x14ac:dyDescent="0.3">
      <c r="B3530" t="s">
        <v>5618</v>
      </c>
      <c r="C3530">
        <v>532316</v>
      </c>
      <c r="D3530" t="s">
        <v>5619</v>
      </c>
      <c r="E3530" t="s">
        <v>5620</v>
      </c>
    </row>
    <row r="3531" spans="2:5" x14ac:dyDescent="0.3">
      <c r="B3531" t="s">
        <v>5621</v>
      </c>
      <c r="C3531">
        <v>540048</v>
      </c>
      <c r="D3531" t="s">
        <v>5622</v>
      </c>
      <c r="E3531" t="s">
        <v>610</v>
      </c>
    </row>
    <row r="3532" spans="2:5" x14ac:dyDescent="0.3">
      <c r="B3532" t="s">
        <v>5623</v>
      </c>
      <c r="C3532">
        <v>536710</v>
      </c>
      <c r="D3532" t="s">
        <v>496</v>
      </c>
      <c r="E3532" t="s">
        <v>513</v>
      </c>
    </row>
    <row r="3533" spans="2:5" x14ac:dyDescent="0.3">
      <c r="B3533" t="s">
        <v>5624</v>
      </c>
      <c r="C3533">
        <v>513515</v>
      </c>
      <c r="D3533" t="s">
        <v>496</v>
      </c>
      <c r="E3533" t="s">
        <v>511</v>
      </c>
    </row>
    <row r="3534" spans="2:5" x14ac:dyDescent="0.3">
      <c r="B3534" t="s">
        <v>5625</v>
      </c>
      <c r="C3534">
        <v>531307</v>
      </c>
      <c r="D3534" t="s">
        <v>496</v>
      </c>
      <c r="E3534" t="s">
        <v>511</v>
      </c>
    </row>
    <row r="3535" spans="2:5" x14ac:dyDescent="0.3">
      <c r="B3535" t="s">
        <v>5626</v>
      </c>
      <c r="C3535" t="s">
        <v>496</v>
      </c>
      <c r="D3535" t="s">
        <v>5627</v>
      </c>
      <c r="E3535" t="s">
        <v>507</v>
      </c>
    </row>
    <row r="3536" spans="2:5" x14ac:dyDescent="0.3">
      <c r="B3536" t="s">
        <v>5628</v>
      </c>
      <c r="C3536">
        <v>538876</v>
      </c>
      <c r="D3536" t="s">
        <v>496</v>
      </c>
      <c r="E3536" t="s">
        <v>513</v>
      </c>
    </row>
    <row r="3537" spans="2:5" x14ac:dyDescent="0.3">
      <c r="B3537" t="s">
        <v>5629</v>
      </c>
      <c r="C3537">
        <v>535621</v>
      </c>
      <c r="D3537" t="s">
        <v>496</v>
      </c>
      <c r="E3537" t="s">
        <v>582</v>
      </c>
    </row>
    <row r="3538" spans="2:5" x14ac:dyDescent="0.3">
      <c r="B3538" t="s">
        <v>5630</v>
      </c>
      <c r="C3538">
        <v>503622</v>
      </c>
      <c r="D3538" t="s">
        <v>496</v>
      </c>
      <c r="E3538" t="s">
        <v>479</v>
      </c>
    </row>
    <row r="3539" spans="2:5" x14ac:dyDescent="0.3">
      <c r="B3539" t="s">
        <v>5631</v>
      </c>
      <c r="C3539">
        <v>514197</v>
      </c>
      <c r="D3539" t="s">
        <v>496</v>
      </c>
      <c r="E3539" t="s">
        <v>511</v>
      </c>
    </row>
    <row r="3540" spans="2:5" x14ac:dyDescent="0.3">
      <c r="B3540" t="s">
        <v>5632</v>
      </c>
      <c r="C3540">
        <v>540081</v>
      </c>
      <c r="D3540" t="s">
        <v>5633</v>
      </c>
      <c r="E3540" t="s">
        <v>1020</v>
      </c>
    </row>
    <row r="3541" spans="2:5" x14ac:dyDescent="0.3">
      <c r="B3541" t="s">
        <v>5634</v>
      </c>
      <c r="C3541">
        <v>539112</v>
      </c>
      <c r="D3541" t="s">
        <v>496</v>
      </c>
      <c r="E3541" t="s">
        <v>582</v>
      </c>
    </row>
    <row r="3542" spans="2:5" x14ac:dyDescent="0.3">
      <c r="B3542" t="s">
        <v>5635</v>
      </c>
      <c r="C3542">
        <v>530267</v>
      </c>
      <c r="D3542" t="s">
        <v>496</v>
      </c>
      <c r="E3542" t="s">
        <v>504</v>
      </c>
    </row>
    <row r="3543" spans="2:5" x14ac:dyDescent="0.3">
      <c r="B3543" t="s">
        <v>5636</v>
      </c>
      <c r="C3543">
        <v>530461</v>
      </c>
      <c r="D3543" t="s">
        <v>496</v>
      </c>
      <c r="E3543" t="s">
        <v>576</v>
      </c>
    </row>
    <row r="3544" spans="2:5" x14ac:dyDescent="0.3">
      <c r="B3544" t="s">
        <v>5637</v>
      </c>
      <c r="C3544">
        <v>540132</v>
      </c>
      <c r="D3544" t="s">
        <v>496</v>
      </c>
      <c r="E3544" t="s">
        <v>518</v>
      </c>
    </row>
    <row r="3545" spans="2:5" x14ac:dyDescent="0.3">
      <c r="B3545" t="s">
        <v>5638</v>
      </c>
      <c r="C3545">
        <v>540132</v>
      </c>
      <c r="D3545" t="s">
        <v>496</v>
      </c>
      <c r="E3545" t="s">
        <v>518</v>
      </c>
    </row>
    <row r="3546" spans="2:5" x14ac:dyDescent="0.3">
      <c r="B3546" t="s">
        <v>5639</v>
      </c>
      <c r="C3546">
        <v>531869</v>
      </c>
      <c r="D3546" t="s">
        <v>496</v>
      </c>
      <c r="E3546" t="s">
        <v>801</v>
      </c>
    </row>
    <row r="3547" spans="2:5" x14ac:dyDescent="0.3">
      <c r="B3547" t="s">
        <v>5640</v>
      </c>
      <c r="C3547">
        <v>532710</v>
      </c>
      <c r="D3547" t="s">
        <v>5641</v>
      </c>
      <c r="E3547" t="s">
        <v>894</v>
      </c>
    </row>
    <row r="3548" spans="2:5" x14ac:dyDescent="0.3">
      <c r="B3548" t="s">
        <v>5642</v>
      </c>
      <c r="C3548">
        <v>539346</v>
      </c>
      <c r="D3548" t="s">
        <v>5643</v>
      </c>
      <c r="E3548" t="s">
        <v>1091</v>
      </c>
    </row>
    <row r="3549" spans="2:5" x14ac:dyDescent="0.3">
      <c r="B3549" t="s">
        <v>5644</v>
      </c>
      <c r="C3549">
        <v>506642</v>
      </c>
      <c r="D3549" t="s">
        <v>496</v>
      </c>
      <c r="E3549" t="s">
        <v>544</v>
      </c>
    </row>
    <row r="3550" spans="2:5" x14ac:dyDescent="0.3">
      <c r="B3550" t="s">
        <v>5645</v>
      </c>
      <c r="C3550">
        <v>540821</v>
      </c>
      <c r="D3550" t="s">
        <v>496</v>
      </c>
      <c r="E3550" t="s">
        <v>1235</v>
      </c>
    </row>
    <row r="3551" spans="2:5" x14ac:dyDescent="0.3">
      <c r="B3551" t="s">
        <v>5646</v>
      </c>
      <c r="C3551">
        <v>532034</v>
      </c>
      <c r="D3551" t="s">
        <v>496</v>
      </c>
      <c r="E3551" t="s">
        <v>678</v>
      </c>
    </row>
    <row r="3552" spans="2:5" x14ac:dyDescent="0.3">
      <c r="B3552" t="s">
        <v>5647</v>
      </c>
      <c r="C3552">
        <v>531448</v>
      </c>
      <c r="D3552" t="s">
        <v>496</v>
      </c>
      <c r="E3552" t="s">
        <v>917</v>
      </c>
    </row>
    <row r="3553" spans="2:5" x14ac:dyDescent="0.3">
      <c r="B3553" t="s">
        <v>5648</v>
      </c>
      <c r="C3553">
        <v>523025</v>
      </c>
      <c r="D3553" t="s">
        <v>496</v>
      </c>
      <c r="E3553" t="s">
        <v>610</v>
      </c>
    </row>
    <row r="3554" spans="2:5" x14ac:dyDescent="0.3">
      <c r="B3554" t="s">
        <v>5649</v>
      </c>
      <c r="C3554">
        <v>523025</v>
      </c>
      <c r="D3554" t="s">
        <v>496</v>
      </c>
      <c r="E3554" t="s">
        <v>610</v>
      </c>
    </row>
    <row r="3555" spans="2:5" x14ac:dyDescent="0.3">
      <c r="B3555" t="s">
        <v>5650</v>
      </c>
      <c r="C3555">
        <v>502090</v>
      </c>
      <c r="D3555" t="s">
        <v>5651</v>
      </c>
      <c r="E3555" t="s">
        <v>509</v>
      </c>
    </row>
    <row r="3556" spans="2:5" x14ac:dyDescent="0.3">
      <c r="B3556" t="s">
        <v>5652</v>
      </c>
      <c r="C3556">
        <v>540715</v>
      </c>
      <c r="D3556" t="s">
        <v>496</v>
      </c>
      <c r="E3556" t="s">
        <v>610</v>
      </c>
    </row>
    <row r="3557" spans="2:5" x14ac:dyDescent="0.3">
      <c r="B3557" t="s">
        <v>5653</v>
      </c>
      <c r="C3557">
        <v>532092</v>
      </c>
      <c r="D3557" t="s">
        <v>496</v>
      </c>
      <c r="E3557" t="s">
        <v>513</v>
      </c>
    </row>
    <row r="3558" spans="2:5" x14ac:dyDescent="0.3">
      <c r="B3558" t="s">
        <v>5654</v>
      </c>
      <c r="C3558">
        <v>507663</v>
      </c>
      <c r="D3558" t="s">
        <v>496</v>
      </c>
      <c r="E3558" t="s">
        <v>745</v>
      </c>
    </row>
    <row r="3559" spans="2:5" x14ac:dyDescent="0.3">
      <c r="B3559" t="s">
        <v>5655</v>
      </c>
      <c r="C3559">
        <v>511254</v>
      </c>
      <c r="D3559" t="s">
        <v>496</v>
      </c>
      <c r="E3559" t="s">
        <v>513</v>
      </c>
    </row>
    <row r="3560" spans="2:5" x14ac:dyDescent="0.3">
      <c r="B3560" t="s">
        <v>5656</v>
      </c>
      <c r="C3560">
        <v>526085</v>
      </c>
      <c r="D3560" t="s">
        <v>496</v>
      </c>
      <c r="E3560" t="s">
        <v>697</v>
      </c>
    </row>
    <row r="3561" spans="2:5" x14ac:dyDescent="0.3">
      <c r="B3561" t="s">
        <v>5657</v>
      </c>
      <c r="C3561" t="s">
        <v>496</v>
      </c>
      <c r="D3561" t="s">
        <v>5658</v>
      </c>
      <c r="E3561" t="s">
        <v>507</v>
      </c>
    </row>
    <row r="3562" spans="2:5" x14ac:dyDescent="0.3">
      <c r="B3562" t="s">
        <v>5659</v>
      </c>
      <c r="C3562">
        <v>540143</v>
      </c>
      <c r="D3562" t="s">
        <v>496</v>
      </c>
      <c r="E3562" t="s">
        <v>482</v>
      </c>
    </row>
    <row r="3563" spans="2:5" x14ac:dyDescent="0.3">
      <c r="B3563" t="s">
        <v>5660</v>
      </c>
      <c r="C3563">
        <v>540143</v>
      </c>
      <c r="D3563" t="s">
        <v>496</v>
      </c>
      <c r="E3563" t="s">
        <v>482</v>
      </c>
    </row>
    <row r="3564" spans="2:5" x14ac:dyDescent="0.3">
      <c r="B3564" t="s">
        <v>5661</v>
      </c>
      <c r="C3564">
        <v>511533</v>
      </c>
      <c r="D3564" t="s">
        <v>496</v>
      </c>
      <c r="E3564" t="s">
        <v>554</v>
      </c>
    </row>
    <row r="3565" spans="2:5" x14ac:dyDescent="0.3">
      <c r="B3565" t="s">
        <v>5662</v>
      </c>
      <c r="C3565">
        <v>503691</v>
      </c>
      <c r="D3565" t="s">
        <v>496</v>
      </c>
      <c r="E3565" t="s">
        <v>1235</v>
      </c>
    </row>
    <row r="3566" spans="2:5" x14ac:dyDescent="0.3">
      <c r="B3566" t="s">
        <v>5663</v>
      </c>
      <c r="C3566">
        <v>532841</v>
      </c>
      <c r="D3566" t="s">
        <v>496</v>
      </c>
      <c r="E3566" t="s">
        <v>509</v>
      </c>
    </row>
    <row r="3567" spans="2:5" x14ac:dyDescent="0.3">
      <c r="B3567" t="s">
        <v>5664</v>
      </c>
      <c r="C3567">
        <v>539660</v>
      </c>
      <c r="D3567" t="s">
        <v>496</v>
      </c>
      <c r="E3567" t="s">
        <v>479</v>
      </c>
    </row>
    <row r="3568" spans="2:5" x14ac:dyDescent="0.3">
      <c r="B3568" t="s">
        <v>5665</v>
      </c>
      <c r="C3568">
        <v>538557</v>
      </c>
      <c r="D3568" t="s">
        <v>496</v>
      </c>
      <c r="E3568" t="s">
        <v>518</v>
      </c>
    </row>
    <row r="3569" spans="2:5" x14ac:dyDescent="0.3">
      <c r="B3569" t="s">
        <v>5666</v>
      </c>
      <c r="C3569">
        <v>531931</v>
      </c>
      <c r="D3569" t="s">
        <v>496</v>
      </c>
      <c r="E3569" t="s">
        <v>917</v>
      </c>
    </row>
    <row r="3570" spans="2:5" x14ac:dyDescent="0.3">
      <c r="B3570" t="s">
        <v>5667</v>
      </c>
      <c r="C3570">
        <v>530905</v>
      </c>
      <c r="D3570" t="s">
        <v>496</v>
      </c>
      <c r="E3570" t="s">
        <v>513</v>
      </c>
    </row>
    <row r="3571" spans="2:5" x14ac:dyDescent="0.3">
      <c r="B3571" t="s">
        <v>5668</v>
      </c>
      <c r="C3571">
        <v>540066</v>
      </c>
      <c r="D3571" t="s">
        <v>496</v>
      </c>
      <c r="E3571" t="s">
        <v>851</v>
      </c>
    </row>
    <row r="3572" spans="2:5" x14ac:dyDescent="0.3">
      <c r="B3572" t="s">
        <v>5669</v>
      </c>
      <c r="C3572">
        <v>530265</v>
      </c>
      <c r="D3572" t="s">
        <v>496</v>
      </c>
      <c r="E3572" t="s">
        <v>509</v>
      </c>
    </row>
    <row r="3573" spans="2:5" x14ac:dyDescent="0.3">
      <c r="B3573" t="s">
        <v>5670</v>
      </c>
      <c r="C3573">
        <v>515043</v>
      </c>
      <c r="D3573" t="s">
        <v>496</v>
      </c>
      <c r="E3573" t="s">
        <v>773</v>
      </c>
    </row>
    <row r="3574" spans="2:5" x14ac:dyDescent="0.3">
      <c r="B3574" t="s">
        <v>5671</v>
      </c>
      <c r="C3574">
        <v>515043</v>
      </c>
      <c r="D3574" t="s">
        <v>496</v>
      </c>
      <c r="E3574" t="s">
        <v>773</v>
      </c>
    </row>
    <row r="3575" spans="2:5" x14ac:dyDescent="0.3">
      <c r="B3575" t="s">
        <v>5672</v>
      </c>
      <c r="C3575" t="s">
        <v>496</v>
      </c>
      <c r="D3575" t="s">
        <v>5673</v>
      </c>
      <c r="E3575" t="s">
        <v>507</v>
      </c>
    </row>
    <row r="3576" spans="2:5" x14ac:dyDescent="0.3">
      <c r="B3576" t="s">
        <v>5674</v>
      </c>
      <c r="C3576" t="s">
        <v>496</v>
      </c>
      <c r="D3576" t="s">
        <v>5675</v>
      </c>
      <c r="E3576" t="s">
        <v>507</v>
      </c>
    </row>
    <row r="3577" spans="2:5" x14ac:dyDescent="0.3">
      <c r="B3577" t="s">
        <v>5676</v>
      </c>
      <c r="C3577">
        <v>590051</v>
      </c>
      <c r="D3577" t="s">
        <v>5677</v>
      </c>
      <c r="E3577" t="s">
        <v>589</v>
      </c>
    </row>
    <row r="3578" spans="2:5" x14ac:dyDescent="0.3">
      <c r="B3578" t="s">
        <v>5678</v>
      </c>
      <c r="C3578">
        <v>511066</v>
      </c>
      <c r="D3578" t="s">
        <v>496</v>
      </c>
      <c r="E3578" t="s">
        <v>513</v>
      </c>
    </row>
    <row r="3579" spans="2:5" x14ac:dyDescent="0.3">
      <c r="B3579" t="s">
        <v>5679</v>
      </c>
      <c r="C3579">
        <v>507315</v>
      </c>
      <c r="D3579" t="s">
        <v>5680</v>
      </c>
      <c r="E3579" t="s">
        <v>1195</v>
      </c>
    </row>
    <row r="3580" spans="2:5" x14ac:dyDescent="0.3">
      <c r="B3580" t="s">
        <v>5681</v>
      </c>
      <c r="C3580">
        <v>532713</v>
      </c>
      <c r="D3580" t="s">
        <v>5682</v>
      </c>
      <c r="E3580" t="s">
        <v>518</v>
      </c>
    </row>
    <row r="3581" spans="2:5" x14ac:dyDescent="0.3">
      <c r="B3581" t="s">
        <v>5683</v>
      </c>
      <c r="C3581">
        <v>540642</v>
      </c>
      <c r="D3581" t="s">
        <v>5684</v>
      </c>
      <c r="E3581" t="s">
        <v>894</v>
      </c>
    </row>
    <row r="3582" spans="2:5" x14ac:dyDescent="0.3">
      <c r="B3582" t="s">
        <v>5685</v>
      </c>
      <c r="C3582">
        <v>540181</v>
      </c>
      <c r="D3582" t="s">
        <v>496</v>
      </c>
      <c r="E3582" t="s">
        <v>513</v>
      </c>
    </row>
    <row r="3583" spans="2:5" x14ac:dyDescent="0.3">
      <c r="B3583" t="s">
        <v>5686</v>
      </c>
      <c r="C3583">
        <v>526554</v>
      </c>
      <c r="D3583" t="s">
        <v>496</v>
      </c>
      <c r="E3583" t="s">
        <v>691</v>
      </c>
    </row>
    <row r="3584" spans="2:5" x14ac:dyDescent="0.3">
      <c r="B3584" t="s">
        <v>5687</v>
      </c>
      <c r="C3584">
        <v>590056</v>
      </c>
      <c r="D3584" t="s">
        <v>5688</v>
      </c>
      <c r="E3584" t="s">
        <v>511</v>
      </c>
    </row>
    <row r="3585" spans="2:5" x14ac:dyDescent="0.3">
      <c r="B3585" t="s">
        <v>5689</v>
      </c>
      <c r="C3585">
        <v>500370</v>
      </c>
      <c r="D3585" t="s">
        <v>5690</v>
      </c>
      <c r="E3585" t="s">
        <v>518</v>
      </c>
    </row>
    <row r="3586" spans="2:5" x14ac:dyDescent="0.3">
      <c r="B3586" t="s">
        <v>5691</v>
      </c>
      <c r="C3586">
        <v>517059</v>
      </c>
      <c r="D3586" t="s">
        <v>5692</v>
      </c>
      <c r="E3586" t="s">
        <v>794</v>
      </c>
    </row>
    <row r="3587" spans="2:5" x14ac:dyDescent="0.3">
      <c r="B3587" t="s">
        <v>5693</v>
      </c>
      <c r="C3587">
        <v>532005</v>
      </c>
      <c r="D3587" t="s">
        <v>496</v>
      </c>
      <c r="E3587" t="s">
        <v>681</v>
      </c>
    </row>
    <row r="3588" spans="2:5" x14ac:dyDescent="0.3">
      <c r="B3588" t="s">
        <v>5694</v>
      </c>
      <c r="C3588">
        <v>521240</v>
      </c>
      <c r="D3588" t="s">
        <v>496</v>
      </c>
      <c r="E3588" t="s">
        <v>511</v>
      </c>
    </row>
    <row r="3589" spans="2:5" x14ac:dyDescent="0.3">
      <c r="B3589" t="s">
        <v>5695</v>
      </c>
      <c r="C3589">
        <v>511630</v>
      </c>
      <c r="D3589" t="s">
        <v>5696</v>
      </c>
      <c r="E3589" t="s">
        <v>1020</v>
      </c>
    </row>
    <row r="3590" spans="2:5" x14ac:dyDescent="0.3">
      <c r="B3590" t="s">
        <v>5697</v>
      </c>
      <c r="C3590">
        <v>520075</v>
      </c>
      <c r="D3590" t="s">
        <v>496</v>
      </c>
      <c r="E3590" t="s">
        <v>851</v>
      </c>
    </row>
    <row r="3591" spans="2:5" x14ac:dyDescent="0.3">
      <c r="B3591" t="s">
        <v>5698</v>
      </c>
      <c r="C3591">
        <v>530617</v>
      </c>
      <c r="D3591" t="s">
        <v>496</v>
      </c>
      <c r="E3591" t="s">
        <v>556</v>
      </c>
    </row>
    <row r="3592" spans="2:5" x14ac:dyDescent="0.3">
      <c r="B3592" t="s">
        <v>5699</v>
      </c>
      <c r="C3592">
        <v>530125</v>
      </c>
      <c r="D3592" t="s">
        <v>496</v>
      </c>
      <c r="E3592" t="s">
        <v>534</v>
      </c>
    </row>
    <row r="3593" spans="2:5" x14ac:dyDescent="0.3">
      <c r="B3593" t="s">
        <v>5700</v>
      </c>
      <c r="C3593">
        <v>500371</v>
      </c>
      <c r="D3593" t="s">
        <v>496</v>
      </c>
      <c r="E3593" t="s">
        <v>865</v>
      </c>
    </row>
    <row r="3594" spans="2:5" x14ac:dyDescent="0.3">
      <c r="B3594" t="s">
        <v>5701</v>
      </c>
      <c r="C3594">
        <v>500371</v>
      </c>
      <c r="D3594" t="s">
        <v>496</v>
      </c>
      <c r="E3594" t="s">
        <v>865</v>
      </c>
    </row>
    <row r="3595" spans="2:5" x14ac:dyDescent="0.3">
      <c r="B3595" t="s">
        <v>5702</v>
      </c>
      <c r="C3595">
        <v>521206</v>
      </c>
      <c r="D3595" t="s">
        <v>496</v>
      </c>
      <c r="E3595" t="s">
        <v>610</v>
      </c>
    </row>
    <row r="3596" spans="2:5" x14ac:dyDescent="0.3">
      <c r="B3596" t="s">
        <v>5703</v>
      </c>
      <c r="C3596">
        <v>530025</v>
      </c>
      <c r="D3596" t="s">
        <v>496</v>
      </c>
      <c r="E3596" t="s">
        <v>917</v>
      </c>
    </row>
    <row r="3597" spans="2:5" x14ac:dyDescent="0.3">
      <c r="B3597" t="s">
        <v>5704</v>
      </c>
      <c r="C3597">
        <v>780015</v>
      </c>
      <c r="D3597" t="s">
        <v>496</v>
      </c>
      <c r="E3597" t="s">
        <v>587</v>
      </c>
    </row>
    <row r="3598" spans="2:5" x14ac:dyDescent="0.3">
      <c r="B3598" t="s">
        <v>5705</v>
      </c>
      <c r="C3598">
        <v>509423</v>
      </c>
      <c r="D3598" t="s">
        <v>496</v>
      </c>
      <c r="E3598" t="s">
        <v>544</v>
      </c>
    </row>
    <row r="3599" spans="2:5" x14ac:dyDescent="0.3">
      <c r="B3599" t="s">
        <v>5706</v>
      </c>
      <c r="C3599">
        <v>521222</v>
      </c>
      <c r="D3599" t="s">
        <v>496</v>
      </c>
      <c r="E3599" t="s">
        <v>610</v>
      </c>
    </row>
    <row r="3600" spans="2:5" x14ac:dyDescent="0.3">
      <c r="B3600" t="s">
        <v>5707</v>
      </c>
      <c r="C3600" t="s">
        <v>496</v>
      </c>
      <c r="D3600" t="s">
        <v>5708</v>
      </c>
      <c r="E3600" t="s">
        <v>587</v>
      </c>
    </row>
    <row r="3601" spans="2:5" x14ac:dyDescent="0.3">
      <c r="B3601" t="s">
        <v>5709</v>
      </c>
      <c r="C3601">
        <v>523116</v>
      </c>
      <c r="D3601" t="s">
        <v>496</v>
      </c>
      <c r="E3601" t="s">
        <v>619</v>
      </c>
    </row>
    <row r="3602" spans="2:5" x14ac:dyDescent="0.3">
      <c r="B3602" t="s">
        <v>5710</v>
      </c>
      <c r="C3602">
        <v>541163</v>
      </c>
      <c r="D3602" t="s">
        <v>5711</v>
      </c>
      <c r="E3602" t="s">
        <v>851</v>
      </c>
    </row>
    <row r="3603" spans="2:5" x14ac:dyDescent="0.3">
      <c r="B3603" t="s">
        <v>5712</v>
      </c>
      <c r="C3603">
        <v>524703</v>
      </c>
      <c r="D3603" t="s">
        <v>496</v>
      </c>
      <c r="E3603" t="s">
        <v>534</v>
      </c>
    </row>
    <row r="3604" spans="2:5" x14ac:dyDescent="0.3">
      <c r="B3604" t="s">
        <v>5713</v>
      </c>
      <c r="C3604">
        <v>504918</v>
      </c>
      <c r="D3604" t="s">
        <v>496</v>
      </c>
      <c r="E3604" t="s">
        <v>476</v>
      </c>
    </row>
    <row r="3605" spans="2:5" x14ac:dyDescent="0.3">
      <c r="B3605" t="s">
        <v>5714</v>
      </c>
      <c r="C3605">
        <v>539392</v>
      </c>
      <c r="D3605" t="s">
        <v>496</v>
      </c>
      <c r="E3605" t="s">
        <v>518</v>
      </c>
    </row>
    <row r="3606" spans="2:5" x14ac:dyDescent="0.3">
      <c r="B3606" t="s">
        <v>5715</v>
      </c>
      <c r="C3606">
        <v>539392</v>
      </c>
      <c r="D3606" t="s">
        <v>496</v>
      </c>
      <c r="E3606" t="s">
        <v>518</v>
      </c>
    </row>
    <row r="3607" spans="2:5" x14ac:dyDescent="0.3">
      <c r="B3607" t="s">
        <v>5716</v>
      </c>
      <c r="C3607">
        <v>516096</v>
      </c>
      <c r="D3607" t="s">
        <v>496</v>
      </c>
      <c r="E3607" t="s">
        <v>490</v>
      </c>
    </row>
    <row r="3608" spans="2:5" x14ac:dyDescent="0.3">
      <c r="B3608" t="s">
        <v>5717</v>
      </c>
      <c r="C3608">
        <v>514234</v>
      </c>
      <c r="D3608" t="s">
        <v>5718</v>
      </c>
      <c r="E3608" t="s">
        <v>511</v>
      </c>
    </row>
    <row r="3609" spans="2:5" x14ac:dyDescent="0.3">
      <c r="B3609" t="s">
        <v>5719</v>
      </c>
      <c r="C3609">
        <v>514234</v>
      </c>
      <c r="D3609" t="s">
        <v>5718</v>
      </c>
      <c r="E3609" t="s">
        <v>511</v>
      </c>
    </row>
    <row r="3610" spans="2:5" x14ac:dyDescent="0.3">
      <c r="B3610" t="s">
        <v>5720</v>
      </c>
      <c r="C3610">
        <v>534618</v>
      </c>
      <c r="D3610" t="s">
        <v>496</v>
      </c>
      <c r="E3610" t="s">
        <v>635</v>
      </c>
    </row>
    <row r="3611" spans="2:5" x14ac:dyDescent="0.3">
      <c r="B3611" t="s">
        <v>5721</v>
      </c>
      <c r="C3611">
        <v>511640</v>
      </c>
      <c r="D3611" t="s">
        <v>496</v>
      </c>
      <c r="E3611" t="s">
        <v>513</v>
      </c>
    </row>
    <row r="3612" spans="2:5" x14ac:dyDescent="0.3">
      <c r="B3612" t="s">
        <v>5722</v>
      </c>
      <c r="C3612">
        <v>526521</v>
      </c>
      <c r="D3612" t="s">
        <v>5723</v>
      </c>
      <c r="E3612" t="s">
        <v>509</v>
      </c>
    </row>
    <row r="3613" spans="2:5" x14ac:dyDescent="0.3">
      <c r="B3613" t="s">
        <v>5724</v>
      </c>
      <c r="C3613">
        <v>540782</v>
      </c>
      <c r="D3613" t="s">
        <v>496</v>
      </c>
      <c r="E3613" t="s">
        <v>697</v>
      </c>
    </row>
    <row r="3614" spans="2:5" x14ac:dyDescent="0.3">
      <c r="B3614" t="s">
        <v>5725</v>
      </c>
      <c r="C3614">
        <v>533411</v>
      </c>
      <c r="D3614" t="s">
        <v>5726</v>
      </c>
      <c r="E3614" t="s">
        <v>1416</v>
      </c>
    </row>
    <row r="3615" spans="2:5" x14ac:dyDescent="0.3">
      <c r="B3615" t="s">
        <v>5727</v>
      </c>
      <c r="C3615">
        <v>530073</v>
      </c>
      <c r="D3615" t="s">
        <v>5728</v>
      </c>
      <c r="E3615" t="s">
        <v>619</v>
      </c>
    </row>
    <row r="3616" spans="2:5" x14ac:dyDescent="0.3">
      <c r="B3616" t="s">
        <v>5729</v>
      </c>
      <c r="C3616" t="s">
        <v>496</v>
      </c>
      <c r="D3616" t="s">
        <v>5730</v>
      </c>
      <c r="E3616" t="s">
        <v>507</v>
      </c>
    </row>
    <row r="3617" spans="2:5" x14ac:dyDescent="0.3">
      <c r="B3617" t="s">
        <v>5731</v>
      </c>
      <c r="C3617">
        <v>531898</v>
      </c>
      <c r="D3617" t="s">
        <v>496</v>
      </c>
      <c r="E3617" t="s">
        <v>499</v>
      </c>
    </row>
    <row r="3618" spans="2:5" x14ac:dyDescent="0.3">
      <c r="B3618" t="s">
        <v>5732</v>
      </c>
      <c r="C3618">
        <v>531569</v>
      </c>
      <c r="D3618" t="s">
        <v>496</v>
      </c>
      <c r="E3618" t="s">
        <v>534</v>
      </c>
    </row>
    <row r="3619" spans="2:5" x14ac:dyDescent="0.3">
      <c r="B3619" t="s">
        <v>5733</v>
      </c>
      <c r="C3619">
        <v>532972</v>
      </c>
      <c r="D3619" t="s">
        <v>496</v>
      </c>
      <c r="E3619" t="s">
        <v>589</v>
      </c>
    </row>
    <row r="3620" spans="2:5" x14ac:dyDescent="0.3">
      <c r="B3620" t="s">
        <v>5734</v>
      </c>
      <c r="C3620">
        <v>532435</v>
      </c>
      <c r="D3620" t="s">
        <v>496</v>
      </c>
      <c r="E3620" t="s">
        <v>582</v>
      </c>
    </row>
    <row r="3621" spans="2:5" x14ac:dyDescent="0.3">
      <c r="B3621" t="s">
        <v>5735</v>
      </c>
      <c r="C3621">
        <v>512062</v>
      </c>
      <c r="D3621" t="s">
        <v>496</v>
      </c>
      <c r="E3621" t="s">
        <v>917</v>
      </c>
    </row>
    <row r="3622" spans="2:5" x14ac:dyDescent="0.3">
      <c r="B3622" t="s">
        <v>5736</v>
      </c>
      <c r="C3622">
        <v>500674</v>
      </c>
      <c r="D3622" t="s">
        <v>5737</v>
      </c>
      <c r="E3622" t="s">
        <v>534</v>
      </c>
    </row>
    <row r="3623" spans="2:5" x14ac:dyDescent="0.3">
      <c r="B3623" t="s">
        <v>5738</v>
      </c>
      <c r="C3623">
        <v>500674</v>
      </c>
      <c r="D3623" t="s">
        <v>5737</v>
      </c>
      <c r="E3623" t="s">
        <v>534</v>
      </c>
    </row>
    <row r="3624" spans="2:5" x14ac:dyDescent="0.3">
      <c r="B3624" t="s">
        <v>5739</v>
      </c>
      <c r="C3624">
        <v>514280</v>
      </c>
      <c r="D3624" t="s">
        <v>496</v>
      </c>
      <c r="E3624" t="s">
        <v>511</v>
      </c>
    </row>
    <row r="3625" spans="2:5" x14ac:dyDescent="0.3">
      <c r="B3625" t="s">
        <v>5740</v>
      </c>
      <c r="C3625">
        <v>530035</v>
      </c>
      <c r="D3625" t="s">
        <v>496</v>
      </c>
      <c r="E3625" t="s">
        <v>511</v>
      </c>
    </row>
    <row r="3626" spans="2:5" x14ac:dyDescent="0.3">
      <c r="B3626" t="s">
        <v>5741</v>
      </c>
      <c r="C3626">
        <v>540822</v>
      </c>
      <c r="D3626" t="s">
        <v>496</v>
      </c>
      <c r="E3626" t="s">
        <v>513</v>
      </c>
    </row>
    <row r="3627" spans="2:5" x14ac:dyDescent="0.3">
      <c r="B3627" t="s">
        <v>5742</v>
      </c>
      <c r="C3627">
        <v>519260</v>
      </c>
      <c r="D3627" t="s">
        <v>5743</v>
      </c>
      <c r="E3627" t="s">
        <v>745</v>
      </c>
    </row>
    <row r="3628" spans="2:5" x14ac:dyDescent="0.3">
      <c r="B3628" t="s">
        <v>5744</v>
      </c>
      <c r="C3628">
        <v>506906</v>
      </c>
      <c r="D3628" t="s">
        <v>496</v>
      </c>
      <c r="E3628" t="s">
        <v>518</v>
      </c>
    </row>
    <row r="3629" spans="2:5" x14ac:dyDescent="0.3">
      <c r="B3629" t="s">
        <v>5745</v>
      </c>
      <c r="C3629">
        <v>519238</v>
      </c>
      <c r="D3629" t="s">
        <v>496</v>
      </c>
      <c r="E3629" t="s">
        <v>694</v>
      </c>
    </row>
    <row r="3630" spans="2:5" x14ac:dyDescent="0.3">
      <c r="B3630" t="s">
        <v>5746</v>
      </c>
      <c r="C3630">
        <v>538992</v>
      </c>
      <c r="D3630" t="s">
        <v>496</v>
      </c>
      <c r="E3630" t="s">
        <v>851</v>
      </c>
    </row>
    <row r="3631" spans="2:5" x14ac:dyDescent="0.3">
      <c r="B3631" t="s">
        <v>5747</v>
      </c>
      <c r="C3631">
        <v>512020</v>
      </c>
      <c r="D3631" t="s">
        <v>496</v>
      </c>
      <c r="E3631" t="s">
        <v>513</v>
      </c>
    </row>
    <row r="3632" spans="2:5" x14ac:dyDescent="0.3">
      <c r="B3632" t="s">
        <v>5748</v>
      </c>
      <c r="C3632">
        <v>512020</v>
      </c>
      <c r="D3632" t="s">
        <v>496</v>
      </c>
      <c r="E3632" t="s">
        <v>513</v>
      </c>
    </row>
    <row r="3633" spans="2:5" x14ac:dyDescent="0.3">
      <c r="B3633" t="s">
        <v>5749</v>
      </c>
      <c r="C3633">
        <v>504614</v>
      </c>
      <c r="D3633" t="s">
        <v>5750</v>
      </c>
      <c r="E3633" t="s">
        <v>528</v>
      </c>
    </row>
    <row r="3634" spans="2:5" x14ac:dyDescent="0.3">
      <c r="B3634" t="s">
        <v>5751</v>
      </c>
      <c r="C3634">
        <v>516032</v>
      </c>
      <c r="D3634" t="s">
        <v>496</v>
      </c>
      <c r="E3634" t="s">
        <v>490</v>
      </c>
    </row>
    <row r="3635" spans="2:5" x14ac:dyDescent="0.3">
      <c r="B3635" t="s">
        <v>5752</v>
      </c>
      <c r="C3635">
        <v>516003</v>
      </c>
      <c r="D3635" t="s">
        <v>496</v>
      </c>
      <c r="E3635" t="s">
        <v>991</v>
      </c>
    </row>
    <row r="3636" spans="2:5" x14ac:dyDescent="0.3">
      <c r="B3636" t="s">
        <v>5753</v>
      </c>
      <c r="C3636">
        <v>519242</v>
      </c>
      <c r="D3636" t="s">
        <v>496</v>
      </c>
      <c r="E3636" t="s">
        <v>745</v>
      </c>
    </row>
    <row r="3637" spans="2:5" x14ac:dyDescent="0.3">
      <c r="B3637" t="s">
        <v>5754</v>
      </c>
      <c r="C3637">
        <v>532163</v>
      </c>
      <c r="D3637" t="s">
        <v>5755</v>
      </c>
      <c r="E3637" t="s">
        <v>499</v>
      </c>
    </row>
    <row r="3638" spans="2:5" x14ac:dyDescent="0.3">
      <c r="B3638" t="s">
        <v>5756</v>
      </c>
      <c r="C3638">
        <v>532163</v>
      </c>
      <c r="D3638" t="s">
        <v>5755</v>
      </c>
      <c r="E3638" t="s">
        <v>499</v>
      </c>
    </row>
    <row r="3639" spans="2:5" x14ac:dyDescent="0.3">
      <c r="B3639" t="s">
        <v>5757</v>
      </c>
      <c r="C3639">
        <v>526885</v>
      </c>
      <c r="D3639" t="s">
        <v>5758</v>
      </c>
      <c r="E3639" t="s">
        <v>511</v>
      </c>
    </row>
    <row r="3640" spans="2:5" x14ac:dyDescent="0.3">
      <c r="B3640" t="s">
        <v>5759</v>
      </c>
      <c r="C3640">
        <v>530993</v>
      </c>
      <c r="D3640" t="s">
        <v>496</v>
      </c>
      <c r="E3640" t="s">
        <v>518</v>
      </c>
    </row>
    <row r="3641" spans="2:5" x14ac:dyDescent="0.3">
      <c r="B3641" t="s">
        <v>5760</v>
      </c>
      <c r="C3641">
        <v>531930</v>
      </c>
      <c r="D3641" t="s">
        <v>496</v>
      </c>
      <c r="E3641" t="s">
        <v>1416</v>
      </c>
    </row>
    <row r="3642" spans="2:5" x14ac:dyDescent="0.3">
      <c r="B3642" t="s">
        <v>5761</v>
      </c>
      <c r="C3642">
        <v>540393</v>
      </c>
      <c r="D3642" t="s">
        <v>496</v>
      </c>
      <c r="E3642" t="s">
        <v>819</v>
      </c>
    </row>
    <row r="3643" spans="2:5" x14ac:dyDescent="0.3">
      <c r="B3643" t="s">
        <v>5762</v>
      </c>
      <c r="C3643">
        <v>514412</v>
      </c>
      <c r="D3643" t="s">
        <v>496</v>
      </c>
      <c r="E3643" t="s">
        <v>610</v>
      </c>
    </row>
    <row r="3644" spans="2:5" x14ac:dyDescent="0.3">
      <c r="B3644" t="s">
        <v>5763</v>
      </c>
      <c r="C3644">
        <v>506190</v>
      </c>
      <c r="D3644" t="s">
        <v>496</v>
      </c>
      <c r="E3644" t="s">
        <v>917</v>
      </c>
    </row>
    <row r="3645" spans="2:5" x14ac:dyDescent="0.3">
      <c r="B3645" t="s">
        <v>5764</v>
      </c>
      <c r="C3645" t="s">
        <v>496</v>
      </c>
      <c r="D3645" t="s">
        <v>5765</v>
      </c>
      <c r="E3645" t="s">
        <v>507</v>
      </c>
    </row>
    <row r="3646" spans="2:5" x14ac:dyDescent="0.3">
      <c r="B3646" t="s">
        <v>5766</v>
      </c>
      <c r="C3646">
        <v>539124</v>
      </c>
      <c r="D3646" t="s">
        <v>496</v>
      </c>
      <c r="E3646" t="s">
        <v>513</v>
      </c>
    </row>
    <row r="3647" spans="2:5" x14ac:dyDescent="0.3">
      <c r="B3647" t="s">
        <v>5767</v>
      </c>
      <c r="C3647">
        <v>506313</v>
      </c>
      <c r="D3647" t="s">
        <v>496</v>
      </c>
      <c r="E3647" t="s">
        <v>1024</v>
      </c>
    </row>
    <row r="3648" spans="2:5" x14ac:dyDescent="0.3">
      <c r="B3648" t="s">
        <v>5768</v>
      </c>
      <c r="C3648">
        <v>532663</v>
      </c>
      <c r="D3648" t="s">
        <v>5769</v>
      </c>
      <c r="E3648" t="s">
        <v>482</v>
      </c>
    </row>
    <row r="3649" spans="2:5" x14ac:dyDescent="0.3">
      <c r="B3649" t="s">
        <v>5770</v>
      </c>
      <c r="C3649">
        <v>533259</v>
      </c>
      <c r="D3649" t="s">
        <v>5771</v>
      </c>
      <c r="E3649" t="s">
        <v>685</v>
      </c>
    </row>
    <row r="3650" spans="2:5" x14ac:dyDescent="0.3">
      <c r="B3650" t="s">
        <v>5772</v>
      </c>
      <c r="C3650">
        <v>511076</v>
      </c>
      <c r="D3650" t="s">
        <v>496</v>
      </c>
      <c r="E3650" t="s">
        <v>518</v>
      </c>
    </row>
    <row r="3651" spans="2:5" x14ac:dyDescent="0.3">
      <c r="B3651" t="s">
        <v>5773</v>
      </c>
      <c r="C3651">
        <v>526093</v>
      </c>
      <c r="D3651" t="s">
        <v>5774</v>
      </c>
      <c r="E3651" t="s">
        <v>528</v>
      </c>
    </row>
    <row r="3652" spans="2:5" x14ac:dyDescent="0.3">
      <c r="B3652" t="s">
        <v>5775</v>
      </c>
      <c r="C3652">
        <v>539201</v>
      </c>
      <c r="D3652" t="s">
        <v>496</v>
      </c>
      <c r="E3652" t="s">
        <v>490</v>
      </c>
    </row>
    <row r="3653" spans="2:5" x14ac:dyDescent="0.3">
      <c r="B3653" t="s">
        <v>5776</v>
      </c>
      <c r="C3653">
        <v>539404</v>
      </c>
      <c r="D3653" t="s">
        <v>5777</v>
      </c>
      <c r="E3653" t="s">
        <v>513</v>
      </c>
    </row>
    <row r="3654" spans="2:5" x14ac:dyDescent="0.3">
      <c r="B3654" t="s">
        <v>5778</v>
      </c>
      <c r="C3654">
        <v>536592</v>
      </c>
      <c r="D3654" t="s">
        <v>496</v>
      </c>
      <c r="E3654" t="s">
        <v>513</v>
      </c>
    </row>
    <row r="3655" spans="2:5" x14ac:dyDescent="0.3">
      <c r="B3655" t="s">
        <v>5779</v>
      </c>
      <c r="C3655">
        <v>508996</v>
      </c>
      <c r="D3655" t="s">
        <v>5780</v>
      </c>
      <c r="E3655" t="s">
        <v>582</v>
      </c>
    </row>
    <row r="3656" spans="2:5" x14ac:dyDescent="0.3">
      <c r="B3656" t="s">
        <v>5781</v>
      </c>
      <c r="C3656">
        <v>503893</v>
      </c>
      <c r="D3656" t="s">
        <v>496</v>
      </c>
      <c r="E3656" t="s">
        <v>479</v>
      </c>
    </row>
    <row r="3657" spans="2:5" x14ac:dyDescent="0.3">
      <c r="B3657" t="s">
        <v>5782</v>
      </c>
      <c r="C3657">
        <v>539218</v>
      </c>
      <c r="D3657" t="s">
        <v>496</v>
      </c>
      <c r="E3657" t="s">
        <v>513</v>
      </c>
    </row>
    <row r="3658" spans="2:5" x14ac:dyDescent="0.3">
      <c r="B3658" t="s">
        <v>5783</v>
      </c>
      <c r="C3658">
        <v>502175</v>
      </c>
      <c r="D3658" t="s">
        <v>496</v>
      </c>
      <c r="E3658" t="s">
        <v>509</v>
      </c>
    </row>
    <row r="3659" spans="2:5" x14ac:dyDescent="0.3">
      <c r="B3659" t="s">
        <v>5784</v>
      </c>
      <c r="C3659">
        <v>511577</v>
      </c>
      <c r="D3659" t="s">
        <v>496</v>
      </c>
      <c r="E3659" t="s">
        <v>513</v>
      </c>
    </row>
    <row r="3660" spans="2:5" x14ac:dyDescent="0.3">
      <c r="B3660" t="s">
        <v>5785</v>
      </c>
      <c r="C3660">
        <v>517320</v>
      </c>
      <c r="D3660" t="s">
        <v>496</v>
      </c>
      <c r="E3660" t="s">
        <v>794</v>
      </c>
    </row>
    <row r="3661" spans="2:5" x14ac:dyDescent="0.3">
      <c r="B3661" t="s">
        <v>5786</v>
      </c>
      <c r="C3661">
        <v>532404</v>
      </c>
      <c r="D3661" t="s">
        <v>496</v>
      </c>
      <c r="E3661" t="s">
        <v>589</v>
      </c>
    </row>
    <row r="3662" spans="2:5" x14ac:dyDescent="0.3">
      <c r="B3662" t="s">
        <v>5787</v>
      </c>
      <c r="C3662">
        <v>512634</v>
      </c>
      <c r="D3662" t="s">
        <v>496</v>
      </c>
      <c r="E3662" t="s">
        <v>697</v>
      </c>
    </row>
    <row r="3663" spans="2:5" x14ac:dyDescent="0.3">
      <c r="B3663" t="s">
        <v>5788</v>
      </c>
      <c r="C3663">
        <v>524667</v>
      </c>
      <c r="D3663" t="s">
        <v>5789</v>
      </c>
      <c r="E3663" t="s">
        <v>1425</v>
      </c>
    </row>
    <row r="3664" spans="2:5" x14ac:dyDescent="0.3">
      <c r="B3664" t="s">
        <v>5790</v>
      </c>
      <c r="C3664">
        <v>531893</v>
      </c>
      <c r="D3664" t="s">
        <v>496</v>
      </c>
      <c r="E3664" t="s">
        <v>917</v>
      </c>
    </row>
    <row r="3665" spans="2:5" x14ac:dyDescent="0.3">
      <c r="B3665" t="s">
        <v>5791</v>
      </c>
      <c r="C3665">
        <v>523710</v>
      </c>
      <c r="D3665" t="s">
        <v>496</v>
      </c>
      <c r="E3665" t="s">
        <v>697</v>
      </c>
    </row>
    <row r="3666" spans="2:5" x14ac:dyDescent="0.3">
      <c r="B3666" t="s">
        <v>5792</v>
      </c>
      <c r="C3666">
        <v>540728</v>
      </c>
      <c r="D3666" t="s">
        <v>496</v>
      </c>
      <c r="E3666" t="s">
        <v>485</v>
      </c>
    </row>
    <row r="3667" spans="2:5" x14ac:dyDescent="0.3">
      <c r="B3667" t="s">
        <v>5793</v>
      </c>
      <c r="C3667">
        <v>532102</v>
      </c>
      <c r="D3667" t="s">
        <v>496</v>
      </c>
      <c r="E3667" t="s">
        <v>1195</v>
      </c>
    </row>
    <row r="3668" spans="2:5" x14ac:dyDescent="0.3">
      <c r="B3668" t="s">
        <v>5794</v>
      </c>
      <c r="C3668">
        <v>540719</v>
      </c>
      <c r="D3668" t="s">
        <v>5795</v>
      </c>
      <c r="E3668" t="s">
        <v>2909</v>
      </c>
    </row>
    <row r="3669" spans="2:5" x14ac:dyDescent="0.3">
      <c r="B3669" t="s">
        <v>5796</v>
      </c>
      <c r="C3669">
        <v>590098</v>
      </c>
      <c r="D3669" t="s">
        <v>5797</v>
      </c>
      <c r="E3669" t="s">
        <v>479</v>
      </c>
    </row>
    <row r="3670" spans="2:5" x14ac:dyDescent="0.3">
      <c r="B3670" t="s">
        <v>5798</v>
      </c>
      <c r="C3670">
        <v>526081</v>
      </c>
      <c r="D3670" t="s">
        <v>5799</v>
      </c>
      <c r="E3670" t="s">
        <v>556</v>
      </c>
    </row>
    <row r="3671" spans="2:5" x14ac:dyDescent="0.3">
      <c r="B3671" t="s">
        <v>5800</v>
      </c>
      <c r="C3671">
        <v>531797</v>
      </c>
      <c r="D3671" t="s">
        <v>496</v>
      </c>
      <c r="E3671" t="s">
        <v>509</v>
      </c>
    </row>
    <row r="3672" spans="2:5" x14ac:dyDescent="0.3">
      <c r="B3672" t="s">
        <v>5801</v>
      </c>
      <c r="C3672">
        <v>511672</v>
      </c>
      <c r="D3672" t="s">
        <v>496</v>
      </c>
      <c r="E3672" t="s">
        <v>528</v>
      </c>
    </row>
    <row r="3673" spans="2:5" x14ac:dyDescent="0.3">
      <c r="B3673" t="s">
        <v>5802</v>
      </c>
      <c r="C3673">
        <v>516110</v>
      </c>
      <c r="D3673" t="s">
        <v>5803</v>
      </c>
      <c r="E3673" t="s">
        <v>685</v>
      </c>
    </row>
    <row r="3674" spans="2:5" x14ac:dyDescent="0.3">
      <c r="B3674" t="s">
        <v>5804</v>
      </c>
      <c r="C3674">
        <v>526544</v>
      </c>
      <c r="D3674" t="s">
        <v>496</v>
      </c>
      <c r="E3674" t="s">
        <v>502</v>
      </c>
    </row>
    <row r="3675" spans="2:5" x14ac:dyDescent="0.3">
      <c r="B3675" t="s">
        <v>5805</v>
      </c>
      <c r="C3675">
        <v>507894</v>
      </c>
      <c r="D3675" t="s">
        <v>496</v>
      </c>
      <c r="E3675" t="s">
        <v>773</v>
      </c>
    </row>
    <row r="3676" spans="2:5" x14ac:dyDescent="0.3">
      <c r="B3676" t="s">
        <v>5806</v>
      </c>
      <c r="C3676">
        <v>507894</v>
      </c>
      <c r="D3676" t="s">
        <v>496</v>
      </c>
      <c r="E3676" t="s">
        <v>773</v>
      </c>
    </row>
    <row r="3677" spans="2:5" x14ac:dyDescent="0.3">
      <c r="B3677" t="s">
        <v>5807</v>
      </c>
      <c r="C3677">
        <v>505790</v>
      </c>
      <c r="D3677" t="s">
        <v>5808</v>
      </c>
      <c r="E3677" t="s">
        <v>504</v>
      </c>
    </row>
    <row r="3678" spans="2:5" x14ac:dyDescent="0.3">
      <c r="B3678" t="s">
        <v>5809</v>
      </c>
      <c r="C3678">
        <v>505790</v>
      </c>
      <c r="D3678" t="s">
        <v>5808</v>
      </c>
      <c r="E3678" t="s">
        <v>504</v>
      </c>
    </row>
    <row r="3679" spans="2:5" x14ac:dyDescent="0.3">
      <c r="B3679" t="s">
        <v>5810</v>
      </c>
      <c r="C3679">
        <v>534139</v>
      </c>
      <c r="D3679" t="s">
        <v>5811</v>
      </c>
      <c r="E3679" t="s">
        <v>539</v>
      </c>
    </row>
    <row r="3680" spans="2:5" x14ac:dyDescent="0.3">
      <c r="B3680" t="s">
        <v>5812</v>
      </c>
      <c r="C3680">
        <v>538857</v>
      </c>
      <c r="D3680" t="s">
        <v>496</v>
      </c>
      <c r="E3680" t="s">
        <v>513</v>
      </c>
    </row>
    <row r="3681" spans="2:5" x14ac:dyDescent="0.3">
      <c r="B3681" t="s">
        <v>5813</v>
      </c>
      <c r="C3681">
        <v>505141</v>
      </c>
      <c r="D3681" t="s">
        <v>496</v>
      </c>
      <c r="E3681" t="s">
        <v>1154</v>
      </c>
    </row>
    <row r="3682" spans="2:5" x14ac:dyDescent="0.3">
      <c r="B3682" t="s">
        <v>5814</v>
      </c>
      <c r="C3682">
        <v>505141</v>
      </c>
      <c r="D3682" t="s">
        <v>496</v>
      </c>
      <c r="E3682" t="s">
        <v>1154</v>
      </c>
    </row>
    <row r="3683" spans="2:5" x14ac:dyDescent="0.3">
      <c r="B3683" t="s">
        <v>5815</v>
      </c>
      <c r="C3683">
        <v>530361</v>
      </c>
      <c r="D3683" t="s">
        <v>496</v>
      </c>
      <c r="E3683" t="s">
        <v>556</v>
      </c>
    </row>
    <row r="3684" spans="2:5" x14ac:dyDescent="0.3">
      <c r="B3684" t="s">
        <v>5816</v>
      </c>
      <c r="C3684">
        <v>533268</v>
      </c>
      <c r="D3684" t="s">
        <v>496</v>
      </c>
      <c r="E3684" t="s">
        <v>1235</v>
      </c>
    </row>
    <row r="3685" spans="2:5" x14ac:dyDescent="0.3">
      <c r="B3685" t="s">
        <v>5817</v>
      </c>
      <c r="C3685">
        <v>526807</v>
      </c>
      <c r="D3685" t="s">
        <v>5818</v>
      </c>
      <c r="E3685" t="s">
        <v>1744</v>
      </c>
    </row>
    <row r="3686" spans="2:5" x14ac:dyDescent="0.3">
      <c r="B3686" t="s">
        <v>5819</v>
      </c>
      <c r="C3686">
        <v>521182</v>
      </c>
      <c r="D3686" t="s">
        <v>496</v>
      </c>
      <c r="E3686" t="s">
        <v>518</v>
      </c>
    </row>
    <row r="3687" spans="2:5" x14ac:dyDescent="0.3">
      <c r="B3687" t="s">
        <v>5820</v>
      </c>
      <c r="C3687">
        <v>514264</v>
      </c>
      <c r="D3687" t="s">
        <v>496</v>
      </c>
      <c r="E3687" t="s">
        <v>511</v>
      </c>
    </row>
    <row r="3688" spans="2:5" x14ac:dyDescent="0.3">
      <c r="B3688" t="s">
        <v>5821</v>
      </c>
      <c r="C3688" t="s">
        <v>496</v>
      </c>
      <c r="D3688" t="s">
        <v>5822</v>
      </c>
      <c r="E3688" t="s">
        <v>507</v>
      </c>
    </row>
    <row r="3689" spans="2:5" x14ac:dyDescent="0.3">
      <c r="B3689" t="s">
        <v>5823</v>
      </c>
      <c r="C3689">
        <v>540673</v>
      </c>
      <c r="D3689" t="s">
        <v>5824</v>
      </c>
      <c r="E3689" t="s">
        <v>3276</v>
      </c>
    </row>
    <row r="3690" spans="2:5" x14ac:dyDescent="0.3">
      <c r="B3690" t="s">
        <v>5825</v>
      </c>
      <c r="C3690">
        <v>540673</v>
      </c>
      <c r="D3690" t="s">
        <v>5824</v>
      </c>
      <c r="E3690" t="s">
        <v>3276</v>
      </c>
    </row>
    <row r="3691" spans="2:5" x14ac:dyDescent="0.3">
      <c r="B3691" t="s">
        <v>5826</v>
      </c>
      <c r="C3691">
        <v>532886</v>
      </c>
      <c r="D3691" t="s">
        <v>5827</v>
      </c>
      <c r="E3691" t="s">
        <v>511</v>
      </c>
    </row>
    <row r="3692" spans="2:5" x14ac:dyDescent="0.3">
      <c r="B3692" t="s">
        <v>5828</v>
      </c>
      <c r="C3692">
        <v>530075</v>
      </c>
      <c r="D3692" t="s">
        <v>5829</v>
      </c>
      <c r="E3692" t="s">
        <v>559</v>
      </c>
    </row>
    <row r="3693" spans="2:5" x14ac:dyDescent="0.3">
      <c r="B3693" t="s">
        <v>5830</v>
      </c>
      <c r="C3693">
        <v>538875</v>
      </c>
      <c r="D3693" t="s">
        <v>496</v>
      </c>
      <c r="E3693" t="s">
        <v>917</v>
      </c>
    </row>
    <row r="3694" spans="2:5" x14ac:dyDescent="0.3">
      <c r="B3694" t="s">
        <v>5831</v>
      </c>
      <c r="C3694">
        <v>532021</v>
      </c>
      <c r="D3694" t="s">
        <v>496</v>
      </c>
      <c r="E3694" t="s">
        <v>534</v>
      </c>
    </row>
    <row r="3695" spans="2:5" x14ac:dyDescent="0.3">
      <c r="B3695" t="s">
        <v>5832</v>
      </c>
      <c r="C3695">
        <v>531980</v>
      </c>
      <c r="D3695" t="s">
        <v>496</v>
      </c>
      <c r="E3695" t="s">
        <v>482</v>
      </c>
    </row>
    <row r="3696" spans="2:5" x14ac:dyDescent="0.3">
      <c r="B3696" t="s">
        <v>5833</v>
      </c>
      <c r="C3696">
        <v>512529</v>
      </c>
      <c r="D3696" t="s">
        <v>5834</v>
      </c>
      <c r="E3696" t="s">
        <v>534</v>
      </c>
    </row>
    <row r="3697" spans="2:5" x14ac:dyDescent="0.3">
      <c r="B3697" t="s">
        <v>5835</v>
      </c>
      <c r="C3697" t="s">
        <v>496</v>
      </c>
      <c r="D3697" t="s">
        <v>5836</v>
      </c>
      <c r="E3697" t="s">
        <v>507</v>
      </c>
    </row>
    <row r="3698" spans="2:5" x14ac:dyDescent="0.3">
      <c r="B3698" t="s">
        <v>5837</v>
      </c>
      <c r="C3698">
        <v>502450</v>
      </c>
      <c r="D3698" t="s">
        <v>5838</v>
      </c>
      <c r="E3698" t="s">
        <v>490</v>
      </c>
    </row>
    <row r="3699" spans="2:5" x14ac:dyDescent="0.3">
      <c r="B3699" t="s">
        <v>5839</v>
      </c>
      <c r="C3699">
        <v>505075</v>
      </c>
      <c r="D3699" t="s">
        <v>5840</v>
      </c>
      <c r="E3699" t="s">
        <v>851</v>
      </c>
    </row>
    <row r="3700" spans="2:5" x14ac:dyDescent="0.3">
      <c r="B3700" t="s">
        <v>5841</v>
      </c>
      <c r="C3700">
        <v>511760</v>
      </c>
      <c r="D3700" t="s">
        <v>496</v>
      </c>
      <c r="E3700" t="s">
        <v>513</v>
      </c>
    </row>
    <row r="3701" spans="2:5" x14ac:dyDescent="0.3">
      <c r="B3701" t="s">
        <v>5842</v>
      </c>
      <c r="C3701">
        <v>524324</v>
      </c>
      <c r="D3701" t="s">
        <v>496</v>
      </c>
      <c r="E3701" t="s">
        <v>656</v>
      </c>
    </row>
    <row r="3702" spans="2:5" x14ac:dyDescent="0.3">
      <c r="B3702" t="s">
        <v>5843</v>
      </c>
      <c r="C3702">
        <v>532993</v>
      </c>
      <c r="D3702" t="s">
        <v>5844</v>
      </c>
      <c r="E3702" t="s">
        <v>1024</v>
      </c>
    </row>
    <row r="3703" spans="2:5" x14ac:dyDescent="0.3">
      <c r="B3703" t="s">
        <v>5845</v>
      </c>
      <c r="C3703">
        <v>530867</v>
      </c>
      <c r="D3703" t="s">
        <v>496</v>
      </c>
      <c r="E3703" t="s">
        <v>479</v>
      </c>
    </row>
    <row r="3704" spans="2:5" x14ac:dyDescent="0.3">
      <c r="B3704" t="s">
        <v>5846</v>
      </c>
      <c r="C3704">
        <v>524546</v>
      </c>
      <c r="D3704" t="s">
        <v>496</v>
      </c>
      <c r="E3704" t="s">
        <v>534</v>
      </c>
    </row>
    <row r="3705" spans="2:5" x14ac:dyDescent="0.3">
      <c r="B3705" t="s">
        <v>5847</v>
      </c>
      <c r="C3705">
        <v>513436</v>
      </c>
      <c r="D3705" t="s">
        <v>5848</v>
      </c>
      <c r="E3705" t="s">
        <v>528</v>
      </c>
    </row>
    <row r="3706" spans="2:5" x14ac:dyDescent="0.3">
      <c r="B3706" t="s">
        <v>5849</v>
      </c>
      <c r="C3706">
        <v>509870</v>
      </c>
      <c r="D3706" t="s">
        <v>496</v>
      </c>
      <c r="E3706" t="s">
        <v>582</v>
      </c>
    </row>
    <row r="3707" spans="2:5" x14ac:dyDescent="0.3">
      <c r="B3707" t="s">
        <v>5850</v>
      </c>
      <c r="C3707">
        <v>519031</v>
      </c>
      <c r="D3707" t="s">
        <v>496</v>
      </c>
      <c r="E3707" t="s">
        <v>556</v>
      </c>
    </row>
    <row r="3708" spans="2:5" x14ac:dyDescent="0.3">
      <c r="B3708" t="s">
        <v>5851</v>
      </c>
      <c r="C3708">
        <v>526508</v>
      </c>
      <c r="D3708" t="s">
        <v>496</v>
      </c>
      <c r="E3708" t="s">
        <v>1744</v>
      </c>
    </row>
    <row r="3709" spans="2:5" x14ac:dyDescent="0.3">
      <c r="B3709" t="s">
        <v>5852</v>
      </c>
      <c r="C3709">
        <v>539520</v>
      </c>
      <c r="D3709" t="s">
        <v>496</v>
      </c>
      <c r="E3709" t="s">
        <v>518</v>
      </c>
    </row>
    <row r="3710" spans="2:5" x14ac:dyDescent="0.3">
      <c r="B3710" t="s">
        <v>5853</v>
      </c>
      <c r="C3710">
        <v>501423</v>
      </c>
      <c r="D3710" t="s">
        <v>496</v>
      </c>
      <c r="E3710" t="s">
        <v>616</v>
      </c>
    </row>
    <row r="3711" spans="2:5" x14ac:dyDescent="0.3">
      <c r="B3711" t="s">
        <v>5854</v>
      </c>
      <c r="C3711" t="s">
        <v>496</v>
      </c>
      <c r="D3711" t="s">
        <v>5855</v>
      </c>
      <c r="E3711" t="s">
        <v>507</v>
      </c>
    </row>
    <row r="3712" spans="2:5" x14ac:dyDescent="0.3">
      <c r="B3712" t="s">
        <v>5856</v>
      </c>
      <c r="C3712">
        <v>531431</v>
      </c>
      <c r="D3712" t="s">
        <v>5857</v>
      </c>
      <c r="E3712" t="s">
        <v>504</v>
      </c>
    </row>
    <row r="3713" spans="2:5" x14ac:dyDescent="0.3">
      <c r="B3713" t="s">
        <v>5858</v>
      </c>
      <c r="C3713">
        <v>531431</v>
      </c>
      <c r="D3713" t="s">
        <v>5857</v>
      </c>
      <c r="E3713" t="s">
        <v>504</v>
      </c>
    </row>
    <row r="3714" spans="2:5" x14ac:dyDescent="0.3">
      <c r="B3714" t="s">
        <v>5859</v>
      </c>
      <c r="C3714">
        <v>540797</v>
      </c>
      <c r="D3714" t="s">
        <v>5860</v>
      </c>
      <c r="E3714" t="s">
        <v>966</v>
      </c>
    </row>
    <row r="3715" spans="2:5" x14ac:dyDescent="0.3">
      <c r="B3715" t="s">
        <v>5861</v>
      </c>
      <c r="C3715">
        <v>511754</v>
      </c>
      <c r="D3715" t="s">
        <v>496</v>
      </c>
      <c r="E3715" t="s">
        <v>513</v>
      </c>
    </row>
    <row r="3716" spans="2:5" x14ac:dyDescent="0.3">
      <c r="B3716" t="s">
        <v>5862</v>
      </c>
      <c r="C3716">
        <v>539895</v>
      </c>
      <c r="D3716" t="s">
        <v>496</v>
      </c>
      <c r="E3716" t="s">
        <v>479</v>
      </c>
    </row>
    <row r="3717" spans="2:5" x14ac:dyDescent="0.3">
      <c r="B3717" t="s">
        <v>5863</v>
      </c>
      <c r="C3717">
        <v>509874</v>
      </c>
      <c r="D3717" t="s">
        <v>5864</v>
      </c>
      <c r="E3717" t="s">
        <v>773</v>
      </c>
    </row>
    <row r="3718" spans="2:5" x14ac:dyDescent="0.3">
      <c r="B3718" t="s">
        <v>5865</v>
      </c>
      <c r="C3718">
        <v>512499</v>
      </c>
      <c r="D3718" t="s">
        <v>496</v>
      </c>
      <c r="E3718" t="s">
        <v>479</v>
      </c>
    </row>
    <row r="3719" spans="2:5" x14ac:dyDescent="0.3">
      <c r="B3719" t="s">
        <v>5866</v>
      </c>
      <c r="C3719">
        <v>532455</v>
      </c>
      <c r="D3719" t="s">
        <v>496</v>
      </c>
      <c r="E3719" t="s">
        <v>570</v>
      </c>
    </row>
    <row r="3720" spans="2:5" x14ac:dyDescent="0.3">
      <c r="B3720" t="s">
        <v>5867</v>
      </c>
      <c r="C3720">
        <v>540259</v>
      </c>
      <c r="D3720" t="s">
        <v>496</v>
      </c>
      <c r="E3720" t="s">
        <v>3276</v>
      </c>
    </row>
    <row r="3721" spans="2:5" x14ac:dyDescent="0.3">
      <c r="B3721" t="s">
        <v>5868</v>
      </c>
      <c r="C3721">
        <v>542232</v>
      </c>
      <c r="D3721" t="s">
        <v>5869</v>
      </c>
      <c r="E3721" t="s">
        <v>862</v>
      </c>
    </row>
    <row r="3722" spans="2:5" x14ac:dyDescent="0.3">
      <c r="B3722" t="s">
        <v>5870</v>
      </c>
      <c r="C3722">
        <v>540425</v>
      </c>
      <c r="D3722" t="s">
        <v>5871</v>
      </c>
      <c r="E3722" t="s">
        <v>819</v>
      </c>
    </row>
    <row r="3723" spans="2:5" x14ac:dyDescent="0.3">
      <c r="B3723" t="s">
        <v>5872</v>
      </c>
      <c r="C3723">
        <v>512297</v>
      </c>
      <c r="D3723" t="s">
        <v>496</v>
      </c>
      <c r="E3723" t="s">
        <v>504</v>
      </c>
    </row>
    <row r="3724" spans="2:5" x14ac:dyDescent="0.3">
      <c r="B3724" t="s">
        <v>5873</v>
      </c>
      <c r="C3724">
        <v>531925</v>
      </c>
      <c r="D3724" t="s">
        <v>496</v>
      </c>
      <c r="E3724" t="s">
        <v>556</v>
      </c>
    </row>
    <row r="3725" spans="2:5" x14ac:dyDescent="0.3">
      <c r="B3725" t="s">
        <v>5874</v>
      </c>
      <c r="C3725">
        <v>522034</v>
      </c>
      <c r="D3725" t="s">
        <v>5875</v>
      </c>
      <c r="E3725" t="s">
        <v>851</v>
      </c>
    </row>
    <row r="3726" spans="2:5" x14ac:dyDescent="0.3">
      <c r="B3726" t="s">
        <v>5876</v>
      </c>
      <c r="C3726">
        <v>539921</v>
      </c>
      <c r="D3726" t="s">
        <v>496</v>
      </c>
      <c r="E3726" t="s">
        <v>601</v>
      </c>
    </row>
    <row r="3727" spans="2:5" x14ac:dyDescent="0.3">
      <c r="B3727" t="s">
        <v>5877</v>
      </c>
      <c r="C3727" t="s">
        <v>496</v>
      </c>
      <c r="D3727" t="s">
        <v>5878</v>
      </c>
      <c r="E3727" t="s">
        <v>507</v>
      </c>
    </row>
    <row r="3728" spans="2:5" x14ac:dyDescent="0.3">
      <c r="B3728" t="s">
        <v>5879</v>
      </c>
      <c r="C3728" t="s">
        <v>496</v>
      </c>
      <c r="D3728" t="s">
        <v>5878</v>
      </c>
      <c r="E3728" t="s">
        <v>507</v>
      </c>
    </row>
    <row r="3729" spans="2:5" x14ac:dyDescent="0.3">
      <c r="B3729" t="s">
        <v>5880</v>
      </c>
      <c r="C3729">
        <v>514402</v>
      </c>
      <c r="D3729" t="s">
        <v>496</v>
      </c>
      <c r="E3729" t="s">
        <v>511</v>
      </c>
    </row>
    <row r="3730" spans="2:5" x14ac:dyDescent="0.3">
      <c r="B3730" t="s">
        <v>5881</v>
      </c>
      <c r="C3730">
        <v>539584</v>
      </c>
      <c r="D3730" t="s">
        <v>496</v>
      </c>
      <c r="E3730" t="s">
        <v>518</v>
      </c>
    </row>
    <row r="3731" spans="2:5" x14ac:dyDescent="0.3">
      <c r="B3731" t="s">
        <v>5882</v>
      </c>
      <c r="C3731">
        <v>538666</v>
      </c>
      <c r="D3731" t="s">
        <v>5883</v>
      </c>
      <c r="E3731" t="s">
        <v>640</v>
      </c>
    </row>
    <row r="3732" spans="2:5" x14ac:dyDescent="0.3">
      <c r="B3732" t="s">
        <v>5884</v>
      </c>
      <c r="C3732">
        <v>513548</v>
      </c>
      <c r="D3732" t="s">
        <v>496</v>
      </c>
      <c r="E3732" t="s">
        <v>528</v>
      </c>
    </row>
    <row r="3733" spans="2:5" x14ac:dyDescent="0.3">
      <c r="B3733" t="s">
        <v>5885</v>
      </c>
      <c r="C3733">
        <v>535602</v>
      </c>
      <c r="D3733" t="s">
        <v>5886</v>
      </c>
      <c r="E3733" t="s">
        <v>851</v>
      </c>
    </row>
    <row r="3734" spans="2:5" x14ac:dyDescent="0.3">
      <c r="B3734" t="s">
        <v>5887</v>
      </c>
      <c r="C3734">
        <v>512393</v>
      </c>
      <c r="D3734" t="s">
        <v>496</v>
      </c>
      <c r="E3734" t="s">
        <v>479</v>
      </c>
    </row>
    <row r="3735" spans="2:5" x14ac:dyDescent="0.3">
      <c r="B3735" t="s">
        <v>5888</v>
      </c>
      <c r="C3735">
        <v>540725</v>
      </c>
      <c r="D3735" t="s">
        <v>496</v>
      </c>
      <c r="E3735" t="s">
        <v>479</v>
      </c>
    </row>
    <row r="3736" spans="2:5" x14ac:dyDescent="0.3">
      <c r="B3736" t="s">
        <v>5889</v>
      </c>
      <c r="C3736">
        <v>540786</v>
      </c>
      <c r="D3736" t="s">
        <v>496</v>
      </c>
      <c r="E3736" t="s">
        <v>794</v>
      </c>
    </row>
    <row r="3737" spans="2:5" x14ac:dyDescent="0.3">
      <c r="B3737" t="s">
        <v>5890</v>
      </c>
      <c r="C3737">
        <v>532908</v>
      </c>
      <c r="D3737" t="s">
        <v>5891</v>
      </c>
      <c r="E3737" t="s">
        <v>534</v>
      </c>
    </row>
    <row r="3738" spans="2:5" x14ac:dyDescent="0.3">
      <c r="B3738" t="s">
        <v>5892</v>
      </c>
      <c r="C3738">
        <v>523449</v>
      </c>
      <c r="D3738" t="s">
        <v>496</v>
      </c>
      <c r="E3738" t="s">
        <v>865</v>
      </c>
    </row>
    <row r="3739" spans="2:5" x14ac:dyDescent="0.3">
      <c r="B3739" t="s">
        <v>5893</v>
      </c>
      <c r="C3739">
        <v>523449</v>
      </c>
      <c r="D3739" t="s">
        <v>496</v>
      </c>
      <c r="E3739" t="s">
        <v>865</v>
      </c>
    </row>
    <row r="3740" spans="2:5" x14ac:dyDescent="0.3">
      <c r="B3740" t="s">
        <v>5894</v>
      </c>
      <c r="C3740">
        <v>538212</v>
      </c>
      <c r="D3740" t="s">
        <v>496</v>
      </c>
      <c r="E3740" t="s">
        <v>513</v>
      </c>
    </row>
    <row r="3741" spans="2:5" x14ac:dyDescent="0.3">
      <c r="B3741" t="s">
        <v>5895</v>
      </c>
      <c r="C3741">
        <v>540221</v>
      </c>
      <c r="D3741" t="s">
        <v>496</v>
      </c>
      <c r="E3741" t="s">
        <v>518</v>
      </c>
    </row>
    <row r="3742" spans="2:5" x14ac:dyDescent="0.3">
      <c r="B3742" t="s">
        <v>5896</v>
      </c>
      <c r="C3742">
        <v>540147</v>
      </c>
      <c r="D3742" t="s">
        <v>496</v>
      </c>
      <c r="E3742" t="s">
        <v>894</v>
      </c>
    </row>
    <row r="3743" spans="2:5" x14ac:dyDescent="0.3">
      <c r="B3743" t="s">
        <v>5897</v>
      </c>
      <c r="C3743">
        <v>540203</v>
      </c>
      <c r="D3743" t="s">
        <v>5898</v>
      </c>
      <c r="E3743" t="s">
        <v>773</v>
      </c>
    </row>
    <row r="3744" spans="2:5" x14ac:dyDescent="0.3">
      <c r="B3744" t="s">
        <v>5899</v>
      </c>
      <c r="C3744">
        <v>540757</v>
      </c>
      <c r="D3744" t="s">
        <v>496</v>
      </c>
      <c r="E3744" t="s">
        <v>556</v>
      </c>
    </row>
    <row r="3745" spans="2:5" x14ac:dyDescent="0.3">
      <c r="B3745" t="s">
        <v>5900</v>
      </c>
      <c r="C3745">
        <v>530525</v>
      </c>
      <c r="D3745" t="s">
        <v>496</v>
      </c>
      <c r="E3745" t="s">
        <v>610</v>
      </c>
    </row>
    <row r="3746" spans="2:5" x14ac:dyDescent="0.3">
      <c r="B3746" t="s">
        <v>5901</v>
      </c>
      <c r="C3746">
        <v>533301</v>
      </c>
      <c r="D3746" t="s">
        <v>5902</v>
      </c>
      <c r="E3746" t="s">
        <v>511</v>
      </c>
    </row>
    <row r="3747" spans="2:5" x14ac:dyDescent="0.3">
      <c r="B3747" t="s">
        <v>5903</v>
      </c>
      <c r="C3747">
        <v>526839</v>
      </c>
      <c r="D3747" t="s">
        <v>496</v>
      </c>
      <c r="E3747" t="s">
        <v>894</v>
      </c>
    </row>
    <row r="3748" spans="2:5" x14ac:dyDescent="0.3">
      <c r="B3748" t="s">
        <v>5904</v>
      </c>
      <c r="C3748">
        <v>538685</v>
      </c>
      <c r="D3748" t="s">
        <v>5905</v>
      </c>
      <c r="E3748" t="s">
        <v>499</v>
      </c>
    </row>
    <row r="3749" spans="2:5" x14ac:dyDescent="0.3">
      <c r="B3749" t="s">
        <v>5906</v>
      </c>
      <c r="C3749">
        <v>512367</v>
      </c>
      <c r="D3749" t="s">
        <v>496</v>
      </c>
      <c r="E3749" t="s">
        <v>479</v>
      </c>
    </row>
    <row r="3750" spans="2:5" x14ac:dyDescent="0.3">
      <c r="B3750" t="s">
        <v>5907</v>
      </c>
      <c r="C3750">
        <v>526117</v>
      </c>
      <c r="D3750" t="s">
        <v>496</v>
      </c>
      <c r="E3750" t="s">
        <v>1042</v>
      </c>
    </row>
    <row r="3751" spans="2:5" x14ac:dyDescent="0.3">
      <c r="B3751" t="s">
        <v>5908</v>
      </c>
      <c r="C3751">
        <v>539111</v>
      </c>
      <c r="D3751" t="s">
        <v>496</v>
      </c>
      <c r="E3751" t="s">
        <v>511</v>
      </c>
    </row>
    <row r="3752" spans="2:5" x14ac:dyDescent="0.3">
      <c r="B3752" t="s">
        <v>5909</v>
      </c>
      <c r="C3752">
        <v>526137</v>
      </c>
      <c r="D3752" t="s">
        <v>496</v>
      </c>
      <c r="E3752" t="s">
        <v>691</v>
      </c>
    </row>
    <row r="3753" spans="2:5" x14ac:dyDescent="0.3">
      <c r="B3753" t="s">
        <v>5910</v>
      </c>
      <c r="C3753">
        <v>507952</v>
      </c>
      <c r="D3753" t="s">
        <v>496</v>
      </c>
      <c r="E3753" t="s">
        <v>513</v>
      </c>
    </row>
    <row r="3754" spans="2:5" x14ac:dyDescent="0.3">
      <c r="B3754" t="s">
        <v>5911</v>
      </c>
      <c r="C3754">
        <v>531201</v>
      </c>
      <c r="D3754" t="s">
        <v>496</v>
      </c>
      <c r="E3754" t="s">
        <v>794</v>
      </c>
    </row>
    <row r="3755" spans="2:5" x14ac:dyDescent="0.3">
      <c r="B3755" t="s">
        <v>5912</v>
      </c>
      <c r="C3755">
        <v>513709</v>
      </c>
      <c r="D3755" t="s">
        <v>496</v>
      </c>
      <c r="E3755" t="s">
        <v>504</v>
      </c>
    </row>
    <row r="3756" spans="2:5" x14ac:dyDescent="0.3">
      <c r="B3756" t="s">
        <v>5913</v>
      </c>
      <c r="C3756">
        <v>530549</v>
      </c>
      <c r="D3756" t="s">
        <v>5914</v>
      </c>
      <c r="E3756" t="s">
        <v>534</v>
      </c>
    </row>
    <row r="3757" spans="2:5" x14ac:dyDescent="0.3">
      <c r="B3757" t="s">
        <v>5915</v>
      </c>
      <c r="C3757">
        <v>533389</v>
      </c>
      <c r="D3757" t="s">
        <v>5916</v>
      </c>
      <c r="E3757" t="s">
        <v>794</v>
      </c>
    </row>
    <row r="3758" spans="2:5" x14ac:dyDescent="0.3">
      <c r="B3758" t="s">
        <v>5917</v>
      </c>
      <c r="C3758">
        <v>523598</v>
      </c>
      <c r="D3758" t="s">
        <v>5918</v>
      </c>
      <c r="E3758" t="s">
        <v>1744</v>
      </c>
    </row>
    <row r="3759" spans="2:5" x14ac:dyDescent="0.3">
      <c r="B3759" t="s">
        <v>5919</v>
      </c>
      <c r="C3759">
        <v>523598</v>
      </c>
      <c r="D3759" t="s">
        <v>5918</v>
      </c>
      <c r="E3759" t="s">
        <v>1744</v>
      </c>
    </row>
    <row r="3760" spans="2:5" x14ac:dyDescent="0.3">
      <c r="B3760" t="s">
        <v>5920</v>
      </c>
      <c r="C3760">
        <v>512289</v>
      </c>
      <c r="D3760" t="s">
        <v>5921</v>
      </c>
      <c r="E3760" t="s">
        <v>2744</v>
      </c>
    </row>
    <row r="3761" spans="2:5" x14ac:dyDescent="0.3">
      <c r="B3761" t="s">
        <v>5922</v>
      </c>
      <c r="C3761">
        <v>540693</v>
      </c>
      <c r="D3761" t="s">
        <v>496</v>
      </c>
      <c r="E3761" t="s">
        <v>616</v>
      </c>
    </row>
    <row r="3762" spans="2:5" x14ac:dyDescent="0.3">
      <c r="B3762" t="s">
        <v>5923</v>
      </c>
      <c r="C3762">
        <v>532323</v>
      </c>
      <c r="D3762" t="s">
        <v>496</v>
      </c>
      <c r="E3762" t="s">
        <v>509</v>
      </c>
    </row>
    <row r="3763" spans="2:5" x14ac:dyDescent="0.3">
      <c r="B3763" t="s">
        <v>5924</v>
      </c>
      <c r="C3763">
        <v>530433</v>
      </c>
      <c r="D3763" t="s">
        <v>496</v>
      </c>
      <c r="E3763" t="s">
        <v>1004</v>
      </c>
    </row>
    <row r="3764" spans="2:5" x14ac:dyDescent="0.3">
      <c r="B3764" t="s">
        <v>5925</v>
      </c>
      <c r="C3764">
        <v>540072</v>
      </c>
      <c r="D3764" t="s">
        <v>496</v>
      </c>
      <c r="E3764" t="s">
        <v>1024</v>
      </c>
    </row>
    <row r="3765" spans="2:5" x14ac:dyDescent="0.3">
      <c r="B3765" t="s">
        <v>5926</v>
      </c>
      <c r="C3765">
        <v>524602</v>
      </c>
      <c r="D3765" t="s">
        <v>5927</v>
      </c>
      <c r="E3765" t="s">
        <v>685</v>
      </c>
    </row>
    <row r="3766" spans="2:5" x14ac:dyDescent="0.3">
      <c r="B3766" t="s">
        <v>5928</v>
      </c>
      <c r="C3766">
        <v>540961</v>
      </c>
      <c r="D3766" t="s">
        <v>5929</v>
      </c>
      <c r="E3766" t="s">
        <v>511</v>
      </c>
    </row>
    <row r="3767" spans="2:5" x14ac:dyDescent="0.3">
      <c r="B3767" t="s">
        <v>5930</v>
      </c>
      <c r="C3767">
        <v>521003</v>
      </c>
      <c r="D3767" t="s">
        <v>496</v>
      </c>
      <c r="E3767" t="s">
        <v>518</v>
      </c>
    </row>
    <row r="3768" spans="2:5" x14ac:dyDescent="0.3">
      <c r="B3768" t="s">
        <v>5931</v>
      </c>
      <c r="C3768">
        <v>511108</v>
      </c>
      <c r="D3768" t="s">
        <v>5932</v>
      </c>
      <c r="E3768" t="s">
        <v>511</v>
      </c>
    </row>
    <row r="3769" spans="2:5" x14ac:dyDescent="0.3">
      <c r="B3769" t="s">
        <v>5933</v>
      </c>
      <c r="C3769">
        <v>522237</v>
      </c>
      <c r="D3769" t="s">
        <v>496</v>
      </c>
      <c r="E3769" t="s">
        <v>504</v>
      </c>
    </row>
    <row r="3770" spans="2:5" x14ac:dyDescent="0.3">
      <c r="B3770" t="s">
        <v>5934</v>
      </c>
      <c r="C3770">
        <v>513097</v>
      </c>
      <c r="D3770" t="s">
        <v>496</v>
      </c>
      <c r="E3770" t="s">
        <v>1038</v>
      </c>
    </row>
    <row r="3771" spans="2:5" x14ac:dyDescent="0.3">
      <c r="B3771" t="s">
        <v>5935</v>
      </c>
      <c r="C3771">
        <v>539148</v>
      </c>
      <c r="D3771" t="s">
        <v>496</v>
      </c>
      <c r="E3771" t="s">
        <v>640</v>
      </c>
    </row>
    <row r="3772" spans="2:5" x14ac:dyDescent="0.3">
      <c r="B3772" t="s">
        <v>5936</v>
      </c>
      <c r="C3772">
        <v>532776</v>
      </c>
      <c r="D3772" t="s">
        <v>5937</v>
      </c>
      <c r="E3772" t="s">
        <v>851</v>
      </c>
    </row>
    <row r="3773" spans="2:5" x14ac:dyDescent="0.3">
      <c r="B3773" t="s">
        <v>5938</v>
      </c>
      <c r="C3773">
        <v>539593</v>
      </c>
      <c r="D3773" t="s">
        <v>496</v>
      </c>
      <c r="E3773" t="s">
        <v>479</v>
      </c>
    </row>
    <row r="3774" spans="2:5" x14ac:dyDescent="0.3">
      <c r="B3774" t="s">
        <v>5939</v>
      </c>
      <c r="C3774">
        <v>539683</v>
      </c>
      <c r="D3774" t="s">
        <v>496</v>
      </c>
      <c r="E3774" t="s">
        <v>513</v>
      </c>
    </row>
    <row r="3775" spans="2:5" x14ac:dyDescent="0.3">
      <c r="B3775" t="s">
        <v>5940</v>
      </c>
      <c r="C3775">
        <v>539833</v>
      </c>
      <c r="D3775" t="s">
        <v>496</v>
      </c>
      <c r="E3775" t="s">
        <v>513</v>
      </c>
    </row>
    <row r="3776" spans="2:5" x14ac:dyDescent="0.3">
      <c r="B3776" t="s">
        <v>5941</v>
      </c>
      <c r="C3776">
        <v>532638</v>
      </c>
      <c r="D3776" t="s">
        <v>5942</v>
      </c>
      <c r="E3776" t="s">
        <v>665</v>
      </c>
    </row>
    <row r="3777" spans="2:5" x14ac:dyDescent="0.3">
      <c r="B3777" t="s">
        <v>5943</v>
      </c>
      <c r="C3777" t="s">
        <v>496</v>
      </c>
      <c r="D3777" t="s">
        <v>5944</v>
      </c>
      <c r="E3777" t="s">
        <v>507</v>
      </c>
    </row>
    <row r="3778" spans="2:5" x14ac:dyDescent="0.3">
      <c r="B3778" t="s">
        <v>5945</v>
      </c>
      <c r="C3778">
        <v>538795</v>
      </c>
      <c r="D3778" t="s">
        <v>496</v>
      </c>
      <c r="E3778" t="s">
        <v>490</v>
      </c>
    </row>
    <row r="3779" spans="2:5" x14ac:dyDescent="0.3">
      <c r="B3779" t="s">
        <v>5946</v>
      </c>
      <c r="C3779">
        <v>521131</v>
      </c>
      <c r="D3779" t="s">
        <v>496</v>
      </c>
      <c r="E3779" t="s">
        <v>511</v>
      </c>
    </row>
    <row r="3780" spans="2:5" x14ac:dyDescent="0.3">
      <c r="B3780" t="s">
        <v>5947</v>
      </c>
      <c r="C3780">
        <v>502563</v>
      </c>
      <c r="D3780" t="s">
        <v>496</v>
      </c>
      <c r="E3780" t="s">
        <v>490</v>
      </c>
    </row>
    <row r="3781" spans="2:5" x14ac:dyDescent="0.3">
      <c r="B3781" t="s">
        <v>5948</v>
      </c>
      <c r="C3781">
        <v>500387</v>
      </c>
      <c r="D3781" t="s">
        <v>5949</v>
      </c>
      <c r="E3781" t="s">
        <v>509</v>
      </c>
    </row>
    <row r="3782" spans="2:5" x14ac:dyDescent="0.3">
      <c r="B3782" t="s">
        <v>5950</v>
      </c>
      <c r="C3782">
        <v>502180</v>
      </c>
      <c r="D3782" t="s">
        <v>496</v>
      </c>
      <c r="E3782" t="s">
        <v>509</v>
      </c>
    </row>
    <row r="3783" spans="2:5" x14ac:dyDescent="0.3">
      <c r="B3783" t="s">
        <v>5951</v>
      </c>
      <c r="C3783">
        <v>539470</v>
      </c>
      <c r="D3783" t="s">
        <v>496</v>
      </c>
      <c r="E3783" t="s">
        <v>834</v>
      </c>
    </row>
    <row r="3784" spans="2:5" x14ac:dyDescent="0.3">
      <c r="B3784" t="s">
        <v>5952</v>
      </c>
      <c r="C3784">
        <v>539470</v>
      </c>
      <c r="D3784" t="s">
        <v>496</v>
      </c>
      <c r="E3784" t="s">
        <v>834</v>
      </c>
    </row>
    <row r="3785" spans="2:5" x14ac:dyDescent="0.3">
      <c r="B3785" t="s">
        <v>5953</v>
      </c>
      <c r="C3785">
        <v>530797</v>
      </c>
      <c r="D3785" t="s">
        <v>496</v>
      </c>
      <c r="E3785" t="s">
        <v>518</v>
      </c>
    </row>
    <row r="3786" spans="2:5" x14ac:dyDescent="0.3">
      <c r="B3786" t="s">
        <v>5954</v>
      </c>
      <c r="C3786">
        <v>532643</v>
      </c>
      <c r="D3786" t="s">
        <v>5955</v>
      </c>
      <c r="E3786" t="s">
        <v>1416</v>
      </c>
    </row>
    <row r="3787" spans="2:5" x14ac:dyDescent="0.3">
      <c r="B3787" t="s">
        <v>5956</v>
      </c>
      <c r="C3787">
        <v>540737</v>
      </c>
      <c r="D3787" t="s">
        <v>496</v>
      </c>
      <c r="E3787" t="s">
        <v>534</v>
      </c>
    </row>
    <row r="3788" spans="2:5" x14ac:dyDescent="0.3">
      <c r="B3788" t="s">
        <v>5957</v>
      </c>
      <c r="C3788">
        <v>512463</v>
      </c>
      <c r="D3788" t="s">
        <v>496</v>
      </c>
      <c r="E3788" t="s">
        <v>513</v>
      </c>
    </row>
    <row r="3789" spans="2:5" x14ac:dyDescent="0.3">
      <c r="B3789" t="s">
        <v>5958</v>
      </c>
      <c r="C3789">
        <v>524336</v>
      </c>
      <c r="D3789" t="s">
        <v>496</v>
      </c>
      <c r="E3789" t="s">
        <v>544</v>
      </c>
    </row>
    <row r="3790" spans="2:5" x14ac:dyDescent="0.3">
      <c r="B3790" t="s">
        <v>5959</v>
      </c>
      <c r="C3790">
        <v>516106</v>
      </c>
      <c r="D3790" t="s">
        <v>496</v>
      </c>
      <c r="E3790" t="s">
        <v>490</v>
      </c>
    </row>
    <row r="3791" spans="2:5" x14ac:dyDescent="0.3">
      <c r="B3791" t="s">
        <v>5960</v>
      </c>
      <c r="C3791">
        <v>542146</v>
      </c>
      <c r="D3791" t="s">
        <v>496</v>
      </c>
      <c r="E3791" t="s">
        <v>582</v>
      </c>
    </row>
    <row r="3792" spans="2:5" x14ac:dyDescent="0.3">
      <c r="B3792" t="s">
        <v>5961</v>
      </c>
      <c r="C3792">
        <v>500388</v>
      </c>
      <c r="D3792" t="s">
        <v>496</v>
      </c>
      <c r="E3792" t="s">
        <v>490</v>
      </c>
    </row>
    <row r="3793" spans="2:5" x14ac:dyDescent="0.3">
      <c r="B3793" t="s">
        <v>5962</v>
      </c>
      <c r="C3793">
        <v>503863</v>
      </c>
      <c r="D3793" t="s">
        <v>496</v>
      </c>
      <c r="E3793" t="s">
        <v>511</v>
      </c>
    </row>
    <row r="3794" spans="2:5" x14ac:dyDescent="0.3">
      <c r="B3794" t="s">
        <v>5963</v>
      </c>
      <c r="C3794">
        <v>531962</v>
      </c>
      <c r="D3794" t="s">
        <v>496</v>
      </c>
      <c r="E3794" t="s">
        <v>513</v>
      </c>
    </row>
    <row r="3795" spans="2:5" x14ac:dyDescent="0.3">
      <c r="B3795" t="s">
        <v>5964</v>
      </c>
      <c r="C3795">
        <v>540253</v>
      </c>
      <c r="D3795" t="s">
        <v>496</v>
      </c>
      <c r="E3795" t="s">
        <v>479</v>
      </c>
    </row>
    <row r="3796" spans="2:5" x14ac:dyDescent="0.3">
      <c r="B3796" t="s">
        <v>5965</v>
      </c>
      <c r="C3796">
        <v>506180</v>
      </c>
      <c r="D3796" t="s">
        <v>496</v>
      </c>
      <c r="E3796" t="s">
        <v>518</v>
      </c>
    </row>
    <row r="3797" spans="2:5" x14ac:dyDescent="0.3">
      <c r="B3797" t="s">
        <v>5966</v>
      </c>
      <c r="C3797">
        <v>527005</v>
      </c>
      <c r="D3797" t="s">
        <v>496</v>
      </c>
      <c r="E3797" t="s">
        <v>1461</v>
      </c>
    </row>
    <row r="3798" spans="2:5" x14ac:dyDescent="0.3">
      <c r="B3798" t="s">
        <v>5967</v>
      </c>
      <c r="C3798">
        <v>533110</v>
      </c>
      <c r="D3798" t="s">
        <v>496</v>
      </c>
      <c r="E3798" t="s">
        <v>819</v>
      </c>
    </row>
    <row r="3799" spans="2:5" x14ac:dyDescent="0.3">
      <c r="B3799" t="s">
        <v>5968</v>
      </c>
      <c r="C3799">
        <v>539334</v>
      </c>
      <c r="D3799" t="s">
        <v>5969</v>
      </c>
      <c r="E3799" t="s">
        <v>656</v>
      </c>
    </row>
    <row r="3800" spans="2:5" x14ac:dyDescent="0.3">
      <c r="B3800" t="s">
        <v>5970</v>
      </c>
      <c r="C3800">
        <v>503837</v>
      </c>
      <c r="D3800" t="s">
        <v>496</v>
      </c>
      <c r="E3800" t="s">
        <v>511</v>
      </c>
    </row>
    <row r="3801" spans="2:5" x14ac:dyDescent="0.3">
      <c r="B3801" t="s">
        <v>5971</v>
      </c>
      <c r="C3801">
        <v>516086</v>
      </c>
      <c r="D3801" t="s">
        <v>496</v>
      </c>
      <c r="E3801" t="s">
        <v>490</v>
      </c>
    </row>
    <row r="3802" spans="2:5" x14ac:dyDescent="0.3">
      <c r="B3802" t="s">
        <v>5972</v>
      </c>
      <c r="C3802" t="s">
        <v>496</v>
      </c>
      <c r="D3802" t="s">
        <v>5973</v>
      </c>
      <c r="E3802" t="s">
        <v>507</v>
      </c>
    </row>
    <row r="3803" spans="2:5" x14ac:dyDescent="0.3">
      <c r="B3803" t="s">
        <v>5974</v>
      </c>
      <c r="C3803">
        <v>532310</v>
      </c>
      <c r="D3803" t="s">
        <v>5975</v>
      </c>
      <c r="E3803" t="s">
        <v>691</v>
      </c>
    </row>
    <row r="3804" spans="2:5" x14ac:dyDescent="0.3">
      <c r="B3804" t="s">
        <v>5976</v>
      </c>
      <c r="C3804">
        <v>500356</v>
      </c>
      <c r="D3804" t="s">
        <v>5977</v>
      </c>
      <c r="E3804" t="s">
        <v>490</v>
      </c>
    </row>
    <row r="3805" spans="2:5" x14ac:dyDescent="0.3">
      <c r="B3805" t="s">
        <v>5978</v>
      </c>
      <c r="C3805">
        <v>532670</v>
      </c>
      <c r="D3805" t="s">
        <v>5979</v>
      </c>
      <c r="E3805" t="s">
        <v>1195</v>
      </c>
    </row>
    <row r="3806" spans="2:5" x14ac:dyDescent="0.3">
      <c r="B3806" t="s">
        <v>5980</v>
      </c>
      <c r="C3806">
        <v>503635</v>
      </c>
      <c r="D3806" t="s">
        <v>496</v>
      </c>
      <c r="E3806" t="s">
        <v>479</v>
      </c>
    </row>
    <row r="3807" spans="2:5" x14ac:dyDescent="0.3">
      <c r="B3807" t="s">
        <v>5981</v>
      </c>
      <c r="C3807">
        <v>538975</v>
      </c>
      <c r="D3807" t="s">
        <v>496</v>
      </c>
      <c r="E3807" t="s">
        <v>513</v>
      </c>
    </row>
    <row r="3808" spans="2:5" x14ac:dyDescent="0.3">
      <c r="B3808" t="s">
        <v>5982</v>
      </c>
      <c r="C3808">
        <v>513488</v>
      </c>
      <c r="D3808" t="s">
        <v>496</v>
      </c>
      <c r="E3808" t="s">
        <v>819</v>
      </c>
    </row>
    <row r="3809" spans="2:5" x14ac:dyDescent="0.3">
      <c r="B3809" t="s">
        <v>5983</v>
      </c>
      <c r="C3809">
        <v>531667</v>
      </c>
      <c r="D3809" t="s">
        <v>496</v>
      </c>
      <c r="E3809" t="s">
        <v>518</v>
      </c>
    </row>
    <row r="3810" spans="2:5" x14ac:dyDescent="0.3">
      <c r="B3810" t="s">
        <v>5984</v>
      </c>
      <c r="C3810" t="s">
        <v>496</v>
      </c>
      <c r="D3810" t="s">
        <v>5985</v>
      </c>
      <c r="E3810" t="s">
        <v>507</v>
      </c>
    </row>
    <row r="3811" spans="2:5" x14ac:dyDescent="0.3">
      <c r="B3811" t="s">
        <v>5986</v>
      </c>
      <c r="C3811">
        <v>590128</v>
      </c>
      <c r="D3811" t="s">
        <v>496</v>
      </c>
      <c r="E3811" t="s">
        <v>482</v>
      </c>
    </row>
    <row r="3812" spans="2:5" x14ac:dyDescent="0.3">
      <c r="B3812" t="s">
        <v>5987</v>
      </c>
      <c r="C3812" t="s">
        <v>496</v>
      </c>
      <c r="D3812" t="s">
        <v>5988</v>
      </c>
      <c r="E3812" t="s">
        <v>507</v>
      </c>
    </row>
    <row r="3813" spans="2:5" x14ac:dyDescent="0.3">
      <c r="B3813" t="s">
        <v>5989</v>
      </c>
      <c r="C3813">
        <v>541358</v>
      </c>
      <c r="D3813" t="s">
        <v>496</v>
      </c>
      <c r="E3813" t="s">
        <v>513</v>
      </c>
    </row>
    <row r="3814" spans="2:5" x14ac:dyDescent="0.3">
      <c r="B3814" t="s">
        <v>5990</v>
      </c>
      <c r="C3814">
        <v>540738</v>
      </c>
      <c r="D3814" t="s">
        <v>496</v>
      </c>
      <c r="E3814" t="s">
        <v>817</v>
      </c>
    </row>
    <row r="3815" spans="2:5" x14ac:dyDescent="0.3">
      <c r="B3815" t="s">
        <v>5991</v>
      </c>
      <c r="C3815">
        <v>503696</v>
      </c>
      <c r="D3815" t="s">
        <v>496</v>
      </c>
      <c r="E3815" t="s">
        <v>917</v>
      </c>
    </row>
    <row r="3816" spans="2:5" x14ac:dyDescent="0.3">
      <c r="B3816" t="s">
        <v>5992</v>
      </c>
      <c r="C3816" t="s">
        <v>496</v>
      </c>
      <c r="D3816" t="s">
        <v>5993</v>
      </c>
      <c r="E3816" t="s">
        <v>507</v>
      </c>
    </row>
    <row r="3817" spans="2:5" x14ac:dyDescent="0.3">
      <c r="B3817" t="s">
        <v>5994</v>
      </c>
      <c r="C3817">
        <v>541112</v>
      </c>
      <c r="D3817" t="s">
        <v>496</v>
      </c>
      <c r="E3817" t="s">
        <v>894</v>
      </c>
    </row>
    <row r="3818" spans="2:5" x14ac:dyDescent="0.3">
      <c r="B3818" t="s">
        <v>5995</v>
      </c>
      <c r="C3818">
        <v>532007</v>
      </c>
      <c r="D3818" t="s">
        <v>496</v>
      </c>
      <c r="E3818" t="s">
        <v>917</v>
      </c>
    </row>
    <row r="3819" spans="2:5" x14ac:dyDescent="0.3">
      <c r="B3819" t="s">
        <v>5996</v>
      </c>
      <c r="C3819" t="s">
        <v>496</v>
      </c>
      <c r="D3819" t="s">
        <v>5997</v>
      </c>
      <c r="E3819" t="s">
        <v>507</v>
      </c>
    </row>
    <row r="3820" spans="2:5" x14ac:dyDescent="0.3">
      <c r="B3820" t="s">
        <v>5998</v>
      </c>
      <c r="C3820">
        <v>516016</v>
      </c>
      <c r="D3820" t="s">
        <v>5999</v>
      </c>
      <c r="E3820" t="s">
        <v>490</v>
      </c>
    </row>
    <row r="3821" spans="2:5" x14ac:dyDescent="0.3">
      <c r="B3821" t="s">
        <v>6000</v>
      </c>
      <c r="C3821">
        <v>526335</v>
      </c>
      <c r="D3821" t="s">
        <v>496</v>
      </c>
      <c r="E3821" t="s">
        <v>544</v>
      </c>
    </row>
    <row r="3822" spans="2:5" x14ac:dyDescent="0.3">
      <c r="B3822" t="s">
        <v>6001</v>
      </c>
      <c r="C3822">
        <v>520151</v>
      </c>
      <c r="D3822" t="s">
        <v>6002</v>
      </c>
      <c r="E3822" t="s">
        <v>1744</v>
      </c>
    </row>
    <row r="3823" spans="2:5" x14ac:dyDescent="0.3">
      <c r="B3823" t="s">
        <v>6003</v>
      </c>
      <c r="C3823">
        <v>526981</v>
      </c>
      <c r="D3823" t="s">
        <v>496</v>
      </c>
      <c r="E3823" t="s">
        <v>819</v>
      </c>
    </row>
    <row r="3824" spans="2:5" x14ac:dyDescent="0.3">
      <c r="B3824" t="s">
        <v>6004</v>
      </c>
      <c r="C3824">
        <v>530841</v>
      </c>
      <c r="D3824" t="s">
        <v>496</v>
      </c>
      <c r="E3824" t="s">
        <v>773</v>
      </c>
    </row>
    <row r="3825" spans="2:5" x14ac:dyDescent="0.3">
      <c r="B3825" t="s">
        <v>6005</v>
      </c>
      <c r="C3825">
        <v>503804</v>
      </c>
      <c r="D3825" t="s">
        <v>496</v>
      </c>
      <c r="E3825" t="s">
        <v>511</v>
      </c>
    </row>
    <row r="3826" spans="2:5" x14ac:dyDescent="0.3">
      <c r="B3826" t="s">
        <v>6006</v>
      </c>
      <c r="C3826">
        <v>512453</v>
      </c>
      <c r="D3826" t="s">
        <v>496</v>
      </c>
      <c r="E3826" t="s">
        <v>691</v>
      </c>
    </row>
    <row r="3827" spans="2:5" x14ac:dyDescent="0.3">
      <c r="B3827" t="s">
        <v>6007</v>
      </c>
      <c r="C3827">
        <v>532083</v>
      </c>
      <c r="D3827" t="s">
        <v>496</v>
      </c>
      <c r="E3827" t="s">
        <v>917</v>
      </c>
    </row>
    <row r="3828" spans="2:5" x14ac:dyDescent="0.3">
      <c r="B3828" t="s">
        <v>6008</v>
      </c>
      <c r="C3828">
        <v>530977</v>
      </c>
      <c r="D3828" t="s">
        <v>496</v>
      </c>
      <c r="E3828" t="s">
        <v>509</v>
      </c>
    </row>
    <row r="3829" spans="2:5" x14ac:dyDescent="0.3">
      <c r="B3829" t="s">
        <v>6009</v>
      </c>
      <c r="C3829">
        <v>531080</v>
      </c>
      <c r="D3829" t="s">
        <v>496</v>
      </c>
      <c r="E3829" t="s">
        <v>582</v>
      </c>
    </row>
    <row r="3830" spans="2:5" x14ac:dyDescent="0.3">
      <c r="B3830" t="s">
        <v>6010</v>
      </c>
      <c r="C3830">
        <v>538897</v>
      </c>
      <c r="D3830" t="s">
        <v>496</v>
      </c>
      <c r="E3830" t="s">
        <v>513</v>
      </c>
    </row>
    <row r="3831" spans="2:5" x14ac:dyDescent="0.3">
      <c r="B3831" t="s">
        <v>6011</v>
      </c>
      <c r="C3831" t="s">
        <v>496</v>
      </c>
      <c r="D3831" t="s">
        <v>6012</v>
      </c>
      <c r="E3831" t="s">
        <v>507</v>
      </c>
    </row>
    <row r="3832" spans="2:5" x14ac:dyDescent="0.3">
      <c r="B3832" t="s">
        <v>6013</v>
      </c>
      <c r="C3832">
        <v>508961</v>
      </c>
      <c r="D3832" t="s">
        <v>496</v>
      </c>
      <c r="E3832" t="s">
        <v>513</v>
      </c>
    </row>
    <row r="3833" spans="2:5" x14ac:dyDescent="0.3">
      <c r="B3833" t="s">
        <v>6014</v>
      </c>
      <c r="C3833">
        <v>531359</v>
      </c>
      <c r="D3833" t="s">
        <v>496</v>
      </c>
      <c r="E3833" t="s">
        <v>2902</v>
      </c>
    </row>
    <row r="3834" spans="2:5" x14ac:dyDescent="0.3">
      <c r="B3834" t="s">
        <v>6015</v>
      </c>
      <c r="C3834">
        <v>532498</v>
      </c>
      <c r="D3834" t="s">
        <v>6016</v>
      </c>
      <c r="E3834" t="s">
        <v>513</v>
      </c>
    </row>
    <row r="3835" spans="2:5" x14ac:dyDescent="0.3">
      <c r="B3835" t="s">
        <v>6017</v>
      </c>
      <c r="C3835">
        <v>532945</v>
      </c>
      <c r="D3835" t="s">
        <v>6018</v>
      </c>
      <c r="E3835" t="s">
        <v>894</v>
      </c>
    </row>
    <row r="3836" spans="2:5" x14ac:dyDescent="0.3">
      <c r="B3836" t="s">
        <v>6019</v>
      </c>
      <c r="C3836" t="s">
        <v>496</v>
      </c>
      <c r="D3836" t="s">
        <v>6020</v>
      </c>
      <c r="E3836" t="s">
        <v>587</v>
      </c>
    </row>
    <row r="3837" spans="2:5" x14ac:dyDescent="0.3">
      <c r="B3837" t="s">
        <v>6021</v>
      </c>
      <c r="C3837">
        <v>511218</v>
      </c>
      <c r="D3837" t="s">
        <v>6022</v>
      </c>
      <c r="E3837" t="s">
        <v>513</v>
      </c>
    </row>
    <row r="3838" spans="2:5" x14ac:dyDescent="0.3">
      <c r="B3838" t="s">
        <v>6023</v>
      </c>
      <c r="C3838">
        <v>511411</v>
      </c>
      <c r="D3838" t="s">
        <v>496</v>
      </c>
      <c r="E3838" t="s">
        <v>894</v>
      </c>
    </row>
    <row r="3839" spans="2:5" x14ac:dyDescent="0.3">
      <c r="B3839" t="s">
        <v>6024</v>
      </c>
      <c r="C3839">
        <v>542019</v>
      </c>
      <c r="D3839" t="s">
        <v>496</v>
      </c>
      <c r="E3839" t="s">
        <v>511</v>
      </c>
    </row>
    <row r="3840" spans="2:5" x14ac:dyDescent="0.3">
      <c r="B3840" t="s">
        <v>6025</v>
      </c>
      <c r="C3840" t="s">
        <v>496</v>
      </c>
      <c r="D3840" t="s">
        <v>6026</v>
      </c>
      <c r="E3840" t="s">
        <v>507</v>
      </c>
    </row>
    <row r="3841" spans="2:5" x14ac:dyDescent="0.3">
      <c r="B3841" t="s">
        <v>6027</v>
      </c>
      <c r="C3841">
        <v>531506</v>
      </c>
      <c r="D3841" t="s">
        <v>6028</v>
      </c>
      <c r="E3841" t="s">
        <v>917</v>
      </c>
    </row>
    <row r="3842" spans="2:5" x14ac:dyDescent="0.3">
      <c r="B3842" t="s">
        <v>6029</v>
      </c>
      <c r="C3842">
        <v>523790</v>
      </c>
      <c r="D3842" t="s">
        <v>496</v>
      </c>
      <c r="E3842" t="s">
        <v>610</v>
      </c>
    </row>
    <row r="3843" spans="2:5" x14ac:dyDescent="0.3">
      <c r="B3843" t="s">
        <v>6030</v>
      </c>
      <c r="C3843">
        <v>524632</v>
      </c>
      <c r="D3843" t="s">
        <v>496</v>
      </c>
      <c r="E3843" t="s">
        <v>534</v>
      </c>
    </row>
    <row r="3844" spans="2:5" x14ac:dyDescent="0.3">
      <c r="B3844" t="s">
        <v>6031</v>
      </c>
      <c r="C3844">
        <v>539252</v>
      </c>
      <c r="D3844" t="s">
        <v>6032</v>
      </c>
      <c r="E3844" t="s">
        <v>528</v>
      </c>
    </row>
    <row r="3845" spans="2:5" x14ac:dyDescent="0.3">
      <c r="B3845" t="s">
        <v>6033</v>
      </c>
      <c r="C3845">
        <v>517411</v>
      </c>
      <c r="D3845" t="s">
        <v>6034</v>
      </c>
      <c r="E3845" t="s">
        <v>642</v>
      </c>
    </row>
    <row r="3846" spans="2:5" x14ac:dyDescent="0.3">
      <c r="B3846" t="s">
        <v>6035</v>
      </c>
      <c r="C3846">
        <v>531219</v>
      </c>
      <c r="D3846" t="s">
        <v>496</v>
      </c>
      <c r="E3846" t="s">
        <v>534</v>
      </c>
    </row>
    <row r="3847" spans="2:5" x14ac:dyDescent="0.3">
      <c r="B3847" t="s">
        <v>6036</v>
      </c>
      <c r="C3847">
        <v>505515</v>
      </c>
      <c r="D3847" t="s">
        <v>496</v>
      </c>
      <c r="E3847" t="s">
        <v>479</v>
      </c>
    </row>
    <row r="3848" spans="2:5" x14ac:dyDescent="0.3">
      <c r="B3848" t="s">
        <v>6037</v>
      </c>
      <c r="C3848">
        <v>530907</v>
      </c>
      <c r="D3848" t="s">
        <v>496</v>
      </c>
      <c r="E3848" t="s">
        <v>917</v>
      </c>
    </row>
    <row r="3849" spans="2:5" x14ac:dyDescent="0.3">
      <c r="B3849" t="s">
        <v>6038</v>
      </c>
      <c r="C3849">
        <v>520141</v>
      </c>
      <c r="D3849" t="s">
        <v>496</v>
      </c>
      <c r="E3849" t="s">
        <v>851</v>
      </c>
    </row>
    <row r="3850" spans="2:5" x14ac:dyDescent="0.3">
      <c r="B3850" t="s">
        <v>6039</v>
      </c>
      <c r="C3850">
        <v>533014</v>
      </c>
      <c r="D3850" t="s">
        <v>6040</v>
      </c>
      <c r="E3850" t="s">
        <v>518</v>
      </c>
    </row>
    <row r="3851" spans="2:5" x14ac:dyDescent="0.3">
      <c r="B3851" t="s">
        <v>6041</v>
      </c>
      <c r="C3851">
        <v>533014</v>
      </c>
      <c r="D3851" t="s">
        <v>6040</v>
      </c>
      <c r="E3851" t="s">
        <v>518</v>
      </c>
    </row>
    <row r="3852" spans="2:5" x14ac:dyDescent="0.3">
      <c r="B3852" t="s">
        <v>6042</v>
      </c>
      <c r="C3852">
        <v>520086</v>
      </c>
      <c r="D3852" t="s">
        <v>6043</v>
      </c>
      <c r="E3852" t="s">
        <v>817</v>
      </c>
    </row>
    <row r="3853" spans="2:5" x14ac:dyDescent="0.3">
      <c r="B3853" t="s">
        <v>6044</v>
      </c>
      <c r="C3853">
        <v>540736</v>
      </c>
      <c r="D3853" t="s">
        <v>496</v>
      </c>
      <c r="E3853" t="s">
        <v>601</v>
      </c>
    </row>
    <row r="3854" spans="2:5" x14ac:dyDescent="0.3">
      <c r="B3854" t="s">
        <v>6045</v>
      </c>
      <c r="C3854">
        <v>539983</v>
      </c>
      <c r="D3854" t="s">
        <v>496</v>
      </c>
      <c r="E3854" t="s">
        <v>479</v>
      </c>
    </row>
    <row r="3855" spans="2:5" x14ac:dyDescent="0.3">
      <c r="B3855" t="s">
        <v>6046</v>
      </c>
      <c r="C3855">
        <v>532217</v>
      </c>
      <c r="D3855" t="s">
        <v>496</v>
      </c>
      <c r="E3855" t="s">
        <v>479</v>
      </c>
    </row>
    <row r="3856" spans="2:5" x14ac:dyDescent="0.3">
      <c r="B3856" t="s">
        <v>6047</v>
      </c>
      <c r="C3856">
        <v>500550</v>
      </c>
      <c r="D3856" t="s">
        <v>6048</v>
      </c>
      <c r="E3856" t="s">
        <v>539</v>
      </c>
    </row>
    <row r="3857" spans="2:5" x14ac:dyDescent="0.3">
      <c r="B3857" t="s">
        <v>6049</v>
      </c>
      <c r="C3857">
        <v>512131</v>
      </c>
      <c r="D3857" t="s">
        <v>6050</v>
      </c>
      <c r="E3857" t="s">
        <v>616</v>
      </c>
    </row>
    <row r="3858" spans="2:5" x14ac:dyDescent="0.3">
      <c r="B3858" t="s">
        <v>6051</v>
      </c>
      <c r="C3858">
        <v>523606</v>
      </c>
      <c r="D3858" t="s">
        <v>496</v>
      </c>
      <c r="E3858" t="s">
        <v>969</v>
      </c>
    </row>
    <row r="3859" spans="2:5" x14ac:dyDescent="0.3">
      <c r="B3859" t="s">
        <v>6052</v>
      </c>
      <c r="C3859" t="s">
        <v>496</v>
      </c>
      <c r="D3859" t="s">
        <v>6053</v>
      </c>
      <c r="E3859" t="s">
        <v>507</v>
      </c>
    </row>
    <row r="3860" spans="2:5" x14ac:dyDescent="0.3">
      <c r="B3860" t="s">
        <v>6054</v>
      </c>
      <c r="C3860">
        <v>524642</v>
      </c>
      <c r="D3860" t="s">
        <v>496</v>
      </c>
      <c r="E3860" t="s">
        <v>582</v>
      </c>
    </row>
    <row r="3861" spans="2:5" x14ac:dyDescent="0.3">
      <c r="B3861" t="s">
        <v>6055</v>
      </c>
      <c r="C3861">
        <v>521194</v>
      </c>
      <c r="D3861" t="s">
        <v>6056</v>
      </c>
      <c r="E3861" t="s">
        <v>479</v>
      </c>
    </row>
    <row r="3862" spans="2:5" x14ac:dyDescent="0.3">
      <c r="B3862" t="s">
        <v>6057</v>
      </c>
      <c r="C3862" t="s">
        <v>496</v>
      </c>
      <c r="D3862" t="s">
        <v>6058</v>
      </c>
      <c r="E3862" t="s">
        <v>507</v>
      </c>
    </row>
    <row r="3863" spans="2:5" x14ac:dyDescent="0.3">
      <c r="B3863" t="s">
        <v>6059</v>
      </c>
      <c r="C3863" t="s">
        <v>496</v>
      </c>
      <c r="D3863" t="s">
        <v>6060</v>
      </c>
      <c r="E3863" t="s">
        <v>507</v>
      </c>
    </row>
    <row r="3864" spans="2:5" x14ac:dyDescent="0.3">
      <c r="B3864" t="s">
        <v>6061</v>
      </c>
      <c r="C3864">
        <v>531635</v>
      </c>
      <c r="D3864" t="s">
        <v>496</v>
      </c>
      <c r="E3864" t="s">
        <v>1128</v>
      </c>
    </row>
    <row r="3865" spans="2:5" x14ac:dyDescent="0.3">
      <c r="B3865" t="s">
        <v>6062</v>
      </c>
      <c r="C3865">
        <v>512197</v>
      </c>
      <c r="D3865" t="s">
        <v>496</v>
      </c>
      <c r="E3865" t="s">
        <v>513</v>
      </c>
    </row>
    <row r="3866" spans="2:5" x14ac:dyDescent="0.3">
      <c r="B3866" t="s">
        <v>6063</v>
      </c>
      <c r="C3866">
        <v>531635</v>
      </c>
      <c r="D3866" t="s">
        <v>496</v>
      </c>
      <c r="E3866" t="s">
        <v>1128</v>
      </c>
    </row>
    <row r="3867" spans="2:5" x14ac:dyDescent="0.3">
      <c r="B3867" t="s">
        <v>6064</v>
      </c>
      <c r="C3867" t="s">
        <v>496</v>
      </c>
      <c r="D3867" t="s">
        <v>6065</v>
      </c>
      <c r="E3867" t="s">
        <v>507</v>
      </c>
    </row>
    <row r="3868" spans="2:5" x14ac:dyDescent="0.3">
      <c r="B3868" t="s">
        <v>6066</v>
      </c>
      <c r="C3868">
        <v>536073</v>
      </c>
      <c r="D3868" t="s">
        <v>496</v>
      </c>
      <c r="E3868" t="s">
        <v>894</v>
      </c>
    </row>
    <row r="3869" spans="2:5" x14ac:dyDescent="0.3">
      <c r="B3869" t="s">
        <v>6067</v>
      </c>
      <c r="C3869">
        <v>539742</v>
      </c>
      <c r="D3869" t="s">
        <v>6068</v>
      </c>
      <c r="E3869" t="s">
        <v>1195</v>
      </c>
    </row>
    <row r="3870" spans="2:5" x14ac:dyDescent="0.3">
      <c r="B3870" t="s">
        <v>6069</v>
      </c>
      <c r="C3870">
        <v>507998</v>
      </c>
      <c r="D3870" t="s">
        <v>496</v>
      </c>
      <c r="E3870" t="s">
        <v>851</v>
      </c>
    </row>
    <row r="3871" spans="2:5" x14ac:dyDescent="0.3">
      <c r="B3871" t="s">
        <v>6070</v>
      </c>
      <c r="C3871">
        <v>513472</v>
      </c>
      <c r="D3871" t="s">
        <v>496</v>
      </c>
      <c r="E3871" t="s">
        <v>1416</v>
      </c>
    </row>
    <row r="3872" spans="2:5" x14ac:dyDescent="0.3">
      <c r="B3872" t="s">
        <v>6071</v>
      </c>
      <c r="C3872">
        <v>523838</v>
      </c>
      <c r="D3872" t="s">
        <v>6072</v>
      </c>
      <c r="E3872" t="s">
        <v>894</v>
      </c>
    </row>
    <row r="3873" spans="2:5" x14ac:dyDescent="0.3">
      <c r="B3873" t="s">
        <v>6073</v>
      </c>
      <c r="C3873">
        <v>533018</v>
      </c>
      <c r="D3873" t="s">
        <v>496</v>
      </c>
      <c r="E3873" t="s">
        <v>511</v>
      </c>
    </row>
    <row r="3874" spans="2:5" x14ac:dyDescent="0.3">
      <c r="B3874" t="s">
        <v>6074</v>
      </c>
      <c r="C3874">
        <v>533019</v>
      </c>
      <c r="D3874" t="s">
        <v>496</v>
      </c>
      <c r="E3874" t="s">
        <v>490</v>
      </c>
    </row>
    <row r="3875" spans="2:5" x14ac:dyDescent="0.3">
      <c r="B3875" t="s">
        <v>6075</v>
      </c>
      <c r="C3875">
        <v>503229</v>
      </c>
      <c r="D3875" t="s">
        <v>496</v>
      </c>
      <c r="E3875" t="s">
        <v>582</v>
      </c>
    </row>
    <row r="3876" spans="2:5" x14ac:dyDescent="0.3">
      <c r="B3876" t="s">
        <v>6076</v>
      </c>
      <c r="C3876">
        <v>519566</v>
      </c>
      <c r="D3876" t="s">
        <v>496</v>
      </c>
      <c r="E3876" t="s">
        <v>556</v>
      </c>
    </row>
    <row r="3877" spans="2:5" x14ac:dyDescent="0.3">
      <c r="B3877" t="s">
        <v>6077</v>
      </c>
      <c r="C3877">
        <v>523023</v>
      </c>
      <c r="D3877" t="s">
        <v>496</v>
      </c>
      <c r="E3877" t="s">
        <v>697</v>
      </c>
    </row>
    <row r="3878" spans="2:5" x14ac:dyDescent="0.3">
      <c r="B3878" t="s">
        <v>6078</v>
      </c>
      <c r="C3878">
        <v>532029</v>
      </c>
      <c r="D3878" t="s">
        <v>496</v>
      </c>
      <c r="E3878" t="s">
        <v>917</v>
      </c>
    </row>
    <row r="3879" spans="2:5" x14ac:dyDescent="0.3">
      <c r="B3879" t="s">
        <v>6079</v>
      </c>
      <c r="C3879">
        <v>505504</v>
      </c>
      <c r="D3879" t="s">
        <v>496</v>
      </c>
      <c r="E3879" t="s">
        <v>482</v>
      </c>
    </row>
    <row r="3880" spans="2:5" x14ac:dyDescent="0.3">
      <c r="B3880" t="s">
        <v>6080</v>
      </c>
      <c r="C3880">
        <v>505729</v>
      </c>
      <c r="D3880" t="s">
        <v>496</v>
      </c>
      <c r="E3880" t="s">
        <v>504</v>
      </c>
    </row>
    <row r="3881" spans="2:5" x14ac:dyDescent="0.3">
      <c r="B3881" t="s">
        <v>6081</v>
      </c>
      <c r="C3881">
        <v>505729</v>
      </c>
      <c r="D3881" t="s">
        <v>496</v>
      </c>
      <c r="E3881" t="s">
        <v>504</v>
      </c>
    </row>
    <row r="3882" spans="2:5" x14ac:dyDescent="0.3">
      <c r="B3882" t="s">
        <v>6082</v>
      </c>
      <c r="C3882">
        <v>509887</v>
      </c>
      <c r="D3882" t="s">
        <v>496</v>
      </c>
      <c r="E3882" t="s">
        <v>2667</v>
      </c>
    </row>
    <row r="3883" spans="2:5" x14ac:dyDescent="0.3">
      <c r="B3883" t="s">
        <v>6083</v>
      </c>
      <c r="C3883">
        <v>539410</v>
      </c>
      <c r="D3883" t="s">
        <v>496</v>
      </c>
      <c r="E3883" t="s">
        <v>518</v>
      </c>
    </row>
    <row r="3884" spans="2:5" x14ac:dyDescent="0.3">
      <c r="B3884" t="s">
        <v>6084</v>
      </c>
      <c r="C3884">
        <v>539410</v>
      </c>
      <c r="D3884" t="s">
        <v>496</v>
      </c>
      <c r="E3884" t="s">
        <v>518</v>
      </c>
    </row>
    <row r="3885" spans="2:5" x14ac:dyDescent="0.3">
      <c r="B3885" t="s">
        <v>6085</v>
      </c>
      <c r="C3885" t="s">
        <v>496</v>
      </c>
      <c r="D3885" t="s">
        <v>6086</v>
      </c>
      <c r="E3885" t="s">
        <v>507</v>
      </c>
    </row>
    <row r="3886" spans="2:5" x14ac:dyDescent="0.3">
      <c r="B3886" t="s">
        <v>6087</v>
      </c>
      <c r="C3886" t="s">
        <v>496</v>
      </c>
      <c r="D3886" t="s">
        <v>6086</v>
      </c>
      <c r="E3886" t="s">
        <v>507</v>
      </c>
    </row>
    <row r="3887" spans="2:5" x14ac:dyDescent="0.3">
      <c r="B3887" t="s">
        <v>6088</v>
      </c>
      <c r="C3887">
        <v>502742</v>
      </c>
      <c r="D3887" t="s">
        <v>6089</v>
      </c>
      <c r="E3887" t="s">
        <v>511</v>
      </c>
    </row>
    <row r="3888" spans="2:5" x14ac:dyDescent="0.3">
      <c r="B3888" t="s">
        <v>6090</v>
      </c>
      <c r="C3888">
        <v>540653</v>
      </c>
      <c r="D3888" t="s">
        <v>6091</v>
      </c>
      <c r="E3888" t="s">
        <v>616</v>
      </c>
    </row>
    <row r="3889" spans="2:5" x14ac:dyDescent="0.3">
      <c r="B3889" t="s">
        <v>6092</v>
      </c>
      <c r="C3889">
        <v>523164</v>
      </c>
      <c r="D3889" t="s">
        <v>496</v>
      </c>
      <c r="E3889" t="s">
        <v>694</v>
      </c>
    </row>
    <row r="3890" spans="2:5" x14ac:dyDescent="0.3">
      <c r="B3890" t="s">
        <v>6093</v>
      </c>
      <c r="C3890">
        <v>532879</v>
      </c>
      <c r="D3890" t="s">
        <v>496</v>
      </c>
      <c r="E3890" t="s">
        <v>1195</v>
      </c>
    </row>
    <row r="3891" spans="2:5" x14ac:dyDescent="0.3">
      <c r="B3891" t="s">
        <v>6094</v>
      </c>
      <c r="C3891" t="s">
        <v>496</v>
      </c>
      <c r="D3891" t="s">
        <v>6095</v>
      </c>
      <c r="E3891" t="s">
        <v>507</v>
      </c>
    </row>
    <row r="3892" spans="2:5" x14ac:dyDescent="0.3">
      <c r="B3892" t="s">
        <v>6096</v>
      </c>
      <c r="C3892" t="s">
        <v>496</v>
      </c>
      <c r="D3892" t="s">
        <v>6095</v>
      </c>
      <c r="E3892" t="s">
        <v>507</v>
      </c>
    </row>
    <row r="3893" spans="2:5" x14ac:dyDescent="0.3">
      <c r="B3893" t="s">
        <v>6097</v>
      </c>
      <c r="C3893">
        <v>538667</v>
      </c>
      <c r="D3893" t="s">
        <v>496</v>
      </c>
      <c r="E3893" t="s">
        <v>518</v>
      </c>
    </row>
    <row r="3894" spans="2:5" x14ac:dyDescent="0.3">
      <c r="B3894" t="s">
        <v>6098</v>
      </c>
      <c r="C3894">
        <v>512589</v>
      </c>
      <c r="D3894" t="s">
        <v>496</v>
      </c>
      <c r="E3894" t="s">
        <v>518</v>
      </c>
    </row>
    <row r="3895" spans="2:5" x14ac:dyDescent="0.3">
      <c r="B3895" t="s">
        <v>6099</v>
      </c>
      <c r="C3895">
        <v>532961</v>
      </c>
      <c r="D3895" t="s">
        <v>6100</v>
      </c>
      <c r="E3895" t="s">
        <v>576</v>
      </c>
    </row>
    <row r="3896" spans="2:5" x14ac:dyDescent="0.3">
      <c r="B3896" t="s">
        <v>6101</v>
      </c>
      <c r="C3896">
        <v>532795</v>
      </c>
      <c r="D3896" t="s">
        <v>6102</v>
      </c>
      <c r="E3896" t="s">
        <v>1235</v>
      </c>
    </row>
    <row r="3897" spans="2:5" x14ac:dyDescent="0.3">
      <c r="B3897" t="s">
        <v>6103</v>
      </c>
      <c r="C3897">
        <v>503811</v>
      </c>
      <c r="D3897" t="s">
        <v>6104</v>
      </c>
      <c r="E3897" t="s">
        <v>511</v>
      </c>
    </row>
    <row r="3898" spans="2:5" x14ac:dyDescent="0.3">
      <c r="B3898" t="s">
        <v>6105</v>
      </c>
      <c r="C3898">
        <v>504398</v>
      </c>
      <c r="D3898" t="s">
        <v>496</v>
      </c>
      <c r="E3898" t="s">
        <v>610</v>
      </c>
    </row>
    <row r="3899" spans="2:5" x14ac:dyDescent="0.3">
      <c r="B3899" t="s">
        <v>6106</v>
      </c>
      <c r="C3899">
        <v>533206</v>
      </c>
      <c r="D3899" t="s">
        <v>6107</v>
      </c>
      <c r="E3899" t="s">
        <v>635</v>
      </c>
    </row>
    <row r="3900" spans="2:5" x14ac:dyDescent="0.3">
      <c r="B3900" t="s">
        <v>6108</v>
      </c>
      <c r="C3900">
        <v>500472</v>
      </c>
      <c r="D3900" t="s">
        <v>6109</v>
      </c>
      <c r="E3900" t="s">
        <v>681</v>
      </c>
    </row>
    <row r="3901" spans="2:5" x14ac:dyDescent="0.3">
      <c r="B3901" t="s">
        <v>6110</v>
      </c>
      <c r="C3901">
        <v>500472</v>
      </c>
      <c r="D3901" t="s">
        <v>6111</v>
      </c>
      <c r="E3901" t="s">
        <v>681</v>
      </c>
    </row>
    <row r="3902" spans="2:5" x14ac:dyDescent="0.3">
      <c r="B3902" t="s">
        <v>6112</v>
      </c>
      <c r="C3902">
        <v>539861</v>
      </c>
      <c r="D3902" t="s">
        <v>6113</v>
      </c>
      <c r="E3902" t="s">
        <v>894</v>
      </c>
    </row>
    <row r="3903" spans="2:5" x14ac:dyDescent="0.3">
      <c r="B3903" t="s">
        <v>6114</v>
      </c>
      <c r="C3903">
        <v>538562</v>
      </c>
      <c r="D3903" t="s">
        <v>6115</v>
      </c>
      <c r="E3903" t="s">
        <v>894</v>
      </c>
    </row>
    <row r="3904" spans="2:5" x14ac:dyDescent="0.3">
      <c r="B3904" t="s">
        <v>6116</v>
      </c>
      <c r="C3904">
        <v>532143</v>
      </c>
      <c r="D3904" t="s">
        <v>6117</v>
      </c>
      <c r="E3904" t="s">
        <v>576</v>
      </c>
    </row>
    <row r="3905" spans="2:5" x14ac:dyDescent="0.3">
      <c r="B3905" t="s">
        <v>6118</v>
      </c>
      <c r="C3905">
        <v>532143</v>
      </c>
      <c r="D3905" t="s">
        <v>6117</v>
      </c>
      <c r="E3905" t="s">
        <v>576</v>
      </c>
    </row>
    <row r="3906" spans="2:5" x14ac:dyDescent="0.3">
      <c r="B3906" t="s">
        <v>6119</v>
      </c>
      <c r="C3906">
        <v>531169</v>
      </c>
      <c r="D3906" t="s">
        <v>496</v>
      </c>
      <c r="E3906" t="s">
        <v>513</v>
      </c>
    </row>
    <row r="3907" spans="2:5" x14ac:dyDescent="0.3">
      <c r="B3907" t="s">
        <v>6120</v>
      </c>
      <c r="C3907" t="s">
        <v>496</v>
      </c>
      <c r="D3907" t="s">
        <v>6121</v>
      </c>
      <c r="E3907" t="s">
        <v>507</v>
      </c>
    </row>
    <row r="3908" spans="2:5" x14ac:dyDescent="0.3">
      <c r="B3908" t="s">
        <v>6122</v>
      </c>
      <c r="C3908">
        <v>541967</v>
      </c>
      <c r="D3908" t="s">
        <v>496</v>
      </c>
      <c r="E3908" t="s">
        <v>610</v>
      </c>
    </row>
    <row r="3909" spans="2:5" x14ac:dyDescent="0.3">
      <c r="B3909" t="s">
        <v>6123</v>
      </c>
      <c r="C3909">
        <v>526479</v>
      </c>
      <c r="D3909" t="s">
        <v>496</v>
      </c>
      <c r="E3909" t="s">
        <v>511</v>
      </c>
    </row>
    <row r="3910" spans="2:5" x14ac:dyDescent="0.3">
      <c r="B3910" t="s">
        <v>6124</v>
      </c>
      <c r="C3910">
        <v>505650</v>
      </c>
      <c r="D3910" t="s">
        <v>496</v>
      </c>
      <c r="E3910" t="s">
        <v>574</v>
      </c>
    </row>
    <row r="3911" spans="2:5" x14ac:dyDescent="0.3">
      <c r="B3911" t="s">
        <v>6125</v>
      </c>
      <c r="C3911">
        <v>538919</v>
      </c>
      <c r="D3911" t="s">
        <v>496</v>
      </c>
      <c r="E3911" t="s">
        <v>582</v>
      </c>
    </row>
    <row r="3912" spans="2:5" x14ac:dyDescent="0.3">
      <c r="B3912" t="s">
        <v>6126</v>
      </c>
      <c r="C3912">
        <v>538919</v>
      </c>
      <c r="D3912" t="s">
        <v>496</v>
      </c>
      <c r="E3912" t="s">
        <v>582</v>
      </c>
    </row>
    <row r="3913" spans="2:5" x14ac:dyDescent="0.3">
      <c r="B3913" t="s">
        <v>6127</v>
      </c>
      <c r="C3913">
        <v>539494</v>
      </c>
      <c r="D3913" t="s">
        <v>496</v>
      </c>
      <c r="E3913" t="s">
        <v>513</v>
      </c>
    </row>
    <row r="3914" spans="2:5" x14ac:dyDescent="0.3">
      <c r="B3914" t="s">
        <v>6128</v>
      </c>
      <c r="C3914">
        <v>532419</v>
      </c>
      <c r="D3914" t="s">
        <v>6129</v>
      </c>
      <c r="E3914" t="s">
        <v>2123</v>
      </c>
    </row>
    <row r="3915" spans="2:5" x14ac:dyDescent="0.3">
      <c r="B3915" t="s">
        <v>6130</v>
      </c>
      <c r="C3915">
        <v>508905</v>
      </c>
      <c r="D3915" t="s">
        <v>496</v>
      </c>
      <c r="E3915" t="s">
        <v>479</v>
      </c>
    </row>
    <row r="3916" spans="2:5" x14ac:dyDescent="0.3">
      <c r="B3916" t="s">
        <v>6131</v>
      </c>
      <c r="C3916">
        <v>505192</v>
      </c>
      <c r="D3916" t="s">
        <v>6132</v>
      </c>
      <c r="E3916" t="s">
        <v>574</v>
      </c>
    </row>
    <row r="3917" spans="2:5" x14ac:dyDescent="0.3">
      <c r="B3917" t="s">
        <v>6133</v>
      </c>
      <c r="C3917">
        <v>540686</v>
      </c>
      <c r="D3917" t="s">
        <v>496</v>
      </c>
      <c r="E3917" t="s">
        <v>534</v>
      </c>
    </row>
    <row r="3918" spans="2:5" x14ac:dyDescent="0.3">
      <c r="B3918" t="s">
        <v>6134</v>
      </c>
      <c r="C3918">
        <v>540679</v>
      </c>
      <c r="D3918" t="s">
        <v>6135</v>
      </c>
      <c r="E3918" t="s">
        <v>534</v>
      </c>
    </row>
    <row r="3919" spans="2:5" x14ac:dyDescent="0.3">
      <c r="B3919" t="s">
        <v>6136</v>
      </c>
      <c r="C3919">
        <v>540679</v>
      </c>
      <c r="D3919" t="s">
        <v>6135</v>
      </c>
      <c r="E3919" t="s">
        <v>534</v>
      </c>
    </row>
    <row r="3920" spans="2:5" x14ac:dyDescent="0.3">
      <c r="B3920" t="s">
        <v>6137</v>
      </c>
      <c r="C3920">
        <v>532815</v>
      </c>
      <c r="D3920" t="s">
        <v>6138</v>
      </c>
      <c r="E3920" t="s">
        <v>534</v>
      </c>
    </row>
    <row r="3921" spans="2:5" x14ac:dyDescent="0.3">
      <c r="B3921" t="s">
        <v>6139</v>
      </c>
      <c r="C3921" t="s">
        <v>496</v>
      </c>
      <c r="D3921" t="s">
        <v>6140</v>
      </c>
      <c r="E3921" t="s">
        <v>507</v>
      </c>
    </row>
    <row r="3922" spans="2:5" x14ac:dyDescent="0.3">
      <c r="B3922" t="s">
        <v>6141</v>
      </c>
      <c r="C3922">
        <v>505827</v>
      </c>
      <c r="D3922" t="s">
        <v>496</v>
      </c>
      <c r="E3922" t="s">
        <v>681</v>
      </c>
    </row>
    <row r="3923" spans="2:5" x14ac:dyDescent="0.3">
      <c r="B3923" t="s">
        <v>6142</v>
      </c>
      <c r="C3923">
        <v>538635</v>
      </c>
      <c r="D3923" t="s">
        <v>6143</v>
      </c>
      <c r="E3923" t="s">
        <v>817</v>
      </c>
    </row>
    <row r="3924" spans="2:5" x14ac:dyDescent="0.3">
      <c r="B3924" t="s">
        <v>6144</v>
      </c>
      <c r="C3924">
        <v>532784</v>
      </c>
      <c r="D3924" t="s">
        <v>6145</v>
      </c>
      <c r="E3924" t="s">
        <v>582</v>
      </c>
    </row>
    <row r="3925" spans="2:5" x14ac:dyDescent="0.3">
      <c r="B3925" t="s">
        <v>6146</v>
      </c>
      <c r="C3925">
        <v>512014</v>
      </c>
      <c r="D3925" t="s">
        <v>496</v>
      </c>
      <c r="E3925" t="s">
        <v>917</v>
      </c>
    </row>
    <row r="3926" spans="2:5" x14ac:dyDescent="0.3">
      <c r="B3926" t="s">
        <v>6147</v>
      </c>
      <c r="C3926">
        <v>538923</v>
      </c>
      <c r="D3926" t="s">
        <v>496</v>
      </c>
      <c r="E3926" t="s">
        <v>482</v>
      </c>
    </row>
    <row r="3927" spans="2:5" x14ac:dyDescent="0.3">
      <c r="B3927" t="s">
        <v>6148</v>
      </c>
      <c r="C3927">
        <v>504375</v>
      </c>
      <c r="D3927" t="s">
        <v>496</v>
      </c>
      <c r="E3927" t="s">
        <v>482</v>
      </c>
    </row>
    <row r="3928" spans="2:5" x14ac:dyDescent="0.3">
      <c r="B3928" t="s">
        <v>6149</v>
      </c>
      <c r="C3928">
        <v>532344</v>
      </c>
      <c r="D3928" t="s">
        <v>496</v>
      </c>
      <c r="E3928" t="s">
        <v>589</v>
      </c>
    </row>
    <row r="3929" spans="2:5" x14ac:dyDescent="0.3">
      <c r="B3929" t="s">
        <v>6150</v>
      </c>
      <c r="C3929">
        <v>532344</v>
      </c>
      <c r="D3929" t="s">
        <v>496</v>
      </c>
      <c r="E3929" t="s">
        <v>589</v>
      </c>
    </row>
    <row r="3930" spans="2:5" x14ac:dyDescent="0.3">
      <c r="B3930" t="s">
        <v>6151</v>
      </c>
      <c r="C3930" t="s">
        <v>496</v>
      </c>
      <c r="D3930" t="s">
        <v>6152</v>
      </c>
      <c r="E3930" t="s">
        <v>507</v>
      </c>
    </row>
    <row r="3931" spans="2:5" x14ac:dyDescent="0.3">
      <c r="B3931" t="s">
        <v>6153</v>
      </c>
      <c r="C3931">
        <v>532725</v>
      </c>
      <c r="D3931" t="s">
        <v>6154</v>
      </c>
      <c r="E3931" t="s">
        <v>656</v>
      </c>
    </row>
    <row r="3932" spans="2:5" x14ac:dyDescent="0.3">
      <c r="B3932" t="s">
        <v>6155</v>
      </c>
      <c r="C3932">
        <v>532725</v>
      </c>
      <c r="D3932" t="s">
        <v>6154</v>
      </c>
      <c r="E3932" t="s">
        <v>656</v>
      </c>
    </row>
    <row r="3933" spans="2:5" x14ac:dyDescent="0.3">
      <c r="B3933" t="s">
        <v>6156</v>
      </c>
      <c r="C3933">
        <v>541540</v>
      </c>
      <c r="D3933" t="s">
        <v>6157</v>
      </c>
      <c r="E3933" t="s">
        <v>534</v>
      </c>
    </row>
    <row r="3934" spans="2:5" x14ac:dyDescent="0.3">
      <c r="B3934" t="s">
        <v>6158</v>
      </c>
      <c r="C3934" t="s">
        <v>496</v>
      </c>
      <c r="D3934" t="s">
        <v>6159</v>
      </c>
      <c r="E3934" t="s">
        <v>507</v>
      </c>
    </row>
    <row r="3935" spans="2:5" x14ac:dyDescent="0.3">
      <c r="B3935" t="s">
        <v>6160</v>
      </c>
      <c r="C3935">
        <v>500394</v>
      </c>
      <c r="D3935" t="s">
        <v>496</v>
      </c>
      <c r="E3935" t="s">
        <v>681</v>
      </c>
    </row>
    <row r="3936" spans="2:5" x14ac:dyDescent="0.3">
      <c r="B3936" t="s">
        <v>6161</v>
      </c>
      <c r="C3936">
        <v>502460</v>
      </c>
      <c r="D3936" t="s">
        <v>496</v>
      </c>
      <c r="E3936" t="s">
        <v>490</v>
      </c>
    </row>
    <row r="3937" spans="2:5" x14ac:dyDescent="0.3">
      <c r="B3937" t="s">
        <v>6162</v>
      </c>
      <c r="C3937">
        <v>513699</v>
      </c>
      <c r="D3937" t="s">
        <v>496</v>
      </c>
      <c r="E3937" t="s">
        <v>1024</v>
      </c>
    </row>
    <row r="3938" spans="2:5" x14ac:dyDescent="0.3">
      <c r="B3938" t="s">
        <v>6163</v>
      </c>
      <c r="C3938">
        <v>538575</v>
      </c>
      <c r="D3938" t="s">
        <v>496</v>
      </c>
      <c r="E3938" t="s">
        <v>518</v>
      </c>
    </row>
    <row r="3939" spans="2:5" x14ac:dyDescent="0.3">
      <c r="B3939" t="s">
        <v>6164</v>
      </c>
      <c r="C3939">
        <v>522152</v>
      </c>
      <c r="D3939" t="s">
        <v>496</v>
      </c>
      <c r="E3939" t="s">
        <v>504</v>
      </c>
    </row>
    <row r="3940" spans="2:5" x14ac:dyDescent="0.3">
      <c r="B3940" t="s">
        <v>6165</v>
      </c>
      <c r="C3940">
        <v>511571</v>
      </c>
      <c r="D3940" t="s">
        <v>496</v>
      </c>
      <c r="E3940" t="s">
        <v>513</v>
      </c>
    </row>
    <row r="3941" spans="2:5" x14ac:dyDescent="0.3">
      <c r="B3941" t="s">
        <v>6166</v>
      </c>
      <c r="C3941">
        <v>507514</v>
      </c>
      <c r="D3941" t="s">
        <v>6167</v>
      </c>
      <c r="E3941" t="s">
        <v>1128</v>
      </c>
    </row>
    <row r="3942" spans="2:5" x14ac:dyDescent="0.3">
      <c r="B3942" t="s">
        <v>6168</v>
      </c>
      <c r="C3942">
        <v>521034</v>
      </c>
      <c r="D3942" t="s">
        <v>6169</v>
      </c>
      <c r="E3942" t="s">
        <v>511</v>
      </c>
    </row>
    <row r="3943" spans="2:5" x14ac:dyDescent="0.3">
      <c r="B3943" t="s">
        <v>6170</v>
      </c>
      <c r="C3943">
        <v>531548</v>
      </c>
      <c r="D3943" t="s">
        <v>6171</v>
      </c>
      <c r="E3943" t="s">
        <v>773</v>
      </c>
    </row>
    <row r="3944" spans="2:5" x14ac:dyDescent="0.3">
      <c r="B3944" t="s">
        <v>6172</v>
      </c>
      <c r="C3944">
        <v>533001</v>
      </c>
      <c r="D3944" t="s">
        <v>6173</v>
      </c>
      <c r="E3944" t="s">
        <v>504</v>
      </c>
    </row>
    <row r="3945" spans="2:5" x14ac:dyDescent="0.3">
      <c r="B3945" t="s">
        <v>6174</v>
      </c>
      <c r="C3945">
        <v>526901</v>
      </c>
      <c r="D3945" t="s">
        <v>496</v>
      </c>
      <c r="E3945" t="s">
        <v>544</v>
      </c>
    </row>
    <row r="3946" spans="2:5" x14ac:dyDescent="0.3">
      <c r="B3946" t="s">
        <v>6175</v>
      </c>
      <c r="C3946">
        <v>538943</v>
      </c>
      <c r="D3946" t="s">
        <v>496</v>
      </c>
      <c r="E3946" t="s">
        <v>513</v>
      </c>
    </row>
    <row r="3947" spans="2:5" x14ac:dyDescent="0.3">
      <c r="B3947" t="s">
        <v>6176</v>
      </c>
      <c r="C3947" t="s">
        <v>496</v>
      </c>
      <c r="D3947" t="s">
        <v>6177</v>
      </c>
      <c r="E3947" t="s">
        <v>507</v>
      </c>
    </row>
    <row r="3948" spans="2:5" x14ac:dyDescent="0.3">
      <c r="B3948" t="s">
        <v>6178</v>
      </c>
      <c r="C3948">
        <v>532221</v>
      </c>
      <c r="D3948" t="s">
        <v>6179</v>
      </c>
      <c r="E3948" t="s">
        <v>482</v>
      </c>
    </row>
    <row r="3949" spans="2:5" x14ac:dyDescent="0.3">
      <c r="B3949" t="s">
        <v>6180</v>
      </c>
      <c r="C3949">
        <v>539378</v>
      </c>
      <c r="D3949" t="s">
        <v>496</v>
      </c>
      <c r="E3949" t="s">
        <v>966</v>
      </c>
    </row>
    <row r="3950" spans="2:5" x14ac:dyDescent="0.3">
      <c r="B3950" t="s">
        <v>6181</v>
      </c>
      <c r="C3950" t="s">
        <v>496</v>
      </c>
      <c r="D3950" t="s">
        <v>6182</v>
      </c>
      <c r="E3950" t="s">
        <v>507</v>
      </c>
    </row>
    <row r="3951" spans="2:5" x14ac:dyDescent="0.3">
      <c r="B3951" t="s">
        <v>6183</v>
      </c>
      <c r="C3951">
        <v>541633</v>
      </c>
      <c r="D3951" t="s">
        <v>496</v>
      </c>
      <c r="E3951" t="s">
        <v>490</v>
      </c>
    </row>
    <row r="3952" spans="2:5" x14ac:dyDescent="0.3">
      <c r="B3952" t="s">
        <v>6184</v>
      </c>
      <c r="C3952">
        <v>532679</v>
      </c>
      <c r="D3952" t="s">
        <v>6185</v>
      </c>
      <c r="E3952" t="s">
        <v>485</v>
      </c>
    </row>
    <row r="3953" spans="2:5" x14ac:dyDescent="0.3">
      <c r="B3953" t="s">
        <v>6186</v>
      </c>
      <c r="C3953">
        <v>521036</v>
      </c>
      <c r="D3953" t="s">
        <v>496</v>
      </c>
      <c r="E3953" t="s">
        <v>511</v>
      </c>
    </row>
    <row r="3954" spans="2:5" x14ac:dyDescent="0.3">
      <c r="B3954" t="s">
        <v>6187</v>
      </c>
      <c r="C3954">
        <v>521036</v>
      </c>
      <c r="D3954" t="s">
        <v>496</v>
      </c>
      <c r="E3954" t="s">
        <v>511</v>
      </c>
    </row>
    <row r="3955" spans="2:5" x14ac:dyDescent="0.3">
      <c r="B3955" t="s">
        <v>6188</v>
      </c>
      <c r="C3955">
        <v>531398</v>
      </c>
      <c r="D3955" t="s">
        <v>496</v>
      </c>
      <c r="E3955" t="s">
        <v>534</v>
      </c>
    </row>
    <row r="3956" spans="2:5" x14ac:dyDescent="0.3">
      <c r="B3956" t="s">
        <v>6189</v>
      </c>
      <c r="C3956">
        <v>526477</v>
      </c>
      <c r="D3956" t="s">
        <v>496</v>
      </c>
      <c r="E3956" t="s">
        <v>674</v>
      </c>
    </row>
    <row r="3957" spans="2:5" x14ac:dyDescent="0.3">
      <c r="B3957" t="s">
        <v>6190</v>
      </c>
      <c r="C3957">
        <v>516108</v>
      </c>
      <c r="D3957" t="s">
        <v>496</v>
      </c>
      <c r="E3957" t="s">
        <v>490</v>
      </c>
    </row>
    <row r="3958" spans="2:5" x14ac:dyDescent="0.3">
      <c r="B3958" t="s">
        <v>6191</v>
      </c>
      <c r="C3958">
        <v>538891</v>
      </c>
      <c r="D3958" t="s">
        <v>496</v>
      </c>
      <c r="E3958" t="s">
        <v>513</v>
      </c>
    </row>
    <row r="3959" spans="2:5" x14ac:dyDescent="0.3">
      <c r="B3959" t="s">
        <v>6192</v>
      </c>
      <c r="C3959" t="s">
        <v>496</v>
      </c>
      <c r="D3959" t="s">
        <v>6193</v>
      </c>
      <c r="E3959" t="s">
        <v>507</v>
      </c>
    </row>
    <row r="3960" spans="2:5" x14ac:dyDescent="0.3">
      <c r="B3960" t="s">
        <v>6194</v>
      </c>
      <c r="C3960">
        <v>509910</v>
      </c>
      <c r="D3960" t="s">
        <v>496</v>
      </c>
      <c r="E3960" t="s">
        <v>544</v>
      </c>
    </row>
    <row r="3961" spans="2:5" x14ac:dyDescent="0.3">
      <c r="B3961" t="s">
        <v>6195</v>
      </c>
      <c r="C3961">
        <v>540174</v>
      </c>
      <c r="D3961" t="s">
        <v>496</v>
      </c>
      <c r="E3961" t="s">
        <v>482</v>
      </c>
    </row>
    <row r="3962" spans="2:5" x14ac:dyDescent="0.3">
      <c r="B3962" t="s">
        <v>6196</v>
      </c>
      <c r="C3962">
        <v>514454</v>
      </c>
      <c r="D3962" t="s">
        <v>496</v>
      </c>
      <c r="E3962" t="s">
        <v>511</v>
      </c>
    </row>
    <row r="3963" spans="2:5" x14ac:dyDescent="0.3">
      <c r="B3963" t="s">
        <v>6197</v>
      </c>
      <c r="C3963">
        <v>513498</v>
      </c>
      <c r="D3963" t="s">
        <v>496</v>
      </c>
      <c r="E3963" t="s">
        <v>476</v>
      </c>
    </row>
    <row r="3964" spans="2:5" x14ac:dyDescent="0.3">
      <c r="B3964" t="s">
        <v>6198</v>
      </c>
      <c r="C3964">
        <v>532669</v>
      </c>
      <c r="D3964" t="s">
        <v>496</v>
      </c>
      <c r="E3964" t="s">
        <v>544</v>
      </c>
    </row>
    <row r="3965" spans="2:5" x14ac:dyDescent="0.3">
      <c r="B3965" t="s">
        <v>6199</v>
      </c>
      <c r="C3965">
        <v>590030</v>
      </c>
      <c r="D3965" t="s">
        <v>6200</v>
      </c>
      <c r="E3965" t="s">
        <v>1004</v>
      </c>
    </row>
    <row r="3966" spans="2:5" x14ac:dyDescent="0.3">
      <c r="B3966" t="s">
        <v>6201</v>
      </c>
      <c r="C3966">
        <v>523826</v>
      </c>
      <c r="D3966" t="s">
        <v>496</v>
      </c>
      <c r="E3966" t="s">
        <v>610</v>
      </c>
    </row>
    <row r="3967" spans="2:5" x14ac:dyDescent="0.3">
      <c r="B3967" t="s">
        <v>6202</v>
      </c>
      <c r="C3967">
        <v>532025</v>
      </c>
      <c r="D3967" t="s">
        <v>496</v>
      </c>
      <c r="E3967" t="s">
        <v>499</v>
      </c>
    </row>
    <row r="3968" spans="2:5" x14ac:dyDescent="0.3">
      <c r="B3968" t="s">
        <v>6203</v>
      </c>
      <c r="C3968">
        <v>530289</v>
      </c>
      <c r="D3968" t="s">
        <v>496</v>
      </c>
      <c r="E3968" t="s">
        <v>917</v>
      </c>
    </row>
    <row r="3969" spans="2:5" x14ac:dyDescent="0.3">
      <c r="B3969" t="s">
        <v>6204</v>
      </c>
      <c r="C3969">
        <v>542376</v>
      </c>
      <c r="D3969" t="s">
        <v>6205</v>
      </c>
      <c r="E3969" t="s">
        <v>479</v>
      </c>
    </row>
    <row r="3970" spans="2:5" x14ac:dyDescent="0.3">
      <c r="B3970" t="s">
        <v>6206</v>
      </c>
      <c r="C3970">
        <v>541890</v>
      </c>
      <c r="D3970" t="s">
        <v>496</v>
      </c>
      <c r="E3970" t="s">
        <v>482</v>
      </c>
    </row>
    <row r="3971" spans="2:5" x14ac:dyDescent="0.3">
      <c r="B3971" t="s">
        <v>6207</v>
      </c>
      <c r="C3971">
        <v>538920</v>
      </c>
      <c r="D3971" t="s">
        <v>496</v>
      </c>
      <c r="E3971" t="s">
        <v>518</v>
      </c>
    </row>
    <row r="3972" spans="2:5" x14ac:dyDescent="0.3">
      <c r="B3972" t="s">
        <v>6208</v>
      </c>
      <c r="C3972" t="s">
        <v>496</v>
      </c>
      <c r="D3972" t="s">
        <v>6209</v>
      </c>
      <c r="E3972" t="s">
        <v>587</v>
      </c>
    </row>
    <row r="3973" spans="2:5" x14ac:dyDescent="0.3">
      <c r="B3973" t="s">
        <v>6210</v>
      </c>
      <c r="C3973" t="s">
        <v>496</v>
      </c>
      <c r="D3973" t="s">
        <v>6209</v>
      </c>
      <c r="E3973" t="s">
        <v>587</v>
      </c>
    </row>
    <row r="3974" spans="2:5" x14ac:dyDescent="0.3">
      <c r="B3974" t="s">
        <v>6211</v>
      </c>
      <c r="C3974">
        <v>524727</v>
      </c>
      <c r="D3974" t="s">
        <v>496</v>
      </c>
      <c r="E3974" t="s">
        <v>534</v>
      </c>
    </row>
    <row r="3975" spans="2:5" x14ac:dyDescent="0.3">
      <c r="B3975" t="s">
        <v>6212</v>
      </c>
      <c r="C3975">
        <v>531370</v>
      </c>
      <c r="D3975" t="s">
        <v>496</v>
      </c>
      <c r="E3975" t="s">
        <v>482</v>
      </c>
    </row>
    <row r="3976" spans="2:5" x14ac:dyDescent="0.3">
      <c r="B3976" t="s">
        <v>6213</v>
      </c>
      <c r="C3976">
        <v>540211</v>
      </c>
      <c r="D3976" t="s">
        <v>496</v>
      </c>
      <c r="E3976" t="s">
        <v>513</v>
      </c>
    </row>
    <row r="3977" spans="2:5" x14ac:dyDescent="0.3">
      <c r="B3977" t="s">
        <v>6214</v>
      </c>
      <c r="C3977">
        <v>534425</v>
      </c>
      <c r="D3977" t="s">
        <v>6215</v>
      </c>
      <c r="E3977" t="s">
        <v>985</v>
      </c>
    </row>
    <row r="3978" spans="2:5" x14ac:dyDescent="0.3">
      <c r="B3978" t="s">
        <v>6216</v>
      </c>
      <c r="C3978">
        <v>513687</v>
      </c>
      <c r="D3978" t="s">
        <v>496</v>
      </c>
      <c r="E3978" t="s">
        <v>851</v>
      </c>
    </row>
    <row r="3979" spans="2:5" x14ac:dyDescent="0.3">
      <c r="B3979" t="s">
        <v>6217</v>
      </c>
      <c r="C3979" t="s">
        <v>496</v>
      </c>
      <c r="D3979" t="s">
        <v>6218</v>
      </c>
      <c r="E3979" t="s">
        <v>507</v>
      </c>
    </row>
    <row r="3980" spans="2:5" x14ac:dyDescent="0.3">
      <c r="B3980" t="s">
        <v>6219</v>
      </c>
      <c r="C3980">
        <v>531982</v>
      </c>
      <c r="D3980" t="s">
        <v>496</v>
      </c>
      <c r="E3980" t="s">
        <v>576</v>
      </c>
    </row>
    <row r="3981" spans="2:5" x14ac:dyDescent="0.3">
      <c r="B3981" t="s">
        <v>6220</v>
      </c>
      <c r="C3981">
        <v>512153</v>
      </c>
      <c r="D3981" t="s">
        <v>496</v>
      </c>
      <c r="E3981" t="s">
        <v>917</v>
      </c>
    </row>
    <row r="3982" spans="2:5" x14ac:dyDescent="0.3">
      <c r="B3982" t="s">
        <v>6221</v>
      </c>
      <c r="C3982">
        <v>512291</v>
      </c>
      <c r="D3982" t="s">
        <v>496</v>
      </c>
      <c r="E3982" t="s">
        <v>479</v>
      </c>
    </row>
    <row r="3983" spans="2:5" x14ac:dyDescent="0.3">
      <c r="B3983" t="s">
        <v>6222</v>
      </c>
      <c r="C3983">
        <v>517166</v>
      </c>
      <c r="D3983" t="s">
        <v>496</v>
      </c>
      <c r="E3983" t="s">
        <v>1038</v>
      </c>
    </row>
    <row r="3984" spans="2:5" x14ac:dyDescent="0.3">
      <c r="B3984" t="s">
        <v>6223</v>
      </c>
      <c r="C3984">
        <v>542337</v>
      </c>
      <c r="D3984" t="s">
        <v>6224</v>
      </c>
      <c r="E3984" t="s">
        <v>665</v>
      </c>
    </row>
    <row r="3985" spans="2:5" x14ac:dyDescent="0.3">
      <c r="B3985" t="s">
        <v>6225</v>
      </c>
      <c r="C3985" t="s">
        <v>496</v>
      </c>
      <c r="D3985" t="s">
        <v>6226</v>
      </c>
      <c r="E3985" t="s">
        <v>665</v>
      </c>
    </row>
    <row r="3986" spans="2:5" x14ac:dyDescent="0.3">
      <c r="B3986" t="s">
        <v>6227</v>
      </c>
      <c r="C3986">
        <v>526161</v>
      </c>
      <c r="D3986" t="s">
        <v>496</v>
      </c>
      <c r="E3986" t="s">
        <v>610</v>
      </c>
    </row>
    <row r="3987" spans="2:5" x14ac:dyDescent="0.3">
      <c r="B3987" t="s">
        <v>6228</v>
      </c>
      <c r="C3987">
        <v>521082</v>
      </c>
      <c r="D3987" t="s">
        <v>6229</v>
      </c>
      <c r="E3987" t="s">
        <v>511</v>
      </c>
    </row>
    <row r="3988" spans="2:5" x14ac:dyDescent="0.3">
      <c r="B3988" t="s">
        <v>6230</v>
      </c>
      <c r="C3988">
        <v>526827</v>
      </c>
      <c r="D3988" t="s">
        <v>496</v>
      </c>
      <c r="E3988" t="s">
        <v>610</v>
      </c>
    </row>
    <row r="3989" spans="2:5" x14ac:dyDescent="0.3">
      <c r="B3989" t="s">
        <v>6231</v>
      </c>
      <c r="C3989">
        <v>517214</v>
      </c>
      <c r="D3989" t="s">
        <v>6232</v>
      </c>
      <c r="E3989" t="s">
        <v>642</v>
      </c>
    </row>
    <row r="3990" spans="2:5" x14ac:dyDescent="0.3">
      <c r="B3990" t="s">
        <v>6233</v>
      </c>
      <c r="C3990">
        <v>500285</v>
      </c>
      <c r="D3990" t="s">
        <v>496</v>
      </c>
      <c r="E3990" t="s">
        <v>2634</v>
      </c>
    </row>
    <row r="3991" spans="2:5" x14ac:dyDescent="0.3">
      <c r="B3991" t="s">
        <v>6234</v>
      </c>
      <c r="C3991">
        <v>540084</v>
      </c>
      <c r="D3991" t="s">
        <v>496</v>
      </c>
      <c r="E3991" t="s">
        <v>499</v>
      </c>
    </row>
    <row r="3992" spans="2:5" x14ac:dyDescent="0.3">
      <c r="B3992" t="s">
        <v>6235</v>
      </c>
      <c r="C3992">
        <v>532651</v>
      </c>
      <c r="D3992" t="s">
        <v>6236</v>
      </c>
      <c r="E3992" t="s">
        <v>610</v>
      </c>
    </row>
    <row r="3993" spans="2:5" x14ac:dyDescent="0.3">
      <c r="B3993" t="s">
        <v>6237</v>
      </c>
      <c r="C3993">
        <v>513414</v>
      </c>
      <c r="D3993" t="s">
        <v>6238</v>
      </c>
      <c r="E3993" t="s">
        <v>528</v>
      </c>
    </row>
    <row r="3994" spans="2:5" x14ac:dyDescent="0.3">
      <c r="B3994" t="s">
        <v>6239</v>
      </c>
      <c r="C3994">
        <v>500402</v>
      </c>
      <c r="D3994" t="s">
        <v>6240</v>
      </c>
      <c r="E3994" t="s">
        <v>894</v>
      </c>
    </row>
    <row r="3995" spans="2:5" x14ac:dyDescent="0.3">
      <c r="B3995" t="s">
        <v>6241</v>
      </c>
      <c r="C3995">
        <v>539221</v>
      </c>
      <c r="D3995" t="s">
        <v>496</v>
      </c>
      <c r="E3995" t="s">
        <v>511</v>
      </c>
    </row>
    <row r="3996" spans="2:5" x14ac:dyDescent="0.3">
      <c r="B3996" t="s">
        <v>6242</v>
      </c>
      <c r="C3996">
        <v>539221</v>
      </c>
      <c r="D3996" t="s">
        <v>496</v>
      </c>
      <c r="E3996" t="s">
        <v>511</v>
      </c>
    </row>
    <row r="3997" spans="2:5" x14ac:dyDescent="0.3">
      <c r="B3997" t="s">
        <v>6243</v>
      </c>
      <c r="C3997">
        <v>540079</v>
      </c>
      <c r="D3997" t="s">
        <v>496</v>
      </c>
      <c r="E3997" t="s">
        <v>1416</v>
      </c>
    </row>
    <row r="3998" spans="2:5" x14ac:dyDescent="0.3">
      <c r="B3998" t="s">
        <v>6244</v>
      </c>
      <c r="C3998">
        <v>540570</v>
      </c>
      <c r="D3998" t="s">
        <v>6245</v>
      </c>
      <c r="E3998" t="s">
        <v>5314</v>
      </c>
    </row>
    <row r="3999" spans="2:5" x14ac:dyDescent="0.3">
      <c r="B3999" t="s">
        <v>6246</v>
      </c>
      <c r="C3999">
        <v>538402</v>
      </c>
      <c r="D3999" t="s">
        <v>496</v>
      </c>
      <c r="E3999" t="s">
        <v>513</v>
      </c>
    </row>
    <row r="4000" spans="2:5" x14ac:dyDescent="0.3">
      <c r="B4000" t="s">
        <v>6247</v>
      </c>
      <c r="C4000">
        <v>530177</v>
      </c>
      <c r="D4000" t="s">
        <v>496</v>
      </c>
      <c r="E4000" t="s">
        <v>518</v>
      </c>
    </row>
    <row r="4001" spans="2:5" x14ac:dyDescent="0.3">
      <c r="B4001" t="s">
        <v>6248</v>
      </c>
      <c r="C4001">
        <v>533121</v>
      </c>
      <c r="D4001" t="s">
        <v>6249</v>
      </c>
      <c r="E4001" t="s">
        <v>482</v>
      </c>
    </row>
    <row r="4002" spans="2:5" x14ac:dyDescent="0.3">
      <c r="B4002" t="s">
        <v>6250</v>
      </c>
      <c r="C4002">
        <v>526532</v>
      </c>
      <c r="D4002" t="s">
        <v>496</v>
      </c>
      <c r="E4002" t="s">
        <v>544</v>
      </c>
    </row>
    <row r="4003" spans="2:5" x14ac:dyDescent="0.3">
      <c r="B4003" t="s">
        <v>6251</v>
      </c>
      <c r="C4003">
        <v>526532</v>
      </c>
      <c r="D4003" t="s">
        <v>496</v>
      </c>
      <c r="E4003" t="s">
        <v>544</v>
      </c>
    </row>
    <row r="4004" spans="2:5" x14ac:dyDescent="0.3">
      <c r="B4004" t="s">
        <v>6252</v>
      </c>
      <c r="C4004">
        <v>530037</v>
      </c>
      <c r="D4004" t="s">
        <v>496</v>
      </c>
      <c r="E4004" t="s">
        <v>511</v>
      </c>
    </row>
    <row r="4005" spans="2:5" x14ac:dyDescent="0.3">
      <c r="B4005" t="s">
        <v>6253</v>
      </c>
      <c r="C4005">
        <v>532842</v>
      </c>
      <c r="D4005" t="s">
        <v>6254</v>
      </c>
      <c r="E4005" t="s">
        <v>544</v>
      </c>
    </row>
    <row r="4006" spans="2:5" x14ac:dyDescent="0.3">
      <c r="B4006" t="s">
        <v>6255</v>
      </c>
      <c r="C4006">
        <v>514248</v>
      </c>
      <c r="D4006" t="s">
        <v>496</v>
      </c>
      <c r="E4006" t="s">
        <v>544</v>
      </c>
    </row>
    <row r="4007" spans="2:5" x14ac:dyDescent="0.3">
      <c r="B4007" t="s">
        <v>6256</v>
      </c>
      <c r="C4007">
        <v>535601</v>
      </c>
      <c r="D4007" t="s">
        <v>6257</v>
      </c>
      <c r="E4007" t="s">
        <v>922</v>
      </c>
    </row>
    <row r="4008" spans="2:5" x14ac:dyDescent="0.3">
      <c r="B4008" t="s">
        <v>6258</v>
      </c>
      <c r="C4008">
        <v>523756</v>
      </c>
      <c r="D4008" t="s">
        <v>6259</v>
      </c>
      <c r="E4008" t="s">
        <v>513</v>
      </c>
    </row>
    <row r="4009" spans="2:5" x14ac:dyDescent="0.3">
      <c r="B4009" t="s">
        <v>6260</v>
      </c>
      <c r="C4009">
        <v>539217</v>
      </c>
      <c r="D4009" t="s">
        <v>496</v>
      </c>
      <c r="E4009" t="s">
        <v>516</v>
      </c>
    </row>
    <row r="4010" spans="2:5" x14ac:dyDescent="0.3">
      <c r="B4010" t="s">
        <v>6261</v>
      </c>
      <c r="C4010">
        <v>503806</v>
      </c>
      <c r="D4010" t="s">
        <v>6262</v>
      </c>
      <c r="E4010" t="s">
        <v>511</v>
      </c>
    </row>
    <row r="4011" spans="2:5" x14ac:dyDescent="0.3">
      <c r="B4011" t="s">
        <v>6263</v>
      </c>
      <c r="C4011">
        <v>534680</v>
      </c>
      <c r="D4011" t="s">
        <v>496</v>
      </c>
      <c r="E4011" t="s">
        <v>554</v>
      </c>
    </row>
    <row r="4012" spans="2:5" x14ac:dyDescent="0.3">
      <c r="B4012" t="s">
        <v>6264</v>
      </c>
      <c r="C4012">
        <v>530943</v>
      </c>
      <c r="D4012" t="s">
        <v>6265</v>
      </c>
      <c r="E4012" t="s">
        <v>499</v>
      </c>
    </row>
    <row r="4013" spans="2:5" x14ac:dyDescent="0.3">
      <c r="B4013" t="s">
        <v>6266</v>
      </c>
      <c r="C4013">
        <v>538863</v>
      </c>
      <c r="D4013" t="s">
        <v>496</v>
      </c>
      <c r="E4013" t="s">
        <v>513</v>
      </c>
    </row>
    <row r="4014" spans="2:5" x14ac:dyDescent="0.3">
      <c r="B4014" t="s">
        <v>6267</v>
      </c>
      <c r="C4014">
        <v>531322</v>
      </c>
      <c r="D4014" t="s">
        <v>6268</v>
      </c>
      <c r="E4014" t="s">
        <v>706</v>
      </c>
    </row>
    <row r="4015" spans="2:5" x14ac:dyDescent="0.3">
      <c r="B4015" t="s">
        <v>6269</v>
      </c>
      <c r="C4015">
        <v>514442</v>
      </c>
      <c r="D4015" t="s">
        <v>496</v>
      </c>
      <c r="E4015" t="s">
        <v>616</v>
      </c>
    </row>
    <row r="4016" spans="2:5" x14ac:dyDescent="0.3">
      <c r="B4016" t="s">
        <v>6270</v>
      </c>
      <c r="C4016">
        <v>539363</v>
      </c>
      <c r="D4016" t="s">
        <v>496</v>
      </c>
      <c r="E4016" t="s">
        <v>582</v>
      </c>
    </row>
    <row r="4017" spans="2:5" x14ac:dyDescent="0.3">
      <c r="B4017" t="s">
        <v>6271</v>
      </c>
      <c r="C4017">
        <v>539363</v>
      </c>
      <c r="D4017" t="s">
        <v>496</v>
      </c>
      <c r="E4017" t="s">
        <v>582</v>
      </c>
    </row>
    <row r="4018" spans="2:5" x14ac:dyDescent="0.3">
      <c r="B4018" t="s">
        <v>6272</v>
      </c>
      <c r="C4018" t="s">
        <v>496</v>
      </c>
      <c r="D4018" t="s">
        <v>6273</v>
      </c>
      <c r="E4018" t="s">
        <v>507</v>
      </c>
    </row>
    <row r="4019" spans="2:5" x14ac:dyDescent="0.3">
      <c r="B4019" t="s">
        <v>6274</v>
      </c>
      <c r="C4019">
        <v>521161</v>
      </c>
      <c r="D4019" t="s">
        <v>496</v>
      </c>
      <c r="E4019" t="s">
        <v>511</v>
      </c>
    </row>
    <row r="4020" spans="2:5" x14ac:dyDescent="0.3">
      <c r="B4020" t="s">
        <v>6275</v>
      </c>
      <c r="C4020">
        <v>521234</v>
      </c>
      <c r="D4020" t="s">
        <v>496</v>
      </c>
      <c r="E4020" t="s">
        <v>511</v>
      </c>
    </row>
    <row r="4021" spans="2:5" x14ac:dyDescent="0.3">
      <c r="B4021" t="s">
        <v>6276</v>
      </c>
      <c r="C4021">
        <v>521178</v>
      </c>
      <c r="D4021" t="s">
        <v>496</v>
      </c>
      <c r="E4021" t="s">
        <v>511</v>
      </c>
    </row>
    <row r="4022" spans="2:5" x14ac:dyDescent="0.3">
      <c r="B4022" t="s">
        <v>6277</v>
      </c>
      <c r="C4022">
        <v>515081</v>
      </c>
      <c r="D4022" t="s">
        <v>496</v>
      </c>
      <c r="E4022" t="s">
        <v>1024</v>
      </c>
    </row>
    <row r="4023" spans="2:5" x14ac:dyDescent="0.3">
      <c r="B4023" t="s">
        <v>6278</v>
      </c>
      <c r="C4023">
        <v>513605</v>
      </c>
      <c r="D4023" t="s">
        <v>6279</v>
      </c>
      <c r="E4023" t="s">
        <v>819</v>
      </c>
    </row>
    <row r="4024" spans="2:5" x14ac:dyDescent="0.3">
      <c r="B4024" t="s">
        <v>6280</v>
      </c>
      <c r="C4024">
        <v>523222</v>
      </c>
      <c r="D4024" t="s">
        <v>496</v>
      </c>
      <c r="E4024" t="s">
        <v>635</v>
      </c>
    </row>
    <row r="4025" spans="2:5" x14ac:dyDescent="0.3">
      <c r="B4025" t="s">
        <v>6281</v>
      </c>
      <c r="C4025">
        <v>536799</v>
      </c>
      <c r="D4025" t="s">
        <v>496</v>
      </c>
      <c r="E4025" t="s">
        <v>513</v>
      </c>
    </row>
    <row r="4026" spans="2:5" x14ac:dyDescent="0.3">
      <c r="B4026" t="s">
        <v>6282</v>
      </c>
      <c r="C4026">
        <v>533569</v>
      </c>
      <c r="D4026" t="s">
        <v>6283</v>
      </c>
      <c r="E4026" t="s">
        <v>610</v>
      </c>
    </row>
    <row r="4027" spans="2:5" x14ac:dyDescent="0.3">
      <c r="B4027" t="s">
        <v>6284</v>
      </c>
      <c r="C4027">
        <v>540914</v>
      </c>
      <c r="D4027" t="s">
        <v>496</v>
      </c>
      <c r="E4027" t="s">
        <v>518</v>
      </c>
    </row>
    <row r="4028" spans="2:5" x14ac:dyDescent="0.3">
      <c r="B4028" t="s">
        <v>6285</v>
      </c>
      <c r="C4028">
        <v>524636</v>
      </c>
      <c r="D4028" t="s">
        <v>496</v>
      </c>
      <c r="E4028" t="s">
        <v>534</v>
      </c>
    </row>
    <row r="4029" spans="2:5" x14ac:dyDescent="0.3">
      <c r="B4029" t="s">
        <v>6286</v>
      </c>
      <c r="C4029">
        <v>530821</v>
      </c>
      <c r="D4029" t="s">
        <v>496</v>
      </c>
      <c r="E4029" t="s">
        <v>582</v>
      </c>
    </row>
    <row r="4030" spans="2:5" x14ac:dyDescent="0.3">
      <c r="B4030" t="s">
        <v>6287</v>
      </c>
      <c r="C4030">
        <v>539026</v>
      </c>
      <c r="D4030" t="s">
        <v>496</v>
      </c>
      <c r="E4030" t="s">
        <v>479</v>
      </c>
    </row>
    <row r="4031" spans="2:5" x14ac:dyDescent="0.3">
      <c r="B4031" t="s">
        <v>6288</v>
      </c>
      <c r="C4031">
        <v>531723</v>
      </c>
      <c r="D4031" t="s">
        <v>6289</v>
      </c>
      <c r="E4031" t="s">
        <v>479</v>
      </c>
    </row>
    <row r="4032" spans="2:5" x14ac:dyDescent="0.3">
      <c r="B4032" t="s">
        <v>6288</v>
      </c>
      <c r="C4032">
        <v>570005</v>
      </c>
      <c r="D4032" t="s">
        <v>6290</v>
      </c>
      <c r="E4032" t="s">
        <v>479</v>
      </c>
    </row>
    <row r="4033" spans="2:5" x14ac:dyDescent="0.3">
      <c r="B4033" t="s">
        <v>6291</v>
      </c>
      <c r="C4033">
        <v>504180</v>
      </c>
      <c r="D4033" t="s">
        <v>496</v>
      </c>
      <c r="E4033" t="s">
        <v>513</v>
      </c>
    </row>
    <row r="4034" spans="2:5" x14ac:dyDescent="0.3">
      <c r="B4034" t="s">
        <v>6292</v>
      </c>
      <c r="C4034">
        <v>511700</v>
      </c>
      <c r="D4034" t="s">
        <v>496</v>
      </c>
      <c r="E4034" t="s">
        <v>513</v>
      </c>
    </row>
    <row r="4035" spans="2:5" x14ac:dyDescent="0.3">
      <c r="B4035" t="s">
        <v>6293</v>
      </c>
      <c r="C4035">
        <v>580001</v>
      </c>
      <c r="D4035" t="s">
        <v>496</v>
      </c>
      <c r="E4035" t="s">
        <v>814</v>
      </c>
    </row>
    <row r="4036" spans="2:5" x14ac:dyDescent="0.3">
      <c r="B4036" t="s">
        <v>6294</v>
      </c>
      <c r="C4036">
        <v>530017</v>
      </c>
      <c r="D4036" t="s">
        <v>6295</v>
      </c>
      <c r="E4036" t="s">
        <v>544</v>
      </c>
    </row>
    <row r="4037" spans="2:5" x14ac:dyDescent="0.3">
      <c r="B4037" t="s">
        <v>6296</v>
      </c>
      <c r="C4037">
        <v>523351</v>
      </c>
      <c r="D4037" t="s">
        <v>496</v>
      </c>
      <c r="E4037" t="s">
        <v>656</v>
      </c>
    </row>
    <row r="4038" spans="2:5" x14ac:dyDescent="0.3">
      <c r="B4038" t="s">
        <v>6297</v>
      </c>
      <c r="C4038">
        <v>523351</v>
      </c>
      <c r="D4038" t="s">
        <v>496</v>
      </c>
      <c r="E4038" t="s">
        <v>656</v>
      </c>
    </row>
    <row r="4039" spans="2:5" x14ac:dyDescent="0.3">
      <c r="B4039" t="s">
        <v>6298</v>
      </c>
      <c r="C4039">
        <v>526231</v>
      </c>
      <c r="D4039" t="s">
        <v>496</v>
      </c>
      <c r="E4039" t="s">
        <v>544</v>
      </c>
    </row>
    <row r="4040" spans="2:5" x14ac:dyDescent="0.3">
      <c r="B4040" t="s">
        <v>6299</v>
      </c>
      <c r="C4040">
        <v>530931</v>
      </c>
      <c r="D4040" t="s">
        <v>496</v>
      </c>
      <c r="E4040" t="s">
        <v>691</v>
      </c>
    </row>
    <row r="4041" spans="2:5" x14ac:dyDescent="0.3">
      <c r="B4041" t="s">
        <v>6300</v>
      </c>
      <c r="C4041">
        <v>530931</v>
      </c>
      <c r="D4041" t="s">
        <v>496</v>
      </c>
      <c r="E4041" t="s">
        <v>691</v>
      </c>
    </row>
    <row r="4042" spans="2:5" x14ac:dyDescent="0.3">
      <c r="B4042" t="s">
        <v>6301</v>
      </c>
      <c r="C4042">
        <v>506105</v>
      </c>
      <c r="D4042" t="s">
        <v>496</v>
      </c>
      <c r="E4042" t="s">
        <v>516</v>
      </c>
    </row>
    <row r="4043" spans="2:5" x14ac:dyDescent="0.3">
      <c r="B4043" t="s">
        <v>6302</v>
      </c>
      <c r="C4043">
        <v>540575</v>
      </c>
      <c r="D4043" t="s">
        <v>6303</v>
      </c>
      <c r="E4043" t="s">
        <v>509</v>
      </c>
    </row>
    <row r="4044" spans="2:5" x14ac:dyDescent="0.3">
      <c r="B4044" t="s">
        <v>6304</v>
      </c>
      <c r="C4044">
        <v>539255</v>
      </c>
      <c r="D4044" t="s">
        <v>496</v>
      </c>
      <c r="E4044" t="s">
        <v>539</v>
      </c>
    </row>
    <row r="4045" spans="2:5" x14ac:dyDescent="0.3">
      <c r="B4045" t="s">
        <v>6305</v>
      </c>
      <c r="C4045">
        <v>516022</v>
      </c>
      <c r="D4045" t="s">
        <v>6306</v>
      </c>
      <c r="E4045" t="s">
        <v>490</v>
      </c>
    </row>
    <row r="4046" spans="2:5" x14ac:dyDescent="0.3">
      <c r="B4046" t="s">
        <v>6307</v>
      </c>
      <c r="C4046">
        <v>531616</v>
      </c>
      <c r="D4046" t="s">
        <v>496</v>
      </c>
      <c r="E4046" t="s">
        <v>482</v>
      </c>
    </row>
    <row r="4047" spans="2:5" x14ac:dyDescent="0.3">
      <c r="B4047" t="s">
        <v>6308</v>
      </c>
      <c r="C4047">
        <v>538733</v>
      </c>
      <c r="D4047" t="s">
        <v>496</v>
      </c>
      <c r="E4047" t="s">
        <v>2744</v>
      </c>
    </row>
    <row r="4048" spans="2:5" x14ac:dyDescent="0.3">
      <c r="B4048" t="s">
        <v>6309</v>
      </c>
      <c r="C4048">
        <v>517548</v>
      </c>
      <c r="D4048" t="s">
        <v>496</v>
      </c>
      <c r="E4048" t="s">
        <v>518</v>
      </c>
    </row>
    <row r="4049" spans="2:5" x14ac:dyDescent="0.3">
      <c r="B4049" t="s">
        <v>6310</v>
      </c>
      <c r="C4049">
        <v>520155</v>
      </c>
      <c r="D4049" t="s">
        <v>496</v>
      </c>
      <c r="E4049" t="s">
        <v>632</v>
      </c>
    </row>
    <row r="4050" spans="2:5" x14ac:dyDescent="0.3">
      <c r="B4050" t="s">
        <v>6311</v>
      </c>
      <c r="C4050">
        <v>500112</v>
      </c>
      <c r="D4050" t="s">
        <v>6312</v>
      </c>
      <c r="E4050" t="s">
        <v>814</v>
      </c>
    </row>
    <row r="4051" spans="2:5" x14ac:dyDescent="0.3">
      <c r="B4051" t="s">
        <v>6313</v>
      </c>
      <c r="C4051">
        <v>500113</v>
      </c>
      <c r="D4051" t="s">
        <v>6314</v>
      </c>
      <c r="E4051" t="s">
        <v>528</v>
      </c>
    </row>
    <row r="4052" spans="2:5" x14ac:dyDescent="0.3">
      <c r="B4052" t="s">
        <v>6315</v>
      </c>
      <c r="C4052">
        <v>500113</v>
      </c>
      <c r="D4052" t="s">
        <v>6314</v>
      </c>
      <c r="E4052" t="s">
        <v>528</v>
      </c>
    </row>
    <row r="4053" spans="2:5" x14ac:dyDescent="0.3">
      <c r="B4053" t="s">
        <v>6316</v>
      </c>
      <c r="C4053" t="s">
        <v>496</v>
      </c>
      <c r="D4053" t="s">
        <v>6317</v>
      </c>
      <c r="E4053" t="s">
        <v>507</v>
      </c>
    </row>
    <row r="4054" spans="2:5" x14ac:dyDescent="0.3">
      <c r="B4054" t="s">
        <v>6318</v>
      </c>
      <c r="C4054">
        <v>534748</v>
      </c>
      <c r="D4054" t="s">
        <v>6319</v>
      </c>
      <c r="E4054" t="s">
        <v>528</v>
      </c>
    </row>
    <row r="4055" spans="2:5" x14ac:dyDescent="0.3">
      <c r="B4055" t="s">
        <v>6320</v>
      </c>
      <c r="C4055">
        <v>534748</v>
      </c>
      <c r="D4055" t="s">
        <v>6319</v>
      </c>
      <c r="E4055" t="s">
        <v>528</v>
      </c>
    </row>
    <row r="4056" spans="2:5" x14ac:dyDescent="0.3">
      <c r="B4056" t="s">
        <v>6321</v>
      </c>
      <c r="C4056">
        <v>513173</v>
      </c>
      <c r="D4056" t="s">
        <v>496</v>
      </c>
      <c r="E4056" t="s">
        <v>582</v>
      </c>
    </row>
    <row r="4057" spans="2:5" x14ac:dyDescent="0.3">
      <c r="B4057" t="s">
        <v>6322</v>
      </c>
      <c r="C4057">
        <v>504717</v>
      </c>
      <c r="D4057" t="s">
        <v>6323</v>
      </c>
      <c r="E4057" t="s">
        <v>4370</v>
      </c>
    </row>
    <row r="4058" spans="2:5" x14ac:dyDescent="0.3">
      <c r="B4058" t="s">
        <v>6324</v>
      </c>
      <c r="C4058">
        <v>513262</v>
      </c>
      <c r="D4058" t="s">
        <v>6325</v>
      </c>
      <c r="E4058" t="s">
        <v>851</v>
      </c>
    </row>
    <row r="4059" spans="2:5" x14ac:dyDescent="0.3">
      <c r="B4059" t="s">
        <v>6326</v>
      </c>
      <c r="C4059">
        <v>513517</v>
      </c>
      <c r="D4059" t="s">
        <v>496</v>
      </c>
      <c r="E4059" t="s">
        <v>1416</v>
      </c>
    </row>
    <row r="4060" spans="2:5" x14ac:dyDescent="0.3">
      <c r="B4060" t="s">
        <v>6327</v>
      </c>
      <c r="C4060">
        <v>500399</v>
      </c>
      <c r="D4060" t="s">
        <v>496</v>
      </c>
      <c r="E4060" t="s">
        <v>528</v>
      </c>
    </row>
    <row r="4061" spans="2:5" x14ac:dyDescent="0.3">
      <c r="B4061" t="s">
        <v>6328</v>
      </c>
      <c r="C4061">
        <v>533316</v>
      </c>
      <c r="D4061" t="s">
        <v>6329</v>
      </c>
      <c r="E4061" t="s">
        <v>662</v>
      </c>
    </row>
    <row r="4062" spans="2:5" x14ac:dyDescent="0.3">
      <c r="B4062" t="s">
        <v>6330</v>
      </c>
      <c r="C4062">
        <v>526071</v>
      </c>
      <c r="D4062" t="s">
        <v>496</v>
      </c>
      <c r="E4062" t="s">
        <v>479</v>
      </c>
    </row>
    <row r="4063" spans="2:5" x14ac:dyDescent="0.3">
      <c r="B4063" t="s">
        <v>6331</v>
      </c>
      <c r="C4063">
        <v>526071</v>
      </c>
      <c r="D4063" t="s">
        <v>496</v>
      </c>
      <c r="E4063" t="s">
        <v>479</v>
      </c>
    </row>
    <row r="4064" spans="2:5" x14ac:dyDescent="0.3">
      <c r="B4064" t="s">
        <v>6332</v>
      </c>
      <c r="C4064">
        <v>536738</v>
      </c>
      <c r="D4064" t="s">
        <v>496</v>
      </c>
      <c r="E4064" t="s">
        <v>479</v>
      </c>
    </row>
    <row r="4065" spans="2:5" x14ac:dyDescent="0.3">
      <c r="B4065" t="s">
        <v>6333</v>
      </c>
      <c r="C4065">
        <v>531509</v>
      </c>
      <c r="D4065" t="s">
        <v>496</v>
      </c>
      <c r="E4065" t="s">
        <v>479</v>
      </c>
    </row>
    <row r="4066" spans="2:5" x14ac:dyDescent="0.3">
      <c r="B4066" t="s">
        <v>6334</v>
      </c>
      <c r="C4066">
        <v>526500</v>
      </c>
      <c r="D4066" t="s">
        <v>496</v>
      </c>
      <c r="E4066" t="s">
        <v>697</v>
      </c>
    </row>
    <row r="4067" spans="2:5" x14ac:dyDescent="0.3">
      <c r="B4067" t="s">
        <v>6335</v>
      </c>
      <c r="C4067">
        <v>508963</v>
      </c>
      <c r="D4067" t="s">
        <v>6336</v>
      </c>
      <c r="E4067" t="s">
        <v>513</v>
      </c>
    </row>
    <row r="4068" spans="2:5" x14ac:dyDescent="0.3">
      <c r="B4068" t="s">
        <v>6337</v>
      </c>
      <c r="C4068">
        <v>531628</v>
      </c>
      <c r="D4068" t="s">
        <v>496</v>
      </c>
      <c r="E4068" t="s">
        <v>511</v>
      </c>
    </row>
    <row r="4069" spans="2:5" x14ac:dyDescent="0.3">
      <c r="B4069" t="s">
        <v>6338</v>
      </c>
      <c r="C4069">
        <v>530759</v>
      </c>
      <c r="D4069" t="s">
        <v>6339</v>
      </c>
      <c r="E4069" t="s">
        <v>851</v>
      </c>
    </row>
    <row r="4070" spans="2:5" x14ac:dyDescent="0.3">
      <c r="B4070" t="s">
        <v>6340</v>
      </c>
      <c r="C4070">
        <v>532374</v>
      </c>
      <c r="D4070" t="s">
        <v>6341</v>
      </c>
      <c r="E4070" t="s">
        <v>1443</v>
      </c>
    </row>
    <row r="4071" spans="2:5" x14ac:dyDescent="0.3">
      <c r="B4071" t="s">
        <v>6342</v>
      </c>
      <c r="C4071">
        <v>513151</v>
      </c>
      <c r="D4071" t="s">
        <v>6343</v>
      </c>
      <c r="E4071" t="s">
        <v>511</v>
      </c>
    </row>
    <row r="4072" spans="2:5" x14ac:dyDescent="0.3">
      <c r="B4072" t="s">
        <v>6344</v>
      </c>
      <c r="C4072">
        <v>513151</v>
      </c>
      <c r="D4072" t="s">
        <v>6345</v>
      </c>
      <c r="E4072" t="s">
        <v>511</v>
      </c>
    </row>
    <row r="4073" spans="2:5" x14ac:dyDescent="0.3">
      <c r="B4073" t="s">
        <v>6346</v>
      </c>
      <c r="C4073">
        <v>532730</v>
      </c>
      <c r="D4073" t="s">
        <v>6347</v>
      </c>
      <c r="E4073" t="s">
        <v>511</v>
      </c>
    </row>
    <row r="4074" spans="2:5" x14ac:dyDescent="0.3">
      <c r="B4074" t="s">
        <v>6348</v>
      </c>
      <c r="C4074">
        <v>504959</v>
      </c>
      <c r="D4074" t="s">
        <v>496</v>
      </c>
      <c r="E4074" t="s">
        <v>504</v>
      </c>
    </row>
    <row r="4075" spans="2:5" x14ac:dyDescent="0.3">
      <c r="B4075" t="s">
        <v>6349</v>
      </c>
      <c r="C4075">
        <v>530495</v>
      </c>
      <c r="D4075" t="s">
        <v>496</v>
      </c>
      <c r="E4075" t="s">
        <v>518</v>
      </c>
    </row>
    <row r="4076" spans="2:5" x14ac:dyDescent="0.3">
      <c r="B4076" t="s">
        <v>6350</v>
      </c>
      <c r="C4076">
        <v>532531</v>
      </c>
      <c r="D4076" t="s">
        <v>6351</v>
      </c>
      <c r="E4076" t="s">
        <v>534</v>
      </c>
    </row>
    <row r="4077" spans="2:5" x14ac:dyDescent="0.3">
      <c r="B4077" t="s">
        <v>6352</v>
      </c>
      <c r="C4077">
        <v>530611</v>
      </c>
      <c r="D4077" t="s">
        <v>496</v>
      </c>
      <c r="E4077" t="s">
        <v>616</v>
      </c>
    </row>
    <row r="4078" spans="2:5" x14ac:dyDescent="0.3">
      <c r="B4078" t="s">
        <v>6353</v>
      </c>
      <c r="C4078">
        <v>526951</v>
      </c>
      <c r="D4078" t="s">
        <v>496</v>
      </c>
      <c r="E4078" t="s">
        <v>991</v>
      </c>
    </row>
    <row r="4079" spans="2:5" x14ac:dyDescent="0.3">
      <c r="B4079" t="s">
        <v>6354</v>
      </c>
      <c r="C4079" t="s">
        <v>496</v>
      </c>
      <c r="D4079" t="s">
        <v>6355</v>
      </c>
      <c r="E4079" t="s">
        <v>991</v>
      </c>
    </row>
    <row r="4080" spans="2:5" x14ac:dyDescent="0.3">
      <c r="B4080" t="s">
        <v>6356</v>
      </c>
      <c r="C4080">
        <v>532348</v>
      </c>
      <c r="D4080" t="s">
        <v>496</v>
      </c>
      <c r="E4080" t="s">
        <v>589</v>
      </c>
    </row>
    <row r="4081" spans="2:5" x14ac:dyDescent="0.3">
      <c r="B4081" t="s">
        <v>6357</v>
      </c>
      <c r="C4081">
        <v>530231</v>
      </c>
      <c r="D4081" t="s">
        <v>496</v>
      </c>
      <c r="E4081" t="s">
        <v>511</v>
      </c>
    </row>
    <row r="4082" spans="2:5" x14ac:dyDescent="0.3">
      <c r="B4082" t="s">
        <v>6358</v>
      </c>
      <c r="C4082">
        <v>517168</v>
      </c>
      <c r="D4082" t="s">
        <v>6359</v>
      </c>
      <c r="E4082" t="s">
        <v>851</v>
      </c>
    </row>
    <row r="4083" spans="2:5" x14ac:dyDescent="0.3">
      <c r="B4083" t="s">
        <v>6360</v>
      </c>
      <c r="C4083">
        <v>511024</v>
      </c>
      <c r="D4083" t="s">
        <v>496</v>
      </c>
      <c r="E4083" t="s">
        <v>917</v>
      </c>
    </row>
    <row r="4084" spans="2:5" x14ac:dyDescent="0.3">
      <c r="B4084" t="s">
        <v>6361</v>
      </c>
      <c r="C4084">
        <v>538714</v>
      </c>
      <c r="D4084" t="s">
        <v>496</v>
      </c>
      <c r="E4084" t="s">
        <v>513</v>
      </c>
    </row>
    <row r="4085" spans="2:5" x14ac:dyDescent="0.3">
      <c r="B4085" t="s">
        <v>6362</v>
      </c>
      <c r="C4085">
        <v>506003</v>
      </c>
      <c r="D4085" t="s">
        <v>496</v>
      </c>
      <c r="E4085" t="s">
        <v>801</v>
      </c>
    </row>
    <row r="4086" spans="2:5" x14ac:dyDescent="0.3">
      <c r="B4086" t="s">
        <v>6363</v>
      </c>
      <c r="C4086">
        <v>506655</v>
      </c>
      <c r="D4086" t="s">
        <v>6364</v>
      </c>
      <c r="E4086" t="s">
        <v>656</v>
      </c>
    </row>
    <row r="4087" spans="2:5" x14ac:dyDescent="0.3">
      <c r="B4087" t="s">
        <v>6365</v>
      </c>
      <c r="C4087">
        <v>521113</v>
      </c>
      <c r="D4087" t="s">
        <v>496</v>
      </c>
      <c r="E4087" t="s">
        <v>511</v>
      </c>
    </row>
    <row r="4088" spans="2:5" x14ac:dyDescent="0.3">
      <c r="B4088" t="s">
        <v>6366</v>
      </c>
      <c r="C4088">
        <v>540318</v>
      </c>
      <c r="D4088" t="s">
        <v>496</v>
      </c>
      <c r="E4088" t="s">
        <v>511</v>
      </c>
    </row>
    <row r="4089" spans="2:5" x14ac:dyDescent="0.3">
      <c r="B4089" t="s">
        <v>6367</v>
      </c>
      <c r="C4089">
        <v>511654</v>
      </c>
      <c r="D4089" t="s">
        <v>496</v>
      </c>
      <c r="E4089" t="s">
        <v>513</v>
      </c>
    </row>
    <row r="4090" spans="2:5" x14ac:dyDescent="0.3">
      <c r="B4090" t="s">
        <v>6368</v>
      </c>
      <c r="C4090">
        <v>542683</v>
      </c>
      <c r="D4090" t="s">
        <v>6369</v>
      </c>
      <c r="E4090" t="s">
        <v>642</v>
      </c>
    </row>
    <row r="4091" spans="2:5" x14ac:dyDescent="0.3">
      <c r="B4091" t="s">
        <v>6370</v>
      </c>
      <c r="C4091">
        <v>539117</v>
      </c>
      <c r="D4091" t="s">
        <v>496</v>
      </c>
      <c r="E4091" t="s">
        <v>513</v>
      </c>
    </row>
    <row r="4092" spans="2:5" x14ac:dyDescent="0.3">
      <c r="B4092" t="s">
        <v>6371</v>
      </c>
      <c r="C4092">
        <v>517224</v>
      </c>
      <c r="D4092" t="s">
        <v>6372</v>
      </c>
      <c r="E4092" t="s">
        <v>1416</v>
      </c>
    </row>
    <row r="4093" spans="2:5" x14ac:dyDescent="0.3">
      <c r="B4093" t="s">
        <v>6373</v>
      </c>
      <c r="C4093">
        <v>524542</v>
      </c>
      <c r="D4093" t="s">
        <v>496</v>
      </c>
      <c r="E4093" t="s">
        <v>694</v>
      </c>
    </row>
    <row r="4094" spans="2:5" x14ac:dyDescent="0.3">
      <c r="B4094" t="s">
        <v>6374</v>
      </c>
      <c r="C4094">
        <v>508969</v>
      </c>
      <c r="D4094" t="s">
        <v>496</v>
      </c>
      <c r="E4094" t="s">
        <v>513</v>
      </c>
    </row>
    <row r="4095" spans="2:5" x14ac:dyDescent="0.3">
      <c r="B4095" t="s">
        <v>6375</v>
      </c>
      <c r="C4095">
        <v>530419</v>
      </c>
      <c r="D4095" t="s">
        <v>496</v>
      </c>
      <c r="E4095" t="s">
        <v>479</v>
      </c>
    </row>
    <row r="4096" spans="2:5" x14ac:dyDescent="0.3">
      <c r="B4096" t="s">
        <v>6376</v>
      </c>
      <c r="C4096">
        <v>514211</v>
      </c>
      <c r="D4096" t="s">
        <v>6377</v>
      </c>
      <c r="E4096" t="s">
        <v>511</v>
      </c>
    </row>
    <row r="4097" spans="2:5" x14ac:dyDescent="0.3">
      <c r="B4097" t="s">
        <v>6378</v>
      </c>
      <c r="C4097">
        <v>530445</v>
      </c>
      <c r="D4097" t="s">
        <v>496</v>
      </c>
      <c r="E4097" t="s">
        <v>518</v>
      </c>
    </row>
    <row r="4098" spans="2:5" x14ac:dyDescent="0.3">
      <c r="B4098" t="s">
        <v>6379</v>
      </c>
      <c r="C4098" t="s">
        <v>496</v>
      </c>
      <c r="D4098" t="s">
        <v>6380</v>
      </c>
      <c r="E4098" t="s">
        <v>507</v>
      </c>
    </row>
    <row r="4099" spans="2:5" x14ac:dyDescent="0.3">
      <c r="B4099" t="s">
        <v>6381</v>
      </c>
      <c r="C4099">
        <v>533306</v>
      </c>
      <c r="D4099" t="s">
        <v>6382</v>
      </c>
      <c r="E4099" t="s">
        <v>516</v>
      </c>
    </row>
    <row r="4100" spans="2:5" x14ac:dyDescent="0.3">
      <c r="B4100" t="s">
        <v>6383</v>
      </c>
      <c r="C4100">
        <v>532154</v>
      </c>
      <c r="D4100" t="s">
        <v>496</v>
      </c>
      <c r="E4100" t="s">
        <v>917</v>
      </c>
    </row>
    <row r="4101" spans="2:5" x14ac:dyDescent="0.3">
      <c r="B4101" t="s">
        <v>6384</v>
      </c>
      <c r="C4101">
        <v>532872</v>
      </c>
      <c r="D4101" t="s">
        <v>6385</v>
      </c>
      <c r="E4101" t="s">
        <v>534</v>
      </c>
    </row>
    <row r="4102" spans="2:5" x14ac:dyDescent="0.3">
      <c r="B4102" t="s">
        <v>6386</v>
      </c>
      <c r="C4102">
        <v>524715</v>
      </c>
      <c r="D4102" t="s">
        <v>6387</v>
      </c>
      <c r="E4102" t="s">
        <v>534</v>
      </c>
    </row>
    <row r="4103" spans="2:5" x14ac:dyDescent="0.3">
      <c r="B4103" t="s">
        <v>6388</v>
      </c>
      <c r="C4103">
        <v>542025</v>
      </c>
      <c r="D4103" t="s">
        <v>496</v>
      </c>
      <c r="E4103" t="s">
        <v>518</v>
      </c>
    </row>
    <row r="4104" spans="2:5" x14ac:dyDescent="0.3">
      <c r="B4104" t="s">
        <v>6389</v>
      </c>
      <c r="C4104">
        <v>517403</v>
      </c>
      <c r="D4104" t="s">
        <v>496</v>
      </c>
      <c r="E4104" t="s">
        <v>635</v>
      </c>
    </row>
    <row r="4105" spans="2:5" x14ac:dyDescent="0.3">
      <c r="B4105" t="s">
        <v>6390</v>
      </c>
      <c r="C4105">
        <v>517403</v>
      </c>
      <c r="D4105" t="s">
        <v>496</v>
      </c>
      <c r="E4105" t="s">
        <v>635</v>
      </c>
    </row>
    <row r="4106" spans="2:5" x14ac:dyDescent="0.3">
      <c r="B4106" t="s">
        <v>6391</v>
      </c>
      <c r="C4106">
        <v>531752</v>
      </c>
      <c r="D4106" t="s">
        <v>496</v>
      </c>
      <c r="E4106" t="s">
        <v>518</v>
      </c>
    </row>
    <row r="4107" spans="2:5" x14ac:dyDescent="0.3">
      <c r="B4107" t="s">
        <v>6392</v>
      </c>
      <c r="C4107">
        <v>532733</v>
      </c>
      <c r="D4107" t="s">
        <v>6393</v>
      </c>
      <c r="E4107" t="s">
        <v>1235</v>
      </c>
    </row>
    <row r="4108" spans="2:5" x14ac:dyDescent="0.3">
      <c r="B4108" t="s">
        <v>6394</v>
      </c>
      <c r="C4108">
        <v>539526</v>
      </c>
      <c r="D4108" t="s">
        <v>496</v>
      </c>
      <c r="E4108" t="s">
        <v>530</v>
      </c>
    </row>
    <row r="4109" spans="2:5" x14ac:dyDescent="0.3">
      <c r="B4109" t="s">
        <v>6395</v>
      </c>
      <c r="C4109">
        <v>530795</v>
      </c>
      <c r="D4109" t="s">
        <v>496</v>
      </c>
      <c r="E4109" t="s">
        <v>511</v>
      </c>
    </row>
    <row r="4110" spans="2:5" x14ac:dyDescent="0.3">
      <c r="B4110" t="s">
        <v>6396</v>
      </c>
      <c r="C4110">
        <v>590072</v>
      </c>
      <c r="D4110" t="s">
        <v>6397</v>
      </c>
      <c r="E4110" t="s">
        <v>851</v>
      </c>
    </row>
    <row r="4111" spans="2:5" x14ac:dyDescent="0.3">
      <c r="B4111" t="s">
        <v>6398</v>
      </c>
      <c r="C4111">
        <v>520056</v>
      </c>
      <c r="D4111" t="s">
        <v>6399</v>
      </c>
      <c r="E4111" t="s">
        <v>851</v>
      </c>
    </row>
    <row r="4112" spans="2:5" x14ac:dyDescent="0.3">
      <c r="B4112" t="s">
        <v>6400</v>
      </c>
      <c r="C4112" t="s">
        <v>496</v>
      </c>
      <c r="D4112" t="s">
        <v>6401</v>
      </c>
      <c r="E4112" t="s">
        <v>587</v>
      </c>
    </row>
    <row r="4113" spans="2:5" x14ac:dyDescent="0.3">
      <c r="B4113" t="s">
        <v>6402</v>
      </c>
      <c r="C4113">
        <v>590071</v>
      </c>
      <c r="D4113" t="s">
        <v>6403</v>
      </c>
      <c r="E4113" t="s">
        <v>513</v>
      </c>
    </row>
    <row r="4114" spans="2:5" x14ac:dyDescent="0.3">
      <c r="B4114" t="s">
        <v>6404</v>
      </c>
      <c r="C4114">
        <v>533166</v>
      </c>
      <c r="D4114" t="s">
        <v>6405</v>
      </c>
      <c r="E4114" t="s">
        <v>2489</v>
      </c>
    </row>
    <row r="4115" spans="2:5" x14ac:dyDescent="0.3">
      <c r="B4115" t="s">
        <v>6406</v>
      </c>
      <c r="C4115">
        <v>500403</v>
      </c>
      <c r="D4115" t="s">
        <v>6407</v>
      </c>
      <c r="E4115" t="s">
        <v>851</v>
      </c>
    </row>
    <row r="4116" spans="2:5" x14ac:dyDescent="0.3">
      <c r="B4116" t="s">
        <v>6408</v>
      </c>
      <c r="C4116">
        <v>500404</v>
      </c>
      <c r="D4116" t="s">
        <v>6409</v>
      </c>
      <c r="E4116" t="s">
        <v>528</v>
      </c>
    </row>
    <row r="4117" spans="2:5" x14ac:dyDescent="0.3">
      <c r="B4117" t="s">
        <v>6410</v>
      </c>
      <c r="C4117">
        <v>531433</v>
      </c>
      <c r="D4117" t="s">
        <v>496</v>
      </c>
      <c r="E4117" t="s">
        <v>513</v>
      </c>
    </row>
    <row r="4118" spans="2:5" x14ac:dyDescent="0.3">
      <c r="B4118" t="s">
        <v>6411</v>
      </c>
      <c r="C4118">
        <v>541799</v>
      </c>
      <c r="D4118" t="s">
        <v>496</v>
      </c>
      <c r="E4118" t="s">
        <v>2099</v>
      </c>
    </row>
    <row r="4119" spans="2:5" x14ac:dyDescent="0.3">
      <c r="B4119" t="s">
        <v>6412</v>
      </c>
      <c r="C4119">
        <v>530953</v>
      </c>
      <c r="D4119" t="s">
        <v>496</v>
      </c>
      <c r="E4119" t="s">
        <v>556</v>
      </c>
    </row>
    <row r="4120" spans="2:5" x14ac:dyDescent="0.3">
      <c r="B4120" t="s">
        <v>6413</v>
      </c>
      <c r="C4120">
        <v>537253</v>
      </c>
      <c r="D4120" t="s">
        <v>496</v>
      </c>
      <c r="E4120" t="s">
        <v>534</v>
      </c>
    </row>
    <row r="4121" spans="2:5" x14ac:dyDescent="0.3">
      <c r="B4121" t="s">
        <v>6414</v>
      </c>
      <c r="C4121">
        <v>532711</v>
      </c>
      <c r="D4121" t="s">
        <v>6415</v>
      </c>
      <c r="E4121" t="s">
        <v>894</v>
      </c>
    </row>
    <row r="4122" spans="2:5" x14ac:dyDescent="0.3">
      <c r="B4122" t="s">
        <v>6416</v>
      </c>
      <c r="C4122">
        <v>521232</v>
      </c>
      <c r="D4122" t="s">
        <v>496</v>
      </c>
      <c r="E4122" t="s">
        <v>518</v>
      </c>
    </row>
    <row r="4123" spans="2:5" x14ac:dyDescent="0.3">
      <c r="B4123" t="s">
        <v>6417</v>
      </c>
      <c r="C4123">
        <v>523425</v>
      </c>
      <c r="D4123" t="s">
        <v>6418</v>
      </c>
      <c r="E4123" t="s">
        <v>1052</v>
      </c>
    </row>
    <row r="4124" spans="2:5" x14ac:dyDescent="0.3">
      <c r="B4124" t="s">
        <v>6419</v>
      </c>
      <c r="C4124">
        <v>501110</v>
      </c>
      <c r="D4124" t="s">
        <v>496</v>
      </c>
      <c r="E4124" t="s">
        <v>479</v>
      </c>
    </row>
    <row r="4125" spans="2:5" x14ac:dyDescent="0.3">
      <c r="B4125" t="s">
        <v>6420</v>
      </c>
      <c r="C4125">
        <v>530845</v>
      </c>
      <c r="D4125" t="s">
        <v>496</v>
      </c>
      <c r="E4125" t="s">
        <v>544</v>
      </c>
    </row>
    <row r="4126" spans="2:5" x14ac:dyDescent="0.3">
      <c r="B4126" t="s">
        <v>6421</v>
      </c>
      <c r="C4126">
        <v>539574</v>
      </c>
      <c r="D4126" t="s">
        <v>496</v>
      </c>
      <c r="E4126" t="s">
        <v>513</v>
      </c>
    </row>
    <row r="4127" spans="2:5" x14ac:dyDescent="0.3">
      <c r="B4127" t="s">
        <v>6422</v>
      </c>
      <c r="C4127">
        <v>535141</v>
      </c>
      <c r="D4127" t="s">
        <v>496</v>
      </c>
      <c r="E4127" t="s">
        <v>582</v>
      </c>
    </row>
    <row r="4128" spans="2:5" x14ac:dyDescent="0.3">
      <c r="B4128" t="s">
        <v>6423</v>
      </c>
      <c r="C4128">
        <v>512179</v>
      </c>
      <c r="D4128" t="s">
        <v>6424</v>
      </c>
      <c r="E4128" t="s">
        <v>582</v>
      </c>
    </row>
    <row r="4129" spans="2:5" x14ac:dyDescent="0.3">
      <c r="B4129" t="s">
        <v>6425</v>
      </c>
      <c r="C4129">
        <v>530735</v>
      </c>
      <c r="D4129" t="s">
        <v>496</v>
      </c>
      <c r="E4129" t="s">
        <v>556</v>
      </c>
    </row>
    <row r="4130" spans="2:5" x14ac:dyDescent="0.3">
      <c r="B4130" t="s">
        <v>6426</v>
      </c>
      <c r="C4130">
        <v>530735</v>
      </c>
      <c r="D4130" t="s">
        <v>496</v>
      </c>
      <c r="E4130" t="s">
        <v>556</v>
      </c>
    </row>
    <row r="4131" spans="2:5" x14ac:dyDescent="0.3">
      <c r="B4131" t="s">
        <v>6427</v>
      </c>
      <c r="C4131">
        <v>530883</v>
      </c>
      <c r="D4131" t="s">
        <v>496</v>
      </c>
      <c r="E4131" t="s">
        <v>640</v>
      </c>
    </row>
    <row r="4132" spans="2:5" x14ac:dyDescent="0.3">
      <c r="B4132" t="s">
        <v>6428</v>
      </c>
      <c r="C4132">
        <v>531699</v>
      </c>
      <c r="D4132" t="s">
        <v>496</v>
      </c>
      <c r="E4132" t="s">
        <v>1261</v>
      </c>
    </row>
    <row r="4133" spans="2:5" x14ac:dyDescent="0.3">
      <c r="B4133" t="s">
        <v>6429</v>
      </c>
      <c r="C4133">
        <v>540269</v>
      </c>
      <c r="D4133" t="s">
        <v>496</v>
      </c>
      <c r="E4133" t="s">
        <v>610</v>
      </c>
    </row>
    <row r="4134" spans="2:5" x14ac:dyDescent="0.3">
      <c r="B4134" t="s">
        <v>6430</v>
      </c>
      <c r="C4134">
        <v>512527</v>
      </c>
      <c r="D4134" t="s">
        <v>496</v>
      </c>
      <c r="E4134" t="s">
        <v>511</v>
      </c>
    </row>
    <row r="4135" spans="2:5" x14ac:dyDescent="0.3">
      <c r="B4135" t="s">
        <v>6431</v>
      </c>
      <c r="C4135">
        <v>512527</v>
      </c>
      <c r="D4135" t="s">
        <v>496</v>
      </c>
      <c r="E4135" t="s">
        <v>511</v>
      </c>
    </row>
    <row r="4136" spans="2:5" x14ac:dyDescent="0.3">
      <c r="B4136" t="s">
        <v>6432</v>
      </c>
      <c r="C4136">
        <v>521180</v>
      </c>
      <c r="D4136" t="s">
        <v>6433</v>
      </c>
      <c r="E4136" t="s">
        <v>511</v>
      </c>
    </row>
    <row r="4137" spans="2:5" x14ac:dyDescent="0.3">
      <c r="B4137" t="s">
        <v>6434</v>
      </c>
      <c r="C4137">
        <v>523842</v>
      </c>
      <c r="D4137" t="s">
        <v>496</v>
      </c>
      <c r="E4137" t="s">
        <v>610</v>
      </c>
    </row>
    <row r="4138" spans="2:5" x14ac:dyDescent="0.3">
      <c r="B4138" t="s">
        <v>6435</v>
      </c>
      <c r="C4138">
        <v>532070</v>
      </c>
      <c r="D4138" t="s">
        <v>496</v>
      </c>
      <c r="E4138" t="s">
        <v>490</v>
      </c>
    </row>
    <row r="4139" spans="2:5" x14ac:dyDescent="0.3">
      <c r="B4139" t="s">
        <v>6436</v>
      </c>
      <c r="C4139">
        <v>523283</v>
      </c>
      <c r="D4139" t="s">
        <v>6437</v>
      </c>
      <c r="E4139" t="s">
        <v>922</v>
      </c>
    </row>
    <row r="4140" spans="2:5" x14ac:dyDescent="0.3">
      <c r="B4140" t="s">
        <v>6438</v>
      </c>
      <c r="C4140">
        <v>539835</v>
      </c>
      <c r="D4140" t="s">
        <v>496</v>
      </c>
      <c r="E4140" t="s">
        <v>513</v>
      </c>
    </row>
    <row r="4141" spans="2:5" x14ac:dyDescent="0.3">
      <c r="B4141" t="s">
        <v>6439</v>
      </c>
      <c r="C4141">
        <v>519234</v>
      </c>
      <c r="D4141" t="s">
        <v>6440</v>
      </c>
      <c r="E4141" t="s">
        <v>745</v>
      </c>
    </row>
    <row r="4142" spans="2:5" x14ac:dyDescent="0.3">
      <c r="B4142" t="s">
        <v>6441</v>
      </c>
      <c r="C4142">
        <v>780008</v>
      </c>
      <c r="D4142" t="s">
        <v>496</v>
      </c>
      <c r="E4142" t="s">
        <v>587</v>
      </c>
    </row>
    <row r="4143" spans="2:5" x14ac:dyDescent="0.3">
      <c r="B4143" t="s">
        <v>6442</v>
      </c>
      <c r="C4143">
        <v>541701</v>
      </c>
      <c r="D4143" t="s">
        <v>496</v>
      </c>
      <c r="E4143" t="s">
        <v>819</v>
      </c>
    </row>
    <row r="4144" spans="2:5" x14ac:dyDescent="0.3">
      <c r="B4144" t="s">
        <v>6443</v>
      </c>
      <c r="C4144">
        <v>526133</v>
      </c>
      <c r="D4144" t="s">
        <v>496</v>
      </c>
      <c r="E4144" t="s">
        <v>511</v>
      </c>
    </row>
    <row r="4145" spans="2:5" x14ac:dyDescent="0.3">
      <c r="B4145" t="s">
        <v>6444</v>
      </c>
      <c r="C4145">
        <v>540168</v>
      </c>
      <c r="D4145" t="s">
        <v>496</v>
      </c>
      <c r="E4145" t="s">
        <v>513</v>
      </c>
    </row>
    <row r="4146" spans="2:5" x14ac:dyDescent="0.3">
      <c r="B4146" t="s">
        <v>6445</v>
      </c>
      <c r="C4146">
        <v>511539</v>
      </c>
      <c r="D4146" t="s">
        <v>496</v>
      </c>
      <c r="E4146" t="s">
        <v>479</v>
      </c>
    </row>
    <row r="4147" spans="2:5" x14ac:dyDescent="0.3">
      <c r="B4147" t="s">
        <v>6446</v>
      </c>
      <c r="C4147">
        <v>532509</v>
      </c>
      <c r="D4147" t="s">
        <v>6447</v>
      </c>
      <c r="E4147" t="s">
        <v>851</v>
      </c>
    </row>
    <row r="4148" spans="2:5" x14ac:dyDescent="0.3">
      <c r="B4148" t="s">
        <v>6448</v>
      </c>
      <c r="C4148" t="s">
        <v>496</v>
      </c>
      <c r="D4148" t="s">
        <v>6449</v>
      </c>
      <c r="E4148" t="s">
        <v>507</v>
      </c>
    </row>
    <row r="4149" spans="2:5" x14ac:dyDescent="0.3">
      <c r="B4149" t="s">
        <v>6450</v>
      </c>
      <c r="C4149">
        <v>530677</v>
      </c>
      <c r="D4149" t="s">
        <v>496</v>
      </c>
      <c r="E4149" t="s">
        <v>582</v>
      </c>
    </row>
    <row r="4150" spans="2:5" x14ac:dyDescent="0.3">
      <c r="B4150" t="s">
        <v>6451</v>
      </c>
      <c r="C4150">
        <v>530677</v>
      </c>
      <c r="D4150" t="s">
        <v>496</v>
      </c>
      <c r="E4150" t="s">
        <v>582</v>
      </c>
    </row>
    <row r="4151" spans="2:5" x14ac:dyDescent="0.3">
      <c r="B4151" t="s">
        <v>6452</v>
      </c>
      <c r="C4151" t="s">
        <v>496</v>
      </c>
      <c r="D4151" t="s">
        <v>6453</v>
      </c>
      <c r="E4151" t="s">
        <v>507</v>
      </c>
    </row>
    <row r="4152" spans="2:5" x14ac:dyDescent="0.3">
      <c r="B4152" t="s">
        <v>6454</v>
      </c>
      <c r="C4152">
        <v>509930</v>
      </c>
      <c r="D4152" t="s">
        <v>6455</v>
      </c>
      <c r="E4152" t="s">
        <v>616</v>
      </c>
    </row>
    <row r="4153" spans="2:5" x14ac:dyDescent="0.3">
      <c r="B4153" t="s">
        <v>6456</v>
      </c>
      <c r="C4153">
        <v>532904</v>
      </c>
      <c r="D4153" t="s">
        <v>6457</v>
      </c>
      <c r="E4153" t="s">
        <v>894</v>
      </c>
    </row>
    <row r="4154" spans="2:5" x14ac:dyDescent="0.3">
      <c r="B4154" t="s">
        <v>6458</v>
      </c>
      <c r="C4154">
        <v>532904</v>
      </c>
      <c r="D4154" t="s">
        <v>6457</v>
      </c>
      <c r="E4154" t="s">
        <v>894</v>
      </c>
    </row>
    <row r="4155" spans="2:5" x14ac:dyDescent="0.3">
      <c r="B4155" t="s">
        <v>6459</v>
      </c>
      <c r="C4155">
        <v>500405</v>
      </c>
      <c r="D4155" t="s">
        <v>6460</v>
      </c>
      <c r="E4155" t="s">
        <v>710</v>
      </c>
    </row>
    <row r="4156" spans="2:5" x14ac:dyDescent="0.3">
      <c r="B4156" t="s">
        <v>6461</v>
      </c>
      <c r="C4156">
        <v>534733</v>
      </c>
      <c r="D4156" t="s">
        <v>496</v>
      </c>
      <c r="E4156" t="s">
        <v>528</v>
      </c>
    </row>
    <row r="4157" spans="2:5" x14ac:dyDescent="0.3">
      <c r="B4157" t="s">
        <v>6462</v>
      </c>
      <c r="C4157">
        <v>531638</v>
      </c>
      <c r="D4157" t="s">
        <v>496</v>
      </c>
      <c r="E4157" t="s">
        <v>819</v>
      </c>
    </row>
    <row r="4158" spans="2:5" x14ac:dyDescent="0.3">
      <c r="B4158" t="s">
        <v>6463</v>
      </c>
      <c r="C4158">
        <v>518075</v>
      </c>
      <c r="D4158" t="s">
        <v>496</v>
      </c>
      <c r="E4158" t="s">
        <v>528</v>
      </c>
    </row>
    <row r="4159" spans="2:5" x14ac:dyDescent="0.3">
      <c r="B4159" t="s">
        <v>6464</v>
      </c>
      <c r="C4159">
        <v>533298</v>
      </c>
      <c r="D4159" t="s">
        <v>6465</v>
      </c>
      <c r="E4159" t="s">
        <v>1038</v>
      </c>
    </row>
    <row r="4160" spans="2:5" x14ac:dyDescent="0.3">
      <c r="B4160" t="s">
        <v>6466</v>
      </c>
      <c r="C4160">
        <v>517530</v>
      </c>
      <c r="D4160" t="s">
        <v>6467</v>
      </c>
      <c r="E4160" t="s">
        <v>766</v>
      </c>
    </row>
    <row r="4161" spans="2:5" x14ac:dyDescent="0.3">
      <c r="B4161" t="s">
        <v>6468</v>
      </c>
      <c r="C4161">
        <v>530185</v>
      </c>
      <c r="D4161" t="s">
        <v>496</v>
      </c>
      <c r="E4161" t="s">
        <v>511</v>
      </c>
    </row>
    <row r="4162" spans="2:5" x14ac:dyDescent="0.3">
      <c r="B4162" t="s">
        <v>6469</v>
      </c>
      <c r="C4162" t="s">
        <v>496</v>
      </c>
      <c r="D4162" t="s">
        <v>6470</v>
      </c>
      <c r="E4162" t="s">
        <v>507</v>
      </c>
    </row>
    <row r="4163" spans="2:5" x14ac:dyDescent="0.3">
      <c r="B4163" t="s">
        <v>6471</v>
      </c>
      <c r="C4163">
        <v>539253</v>
      </c>
      <c r="D4163" t="s">
        <v>496</v>
      </c>
      <c r="E4163" t="s">
        <v>513</v>
      </c>
    </row>
    <row r="4164" spans="2:5" x14ac:dyDescent="0.3">
      <c r="B4164" t="s">
        <v>6472</v>
      </c>
      <c r="C4164">
        <v>539253</v>
      </c>
      <c r="D4164" t="s">
        <v>496</v>
      </c>
      <c r="E4164" t="s">
        <v>513</v>
      </c>
    </row>
    <row r="4165" spans="2:5" x14ac:dyDescent="0.3">
      <c r="B4165" t="s">
        <v>6473</v>
      </c>
      <c r="C4165">
        <v>500336</v>
      </c>
      <c r="D4165" t="s">
        <v>6474</v>
      </c>
      <c r="E4165" t="s">
        <v>485</v>
      </c>
    </row>
    <row r="4166" spans="2:5" x14ac:dyDescent="0.3">
      <c r="B4166" t="s">
        <v>6475</v>
      </c>
      <c r="C4166">
        <v>533101</v>
      </c>
      <c r="D4166" t="s">
        <v>496</v>
      </c>
      <c r="E4166" t="s">
        <v>511</v>
      </c>
    </row>
    <row r="4167" spans="2:5" x14ac:dyDescent="0.3">
      <c r="B4167" t="s">
        <v>6476</v>
      </c>
      <c r="C4167">
        <v>532874</v>
      </c>
      <c r="D4167" t="s">
        <v>496</v>
      </c>
      <c r="E4167" t="s">
        <v>635</v>
      </c>
    </row>
    <row r="4168" spans="2:5" x14ac:dyDescent="0.3">
      <c r="B4168" t="s">
        <v>6477</v>
      </c>
      <c r="C4168">
        <v>511185</v>
      </c>
      <c r="D4168" t="s">
        <v>496</v>
      </c>
      <c r="E4168" t="s">
        <v>817</v>
      </c>
    </row>
    <row r="4169" spans="2:5" x14ac:dyDescent="0.3">
      <c r="B4169" t="s">
        <v>6478</v>
      </c>
      <c r="C4169">
        <v>521200</v>
      </c>
      <c r="D4169" t="s">
        <v>6479</v>
      </c>
      <c r="E4169" t="s">
        <v>511</v>
      </c>
    </row>
    <row r="4170" spans="2:5" x14ac:dyDescent="0.3">
      <c r="B4170" t="s">
        <v>6480</v>
      </c>
      <c r="C4170">
        <v>514138</v>
      </c>
      <c r="D4170" t="s">
        <v>496</v>
      </c>
      <c r="E4170" t="s">
        <v>511</v>
      </c>
    </row>
    <row r="4171" spans="2:5" x14ac:dyDescent="0.3">
      <c r="B4171" t="s">
        <v>6481</v>
      </c>
      <c r="C4171">
        <v>514140</v>
      </c>
      <c r="D4171" t="s">
        <v>496</v>
      </c>
      <c r="E4171" t="s">
        <v>511</v>
      </c>
    </row>
    <row r="4172" spans="2:5" x14ac:dyDescent="0.3">
      <c r="B4172" t="s">
        <v>6482</v>
      </c>
      <c r="C4172">
        <v>519604</v>
      </c>
      <c r="D4172" t="s">
        <v>6483</v>
      </c>
      <c r="E4172" t="s">
        <v>556</v>
      </c>
    </row>
    <row r="4173" spans="2:5" x14ac:dyDescent="0.3">
      <c r="B4173" t="s">
        <v>6484</v>
      </c>
      <c r="C4173">
        <v>532782</v>
      </c>
      <c r="D4173" t="s">
        <v>6485</v>
      </c>
      <c r="E4173" t="s">
        <v>511</v>
      </c>
    </row>
    <row r="4174" spans="2:5" x14ac:dyDescent="0.3">
      <c r="B4174" t="s">
        <v>6486</v>
      </c>
      <c r="C4174" t="s">
        <v>496</v>
      </c>
      <c r="D4174" t="s">
        <v>6487</v>
      </c>
      <c r="E4174" t="s">
        <v>507</v>
      </c>
    </row>
    <row r="4175" spans="2:5" x14ac:dyDescent="0.3">
      <c r="B4175" t="s">
        <v>6488</v>
      </c>
      <c r="C4175">
        <v>530239</v>
      </c>
      <c r="D4175" t="s">
        <v>6489</v>
      </c>
      <c r="E4175" t="s">
        <v>534</v>
      </c>
    </row>
    <row r="4176" spans="2:5" x14ac:dyDescent="0.3">
      <c r="B4176" t="s">
        <v>6490</v>
      </c>
      <c r="C4176">
        <v>531640</v>
      </c>
      <c r="D4176" t="s">
        <v>496</v>
      </c>
      <c r="E4176" t="s">
        <v>582</v>
      </c>
    </row>
    <row r="4177" spans="2:5" x14ac:dyDescent="0.3">
      <c r="B4177" t="s">
        <v>6491</v>
      </c>
      <c r="C4177">
        <v>537259</v>
      </c>
      <c r="D4177" t="s">
        <v>496</v>
      </c>
      <c r="E4177" t="s">
        <v>1443</v>
      </c>
    </row>
    <row r="4178" spans="2:5" x14ac:dyDescent="0.3">
      <c r="B4178" t="s">
        <v>6492</v>
      </c>
      <c r="C4178">
        <v>532667</v>
      </c>
      <c r="D4178" t="s">
        <v>6493</v>
      </c>
      <c r="E4178" t="s">
        <v>539</v>
      </c>
    </row>
    <row r="4179" spans="2:5" x14ac:dyDescent="0.3">
      <c r="B4179" t="s">
        <v>6494</v>
      </c>
      <c r="C4179">
        <v>531885</v>
      </c>
      <c r="D4179" t="s">
        <v>496</v>
      </c>
      <c r="E4179" t="s">
        <v>518</v>
      </c>
    </row>
    <row r="4180" spans="2:5" x14ac:dyDescent="0.3">
      <c r="B4180" t="s">
        <v>6495</v>
      </c>
      <c r="C4180">
        <v>531885</v>
      </c>
      <c r="D4180" t="s">
        <v>496</v>
      </c>
      <c r="E4180" t="s">
        <v>518</v>
      </c>
    </row>
    <row r="4181" spans="2:5" x14ac:dyDescent="0.3">
      <c r="B4181" t="s">
        <v>6496</v>
      </c>
      <c r="C4181">
        <v>523722</v>
      </c>
      <c r="D4181" t="s">
        <v>496</v>
      </c>
      <c r="E4181" t="s">
        <v>589</v>
      </c>
    </row>
    <row r="4182" spans="2:5" x14ac:dyDescent="0.3">
      <c r="B4182" t="s">
        <v>6497</v>
      </c>
      <c r="C4182">
        <v>503624</v>
      </c>
      <c r="D4182" t="s">
        <v>496</v>
      </c>
      <c r="E4182" t="s">
        <v>479</v>
      </c>
    </row>
    <row r="4183" spans="2:5" x14ac:dyDescent="0.3">
      <c r="B4183" t="s">
        <v>6498</v>
      </c>
      <c r="C4183">
        <v>539911</v>
      </c>
      <c r="D4183" t="s">
        <v>496</v>
      </c>
      <c r="E4183" t="s">
        <v>518</v>
      </c>
    </row>
    <row r="4184" spans="2:5" x14ac:dyDescent="0.3">
      <c r="B4184" t="s">
        <v>6499</v>
      </c>
      <c r="C4184">
        <v>524488</v>
      </c>
      <c r="D4184" t="s">
        <v>6500</v>
      </c>
      <c r="E4184" t="s">
        <v>544</v>
      </c>
    </row>
    <row r="4185" spans="2:5" x14ac:dyDescent="0.3">
      <c r="B4185" t="s">
        <v>6501</v>
      </c>
      <c r="C4185">
        <v>512449</v>
      </c>
      <c r="D4185" t="s">
        <v>496</v>
      </c>
      <c r="E4185" t="s">
        <v>476</v>
      </c>
    </row>
    <row r="4186" spans="2:5" x14ac:dyDescent="0.3">
      <c r="B4186" t="s">
        <v>6502</v>
      </c>
      <c r="C4186">
        <v>505590</v>
      </c>
      <c r="D4186" t="s">
        <v>496</v>
      </c>
      <c r="E4186" t="s">
        <v>511</v>
      </c>
    </row>
    <row r="4187" spans="2:5" x14ac:dyDescent="0.3">
      <c r="B4187" t="s">
        <v>6503</v>
      </c>
      <c r="C4187">
        <v>539041</v>
      </c>
      <c r="D4187" t="s">
        <v>496</v>
      </c>
      <c r="E4187" t="s">
        <v>518</v>
      </c>
    </row>
    <row r="4188" spans="2:5" x14ac:dyDescent="0.3">
      <c r="B4188" t="s">
        <v>6504</v>
      </c>
      <c r="C4188">
        <v>503659</v>
      </c>
      <c r="D4188" t="s">
        <v>496</v>
      </c>
      <c r="E4188" t="s">
        <v>917</v>
      </c>
    </row>
    <row r="4189" spans="2:5" x14ac:dyDescent="0.3">
      <c r="B4189" t="s">
        <v>6505</v>
      </c>
      <c r="C4189">
        <v>506863</v>
      </c>
      <c r="D4189" t="s">
        <v>496</v>
      </c>
      <c r="E4189" t="s">
        <v>691</v>
      </c>
    </row>
    <row r="4190" spans="2:5" x14ac:dyDescent="0.3">
      <c r="B4190" t="s">
        <v>6506</v>
      </c>
      <c r="C4190">
        <v>503816</v>
      </c>
      <c r="D4190" t="s">
        <v>496</v>
      </c>
      <c r="E4190" t="s">
        <v>511</v>
      </c>
    </row>
    <row r="4191" spans="2:5" x14ac:dyDescent="0.3">
      <c r="B4191" t="s">
        <v>6507</v>
      </c>
      <c r="C4191">
        <v>531909</v>
      </c>
      <c r="D4191" t="s">
        <v>496</v>
      </c>
      <c r="E4191" t="s">
        <v>582</v>
      </c>
    </row>
    <row r="4192" spans="2:5" x14ac:dyDescent="0.3">
      <c r="B4192" t="s">
        <v>6508</v>
      </c>
      <c r="C4192">
        <v>539406</v>
      </c>
      <c r="D4192" t="s">
        <v>496</v>
      </c>
      <c r="E4192" t="s">
        <v>518</v>
      </c>
    </row>
    <row r="4193" spans="2:5" x14ac:dyDescent="0.3">
      <c r="B4193" t="s">
        <v>6509</v>
      </c>
      <c r="C4193">
        <v>503310</v>
      </c>
      <c r="D4193" t="s">
        <v>6510</v>
      </c>
      <c r="E4193" t="s">
        <v>511</v>
      </c>
    </row>
    <row r="4194" spans="2:5" x14ac:dyDescent="0.3">
      <c r="B4194" t="s">
        <v>6511</v>
      </c>
      <c r="C4194">
        <v>539353</v>
      </c>
      <c r="D4194" t="s">
        <v>496</v>
      </c>
      <c r="E4194" t="s">
        <v>851</v>
      </c>
    </row>
    <row r="4195" spans="2:5" x14ac:dyDescent="0.3">
      <c r="B4195" t="s">
        <v>6512</v>
      </c>
      <c r="C4195">
        <v>500407</v>
      </c>
      <c r="D4195" t="s">
        <v>6513</v>
      </c>
      <c r="E4195" t="s">
        <v>851</v>
      </c>
    </row>
    <row r="4196" spans="2:5" x14ac:dyDescent="0.3">
      <c r="B4196" t="s">
        <v>6514</v>
      </c>
      <c r="C4196">
        <v>531003</v>
      </c>
      <c r="D4196" t="s">
        <v>496</v>
      </c>
      <c r="E4196" t="s">
        <v>513</v>
      </c>
    </row>
    <row r="4197" spans="2:5" x14ac:dyDescent="0.3">
      <c r="B4197" t="s">
        <v>6515</v>
      </c>
      <c r="C4197">
        <v>526365</v>
      </c>
      <c r="D4197" t="s">
        <v>496</v>
      </c>
      <c r="E4197" t="s">
        <v>610</v>
      </c>
    </row>
    <row r="4198" spans="2:5" x14ac:dyDescent="0.3">
      <c r="B4198" t="s">
        <v>6516</v>
      </c>
      <c r="C4198">
        <v>512257</v>
      </c>
      <c r="D4198" t="s">
        <v>496</v>
      </c>
      <c r="E4198" t="s">
        <v>485</v>
      </c>
    </row>
    <row r="4199" spans="2:5" x14ac:dyDescent="0.3">
      <c r="B4199" t="s">
        <v>6517</v>
      </c>
      <c r="C4199">
        <v>510245</v>
      </c>
      <c r="D4199" t="s">
        <v>496</v>
      </c>
      <c r="E4199" t="s">
        <v>518</v>
      </c>
    </row>
    <row r="4200" spans="2:5" x14ac:dyDescent="0.3">
      <c r="B4200" t="s">
        <v>6518</v>
      </c>
      <c r="C4200">
        <v>501386</v>
      </c>
      <c r="D4200" t="s">
        <v>496</v>
      </c>
      <c r="E4200" t="s">
        <v>479</v>
      </c>
    </row>
    <row r="4201" spans="2:5" x14ac:dyDescent="0.3">
      <c r="B4201" t="s">
        <v>6519</v>
      </c>
      <c r="C4201">
        <v>530585</v>
      </c>
      <c r="D4201" t="s">
        <v>496</v>
      </c>
      <c r="E4201" t="s">
        <v>479</v>
      </c>
    </row>
    <row r="4202" spans="2:5" x14ac:dyDescent="0.3">
      <c r="B4202" t="s">
        <v>6520</v>
      </c>
      <c r="C4202">
        <v>532051</v>
      </c>
      <c r="D4202" t="s">
        <v>6521</v>
      </c>
      <c r="E4202" t="s">
        <v>539</v>
      </c>
    </row>
    <row r="4203" spans="2:5" x14ac:dyDescent="0.3">
      <c r="B4203" t="s">
        <v>6522</v>
      </c>
      <c r="C4203">
        <v>522215</v>
      </c>
      <c r="D4203" t="s">
        <v>496</v>
      </c>
      <c r="E4203" t="s">
        <v>504</v>
      </c>
    </row>
    <row r="4204" spans="2:5" x14ac:dyDescent="0.3">
      <c r="B4204" t="s">
        <v>6523</v>
      </c>
      <c r="C4204">
        <v>517201</v>
      </c>
      <c r="D4204" t="s">
        <v>496</v>
      </c>
      <c r="E4204" t="s">
        <v>1038</v>
      </c>
    </row>
    <row r="4205" spans="2:5" x14ac:dyDescent="0.3">
      <c r="B4205" t="s">
        <v>6524</v>
      </c>
      <c r="C4205">
        <v>531637</v>
      </c>
      <c r="D4205" t="s">
        <v>496</v>
      </c>
      <c r="E4205" t="s">
        <v>534</v>
      </c>
    </row>
    <row r="4206" spans="2:5" x14ac:dyDescent="0.3">
      <c r="B4206" t="s">
        <v>6525</v>
      </c>
      <c r="C4206">
        <v>512359</v>
      </c>
      <c r="D4206" t="s">
        <v>496</v>
      </c>
      <c r="E4206" t="s">
        <v>518</v>
      </c>
    </row>
    <row r="4207" spans="2:5" x14ac:dyDescent="0.3">
      <c r="B4207" t="s">
        <v>6526</v>
      </c>
      <c r="C4207">
        <v>531499</v>
      </c>
      <c r="D4207" t="s">
        <v>496</v>
      </c>
      <c r="E4207" t="s">
        <v>511</v>
      </c>
    </row>
    <row r="4208" spans="2:5" x14ac:dyDescent="0.3">
      <c r="B4208" t="s">
        <v>6527</v>
      </c>
      <c r="C4208">
        <v>539682</v>
      </c>
      <c r="D4208" t="s">
        <v>496</v>
      </c>
      <c r="E4208" t="s">
        <v>601</v>
      </c>
    </row>
    <row r="4209" spans="2:5" x14ac:dyDescent="0.3">
      <c r="B4209" t="s">
        <v>6528</v>
      </c>
      <c r="C4209">
        <v>511447</v>
      </c>
      <c r="D4209" t="s">
        <v>496</v>
      </c>
      <c r="E4209" t="s">
        <v>502</v>
      </c>
    </row>
    <row r="4210" spans="2:5" x14ac:dyDescent="0.3">
      <c r="B4210" t="s">
        <v>6529</v>
      </c>
      <c r="C4210">
        <v>539278</v>
      </c>
      <c r="D4210" t="s">
        <v>496</v>
      </c>
      <c r="E4210" t="s">
        <v>479</v>
      </c>
    </row>
    <row r="4211" spans="2:5" x14ac:dyDescent="0.3">
      <c r="B4211" t="s">
        <v>6530</v>
      </c>
      <c r="C4211">
        <v>517385</v>
      </c>
      <c r="D4211" t="s">
        <v>6531</v>
      </c>
      <c r="E4211" t="s">
        <v>865</v>
      </c>
    </row>
    <row r="4212" spans="2:5" x14ac:dyDescent="0.3">
      <c r="B4212" t="s">
        <v>6532</v>
      </c>
      <c r="C4212">
        <v>524470</v>
      </c>
      <c r="D4212" t="s">
        <v>496</v>
      </c>
      <c r="E4212" t="s">
        <v>534</v>
      </c>
    </row>
    <row r="4213" spans="2:5" x14ac:dyDescent="0.3">
      <c r="B4213" t="s">
        <v>6533</v>
      </c>
      <c r="C4213">
        <v>524470</v>
      </c>
      <c r="D4213" t="s">
        <v>496</v>
      </c>
      <c r="E4213" t="s">
        <v>534</v>
      </c>
    </row>
    <row r="4214" spans="2:5" x14ac:dyDescent="0.3">
      <c r="B4214" t="s">
        <v>6534</v>
      </c>
      <c r="C4214">
        <v>533157</v>
      </c>
      <c r="D4214" t="s">
        <v>6535</v>
      </c>
      <c r="E4214" t="s">
        <v>534</v>
      </c>
    </row>
    <row r="4215" spans="2:5" x14ac:dyDescent="0.3">
      <c r="B4215" t="s">
        <v>6536</v>
      </c>
      <c r="C4215">
        <v>532276</v>
      </c>
      <c r="D4215" t="s">
        <v>6537</v>
      </c>
      <c r="E4215" t="s">
        <v>814</v>
      </c>
    </row>
    <row r="4216" spans="2:5" x14ac:dyDescent="0.3">
      <c r="B4216" t="s">
        <v>6538</v>
      </c>
      <c r="C4216">
        <v>541929</v>
      </c>
      <c r="D4216" t="s">
        <v>496</v>
      </c>
      <c r="E4216" t="s">
        <v>1416</v>
      </c>
    </row>
    <row r="4217" spans="2:5" x14ac:dyDescent="0.3">
      <c r="B4217" t="s">
        <v>6539</v>
      </c>
      <c r="C4217">
        <v>539268</v>
      </c>
      <c r="D4217" t="s">
        <v>6540</v>
      </c>
      <c r="E4217" t="s">
        <v>534</v>
      </c>
    </row>
    <row r="4218" spans="2:5" x14ac:dyDescent="0.3">
      <c r="B4218" t="s">
        <v>6541</v>
      </c>
      <c r="C4218">
        <v>513307</v>
      </c>
      <c r="D4218" t="s">
        <v>496</v>
      </c>
      <c r="E4218" t="s">
        <v>801</v>
      </c>
    </row>
    <row r="4219" spans="2:5" x14ac:dyDescent="0.3">
      <c r="B4219" t="s">
        <v>6542</v>
      </c>
      <c r="C4219">
        <v>531173</v>
      </c>
      <c r="D4219" t="s">
        <v>496</v>
      </c>
      <c r="E4219" t="s">
        <v>534</v>
      </c>
    </row>
    <row r="4220" spans="2:5" x14ac:dyDescent="0.3">
      <c r="B4220" t="s">
        <v>6543</v>
      </c>
      <c r="C4220">
        <v>531173</v>
      </c>
      <c r="D4220" t="s">
        <v>496</v>
      </c>
      <c r="E4220" t="s">
        <v>534</v>
      </c>
    </row>
    <row r="4221" spans="2:5" x14ac:dyDescent="0.3">
      <c r="B4221" t="s">
        <v>6544</v>
      </c>
      <c r="C4221">
        <v>539842</v>
      </c>
      <c r="D4221" t="s">
        <v>496</v>
      </c>
      <c r="E4221" t="s">
        <v>691</v>
      </c>
    </row>
    <row r="4222" spans="2:5" x14ac:dyDescent="0.3">
      <c r="B4222" t="s">
        <v>6545</v>
      </c>
      <c r="C4222">
        <v>526506</v>
      </c>
      <c r="D4222" t="s">
        <v>496</v>
      </c>
      <c r="E4222" t="s">
        <v>479</v>
      </c>
    </row>
    <row r="4223" spans="2:5" x14ac:dyDescent="0.3">
      <c r="B4223" t="s">
        <v>6546</v>
      </c>
      <c r="C4223">
        <v>531432</v>
      </c>
      <c r="D4223" t="s">
        <v>496</v>
      </c>
      <c r="E4223" t="s">
        <v>513</v>
      </c>
    </row>
    <row r="4224" spans="2:5" x14ac:dyDescent="0.3">
      <c r="B4224" t="s">
        <v>6547</v>
      </c>
      <c r="C4224">
        <v>522294</v>
      </c>
      <c r="D4224" t="s">
        <v>496</v>
      </c>
      <c r="E4224" t="s">
        <v>504</v>
      </c>
    </row>
    <row r="4225" spans="2:5" x14ac:dyDescent="0.3">
      <c r="B4225" t="s">
        <v>6548</v>
      </c>
      <c r="C4225">
        <v>533553</v>
      </c>
      <c r="D4225" t="s">
        <v>496</v>
      </c>
      <c r="E4225" t="s">
        <v>539</v>
      </c>
    </row>
    <row r="4226" spans="2:5" x14ac:dyDescent="0.3">
      <c r="B4226" t="s">
        <v>6549</v>
      </c>
      <c r="C4226">
        <v>532444</v>
      </c>
      <c r="D4226" t="s">
        <v>496</v>
      </c>
      <c r="E4226" t="s">
        <v>589</v>
      </c>
    </row>
    <row r="4227" spans="2:5" x14ac:dyDescent="0.3">
      <c r="B4227" t="s">
        <v>6550</v>
      </c>
      <c r="C4227">
        <v>514142</v>
      </c>
      <c r="D4227" t="s">
        <v>6551</v>
      </c>
      <c r="E4227" t="s">
        <v>511</v>
      </c>
    </row>
    <row r="4228" spans="2:5" x14ac:dyDescent="0.3">
      <c r="B4228" t="s">
        <v>6552</v>
      </c>
      <c r="C4228">
        <v>539956</v>
      </c>
      <c r="D4228" t="s">
        <v>496</v>
      </c>
      <c r="E4228" t="s">
        <v>2634</v>
      </c>
    </row>
    <row r="4229" spans="2:5" x14ac:dyDescent="0.3">
      <c r="B4229" t="s">
        <v>6553</v>
      </c>
      <c r="C4229">
        <v>537392</v>
      </c>
      <c r="D4229" t="s">
        <v>496</v>
      </c>
      <c r="E4229" t="s">
        <v>665</v>
      </c>
    </row>
    <row r="4230" spans="2:5" x14ac:dyDescent="0.3">
      <c r="B4230" t="s">
        <v>6554</v>
      </c>
      <c r="C4230">
        <v>519483</v>
      </c>
      <c r="D4230" t="s">
        <v>496</v>
      </c>
      <c r="E4230" t="s">
        <v>518</v>
      </c>
    </row>
    <row r="4231" spans="2:5" x14ac:dyDescent="0.3">
      <c r="B4231" t="s">
        <v>6555</v>
      </c>
      <c r="C4231">
        <v>507785</v>
      </c>
      <c r="D4231" t="s">
        <v>6556</v>
      </c>
      <c r="E4231" t="s">
        <v>616</v>
      </c>
    </row>
    <row r="4232" spans="2:5" x14ac:dyDescent="0.3">
      <c r="B4232" t="s">
        <v>6557</v>
      </c>
      <c r="C4232">
        <v>532390</v>
      </c>
      <c r="D4232" t="s">
        <v>6558</v>
      </c>
      <c r="E4232" t="s">
        <v>697</v>
      </c>
    </row>
    <row r="4233" spans="2:5" x14ac:dyDescent="0.3">
      <c r="B4233" t="s">
        <v>6559</v>
      </c>
      <c r="C4233">
        <v>532890</v>
      </c>
      <c r="D4233" t="s">
        <v>6560</v>
      </c>
      <c r="E4233" t="s">
        <v>482</v>
      </c>
    </row>
    <row r="4234" spans="2:5" x14ac:dyDescent="0.3">
      <c r="B4234" t="s">
        <v>6561</v>
      </c>
      <c r="C4234">
        <v>505160</v>
      </c>
      <c r="D4234" t="s">
        <v>6562</v>
      </c>
      <c r="E4234" t="s">
        <v>851</v>
      </c>
    </row>
    <row r="4235" spans="2:5" x14ac:dyDescent="0.3">
      <c r="B4235" t="s">
        <v>6563</v>
      </c>
      <c r="C4235">
        <v>538987</v>
      </c>
      <c r="D4235" t="s">
        <v>496</v>
      </c>
      <c r="E4235" t="s">
        <v>851</v>
      </c>
    </row>
    <row r="4236" spans="2:5" x14ac:dyDescent="0.3">
      <c r="B4236" t="s">
        <v>6564</v>
      </c>
      <c r="C4236">
        <v>533200</v>
      </c>
      <c r="D4236" t="s">
        <v>6565</v>
      </c>
      <c r="E4236" t="s">
        <v>674</v>
      </c>
    </row>
    <row r="4237" spans="2:5" x14ac:dyDescent="0.3">
      <c r="B4237" t="s">
        <v>6566</v>
      </c>
      <c r="C4237">
        <v>541545</v>
      </c>
      <c r="D4237" t="s">
        <v>6567</v>
      </c>
      <c r="E4237" t="s">
        <v>674</v>
      </c>
    </row>
    <row r="4238" spans="2:5" x14ac:dyDescent="0.3">
      <c r="B4238" t="s">
        <v>6568</v>
      </c>
      <c r="C4238">
        <v>533170</v>
      </c>
      <c r="D4238" t="s">
        <v>496</v>
      </c>
      <c r="E4238" t="s">
        <v>516</v>
      </c>
    </row>
    <row r="4239" spans="2:5" x14ac:dyDescent="0.3">
      <c r="B4239" t="s">
        <v>6569</v>
      </c>
      <c r="C4239">
        <v>531426</v>
      </c>
      <c r="D4239" t="s">
        <v>6570</v>
      </c>
      <c r="E4239" t="s">
        <v>490</v>
      </c>
    </row>
    <row r="4240" spans="2:5" x14ac:dyDescent="0.3">
      <c r="B4240" t="s">
        <v>6571</v>
      </c>
      <c r="C4240">
        <v>521038</v>
      </c>
      <c r="D4240" t="s">
        <v>496</v>
      </c>
      <c r="E4240" t="s">
        <v>511</v>
      </c>
    </row>
    <row r="4241" spans="2:5" x14ac:dyDescent="0.3">
      <c r="B4241" t="s">
        <v>6572</v>
      </c>
      <c r="C4241">
        <v>500777</v>
      </c>
      <c r="D4241" t="s">
        <v>6573</v>
      </c>
      <c r="E4241" t="s">
        <v>544</v>
      </c>
    </row>
    <row r="4242" spans="2:5" x14ac:dyDescent="0.3">
      <c r="B4242" t="s">
        <v>6574</v>
      </c>
      <c r="C4242">
        <v>513540</v>
      </c>
      <c r="D4242" t="s">
        <v>496</v>
      </c>
      <c r="E4242" t="s">
        <v>819</v>
      </c>
    </row>
    <row r="4243" spans="2:5" x14ac:dyDescent="0.3">
      <c r="B4243" t="s">
        <v>6575</v>
      </c>
      <c r="C4243">
        <v>523419</v>
      </c>
      <c r="D4243" t="s">
        <v>6576</v>
      </c>
      <c r="E4243" t="s">
        <v>766</v>
      </c>
    </row>
    <row r="4244" spans="2:5" x14ac:dyDescent="0.3">
      <c r="B4244" t="s">
        <v>6577</v>
      </c>
      <c r="C4244">
        <v>522229</v>
      </c>
      <c r="D4244" t="s">
        <v>496</v>
      </c>
      <c r="E4244" t="s">
        <v>2981</v>
      </c>
    </row>
    <row r="4245" spans="2:5" x14ac:dyDescent="0.3">
      <c r="B4245" t="s">
        <v>6578</v>
      </c>
      <c r="C4245">
        <v>506854</v>
      </c>
      <c r="D4245" t="s">
        <v>496</v>
      </c>
      <c r="E4245" t="s">
        <v>544</v>
      </c>
    </row>
    <row r="4246" spans="2:5" x14ac:dyDescent="0.3">
      <c r="B4246" t="s">
        <v>6579</v>
      </c>
      <c r="C4246">
        <v>532790</v>
      </c>
      <c r="D4246" t="s">
        <v>6580</v>
      </c>
      <c r="E4246" t="s">
        <v>589</v>
      </c>
    </row>
    <row r="4247" spans="2:5" x14ac:dyDescent="0.3">
      <c r="B4247" t="s">
        <v>6581</v>
      </c>
      <c r="C4247">
        <v>532738</v>
      </c>
      <c r="D4247" t="s">
        <v>6582</v>
      </c>
      <c r="E4247" t="s">
        <v>894</v>
      </c>
    </row>
    <row r="4248" spans="2:5" x14ac:dyDescent="0.3">
      <c r="B4248" t="s">
        <v>6583</v>
      </c>
      <c r="C4248">
        <v>540332</v>
      </c>
      <c r="D4248" t="s">
        <v>496</v>
      </c>
      <c r="E4248" t="s">
        <v>518</v>
      </c>
    </row>
    <row r="4249" spans="2:5" x14ac:dyDescent="0.3">
      <c r="B4249" t="s">
        <v>6584</v>
      </c>
      <c r="C4249">
        <v>540332</v>
      </c>
      <c r="D4249" t="s">
        <v>496</v>
      </c>
      <c r="E4249" t="s">
        <v>518</v>
      </c>
    </row>
    <row r="4250" spans="2:5" x14ac:dyDescent="0.3">
      <c r="B4250" t="s">
        <v>6585</v>
      </c>
      <c r="C4250">
        <v>505685</v>
      </c>
      <c r="D4250" t="s">
        <v>496</v>
      </c>
      <c r="E4250" t="s">
        <v>819</v>
      </c>
    </row>
    <row r="4251" spans="2:5" x14ac:dyDescent="0.3">
      <c r="B4251" t="s">
        <v>6586</v>
      </c>
      <c r="C4251" t="s">
        <v>496</v>
      </c>
      <c r="D4251" t="s">
        <v>6587</v>
      </c>
      <c r="E4251" t="s">
        <v>507</v>
      </c>
    </row>
    <row r="4252" spans="2:5" x14ac:dyDescent="0.3">
      <c r="B4252" t="s">
        <v>6588</v>
      </c>
      <c r="C4252">
        <v>534756</v>
      </c>
      <c r="D4252" t="s">
        <v>6589</v>
      </c>
      <c r="E4252" t="s">
        <v>610</v>
      </c>
    </row>
    <row r="4253" spans="2:5" x14ac:dyDescent="0.3">
      <c r="B4253" t="s">
        <v>6590</v>
      </c>
      <c r="C4253">
        <v>519285</v>
      </c>
      <c r="D4253" t="s">
        <v>496</v>
      </c>
      <c r="E4253" t="s">
        <v>694</v>
      </c>
    </row>
    <row r="4254" spans="2:5" x14ac:dyDescent="0.3">
      <c r="B4254" t="s">
        <v>6591</v>
      </c>
      <c r="C4254">
        <v>533203</v>
      </c>
      <c r="D4254" t="s">
        <v>6592</v>
      </c>
      <c r="E4254" t="s">
        <v>539</v>
      </c>
    </row>
    <row r="4255" spans="2:5" x14ac:dyDescent="0.3">
      <c r="B4255" t="s">
        <v>6593</v>
      </c>
      <c r="C4255">
        <v>538496</v>
      </c>
      <c r="D4255" t="s">
        <v>496</v>
      </c>
      <c r="E4255" t="s">
        <v>580</v>
      </c>
    </row>
    <row r="4256" spans="2:5" x14ac:dyDescent="0.3">
      <c r="B4256" t="s">
        <v>6594</v>
      </c>
      <c r="C4256">
        <v>532869</v>
      </c>
      <c r="D4256" t="s">
        <v>6595</v>
      </c>
      <c r="E4256" t="s">
        <v>894</v>
      </c>
    </row>
    <row r="4257" spans="2:5" x14ac:dyDescent="0.3">
      <c r="B4257" t="s">
        <v>6596</v>
      </c>
      <c r="C4257">
        <v>512271</v>
      </c>
      <c r="D4257" t="s">
        <v>496</v>
      </c>
      <c r="E4257" t="s">
        <v>917</v>
      </c>
    </row>
    <row r="4258" spans="2:5" x14ac:dyDescent="0.3">
      <c r="B4258" t="s">
        <v>6597</v>
      </c>
      <c r="C4258">
        <v>512271</v>
      </c>
      <c r="D4258" t="s">
        <v>496</v>
      </c>
      <c r="E4258" t="s">
        <v>917</v>
      </c>
    </row>
    <row r="4259" spans="2:5" x14ac:dyDescent="0.3">
      <c r="B4259" t="s">
        <v>6598</v>
      </c>
      <c r="C4259">
        <v>519091</v>
      </c>
      <c r="D4259" t="s">
        <v>6599</v>
      </c>
      <c r="E4259" t="s">
        <v>556</v>
      </c>
    </row>
    <row r="4260" spans="2:5" x14ac:dyDescent="0.3">
      <c r="B4260" t="s">
        <v>6600</v>
      </c>
      <c r="C4260">
        <v>540955</v>
      </c>
      <c r="D4260" t="s">
        <v>496</v>
      </c>
      <c r="E4260" t="s">
        <v>556</v>
      </c>
    </row>
    <row r="4261" spans="2:5" x14ac:dyDescent="0.3">
      <c r="B4261" t="s">
        <v>6601</v>
      </c>
      <c r="C4261">
        <v>500770</v>
      </c>
      <c r="D4261" t="s">
        <v>6602</v>
      </c>
      <c r="E4261" t="s">
        <v>544</v>
      </c>
    </row>
    <row r="4262" spans="2:5" x14ac:dyDescent="0.3">
      <c r="B4262" t="s">
        <v>6603</v>
      </c>
      <c r="C4262">
        <v>532301</v>
      </c>
      <c r="D4262" t="s">
        <v>6604</v>
      </c>
      <c r="E4262" t="s">
        <v>903</v>
      </c>
    </row>
    <row r="4263" spans="2:5" x14ac:dyDescent="0.3">
      <c r="B4263" t="s">
        <v>6605</v>
      </c>
      <c r="C4263">
        <v>500483</v>
      </c>
      <c r="D4263" t="s">
        <v>6606</v>
      </c>
      <c r="E4263" t="s">
        <v>6607</v>
      </c>
    </row>
    <row r="4264" spans="2:5" x14ac:dyDescent="0.3">
      <c r="B4264" t="s">
        <v>6608</v>
      </c>
      <c r="C4264">
        <v>532540</v>
      </c>
      <c r="D4264" t="s">
        <v>449</v>
      </c>
      <c r="E4264" t="s">
        <v>482</v>
      </c>
    </row>
    <row r="4265" spans="2:5" x14ac:dyDescent="0.3">
      <c r="B4265" t="s">
        <v>6609</v>
      </c>
      <c r="C4265">
        <v>500408</v>
      </c>
      <c r="D4265" t="s">
        <v>6610</v>
      </c>
      <c r="E4265" t="s">
        <v>589</v>
      </c>
    </row>
    <row r="4266" spans="2:5" x14ac:dyDescent="0.3">
      <c r="B4266" t="s">
        <v>6611</v>
      </c>
      <c r="C4266">
        <v>500800</v>
      </c>
      <c r="D4266" t="s">
        <v>6612</v>
      </c>
      <c r="E4266" t="s">
        <v>903</v>
      </c>
    </row>
    <row r="4267" spans="2:5" x14ac:dyDescent="0.3">
      <c r="B4267" t="s">
        <v>6613</v>
      </c>
      <c r="C4267">
        <v>501301</v>
      </c>
      <c r="D4267" t="s">
        <v>6614</v>
      </c>
      <c r="E4267" t="s">
        <v>662</v>
      </c>
    </row>
    <row r="4268" spans="2:5" x14ac:dyDescent="0.3">
      <c r="B4268" t="s">
        <v>6615</v>
      </c>
      <c r="C4268">
        <v>513434</v>
      </c>
      <c r="D4268" t="s">
        <v>6616</v>
      </c>
      <c r="E4268" t="s">
        <v>528</v>
      </c>
    </row>
    <row r="4269" spans="2:5" x14ac:dyDescent="0.3">
      <c r="B4269" t="s">
        <v>6617</v>
      </c>
      <c r="C4269">
        <v>500570</v>
      </c>
      <c r="D4269" t="s">
        <v>6618</v>
      </c>
      <c r="E4269" t="s">
        <v>574</v>
      </c>
    </row>
    <row r="4270" spans="2:5" x14ac:dyDescent="0.3">
      <c r="B4270" t="s">
        <v>6617</v>
      </c>
      <c r="C4270">
        <v>570001</v>
      </c>
      <c r="D4270" t="s">
        <v>6619</v>
      </c>
      <c r="E4270" t="s">
        <v>574</v>
      </c>
    </row>
    <row r="4271" spans="2:5" x14ac:dyDescent="0.3">
      <c r="B4271" t="s">
        <v>6620</v>
      </c>
      <c r="C4271">
        <v>500400</v>
      </c>
      <c r="D4271" t="s">
        <v>6621</v>
      </c>
      <c r="E4271" t="s">
        <v>635</v>
      </c>
    </row>
    <row r="4272" spans="2:5" x14ac:dyDescent="0.3">
      <c r="B4272" t="s">
        <v>6622</v>
      </c>
      <c r="C4272">
        <v>513010</v>
      </c>
      <c r="D4272" t="s">
        <v>6623</v>
      </c>
      <c r="E4272" t="s">
        <v>528</v>
      </c>
    </row>
    <row r="4273" spans="2:5" x14ac:dyDescent="0.3">
      <c r="B4273" t="s">
        <v>6624</v>
      </c>
      <c r="C4273" t="s">
        <v>496</v>
      </c>
      <c r="D4273" t="s">
        <v>6625</v>
      </c>
      <c r="E4273" t="s">
        <v>528</v>
      </c>
    </row>
    <row r="4274" spans="2:5" x14ac:dyDescent="0.3">
      <c r="B4274" t="s">
        <v>6626</v>
      </c>
      <c r="C4274">
        <v>500470</v>
      </c>
      <c r="D4274" t="s">
        <v>6627</v>
      </c>
      <c r="E4274" t="s">
        <v>528</v>
      </c>
    </row>
    <row r="4275" spans="2:5" x14ac:dyDescent="0.3">
      <c r="B4275" t="s">
        <v>6628</v>
      </c>
      <c r="C4275">
        <v>532371</v>
      </c>
      <c r="D4275" t="s">
        <v>6629</v>
      </c>
      <c r="E4275" t="s">
        <v>1440</v>
      </c>
    </row>
    <row r="4276" spans="2:5" x14ac:dyDescent="0.3">
      <c r="B4276" t="s">
        <v>6630</v>
      </c>
      <c r="C4276">
        <v>521228</v>
      </c>
      <c r="D4276" t="s">
        <v>496</v>
      </c>
      <c r="E4276" t="s">
        <v>610</v>
      </c>
    </row>
    <row r="4277" spans="2:5" x14ac:dyDescent="0.3">
      <c r="B4277" t="s">
        <v>6631</v>
      </c>
      <c r="C4277">
        <v>531190</v>
      </c>
      <c r="D4277" t="s">
        <v>496</v>
      </c>
      <c r="E4277" t="s">
        <v>511</v>
      </c>
    </row>
    <row r="4278" spans="2:5" x14ac:dyDescent="0.3">
      <c r="B4278" t="s">
        <v>6632</v>
      </c>
      <c r="C4278">
        <v>541228</v>
      </c>
      <c r="D4278" t="s">
        <v>496</v>
      </c>
      <c r="E4278" t="s">
        <v>504</v>
      </c>
    </row>
    <row r="4279" spans="2:5" x14ac:dyDescent="0.3">
      <c r="B4279" t="s">
        <v>6633</v>
      </c>
      <c r="C4279">
        <v>504961</v>
      </c>
      <c r="D4279" t="s">
        <v>496</v>
      </c>
      <c r="E4279" t="s">
        <v>528</v>
      </c>
    </row>
    <row r="4280" spans="2:5" x14ac:dyDescent="0.3">
      <c r="B4280" t="s">
        <v>6634</v>
      </c>
      <c r="C4280">
        <v>532284</v>
      </c>
      <c r="D4280" t="s">
        <v>496</v>
      </c>
      <c r="E4280" t="s">
        <v>479</v>
      </c>
    </row>
    <row r="4281" spans="2:5" x14ac:dyDescent="0.3">
      <c r="B4281" t="s">
        <v>6635</v>
      </c>
      <c r="C4281">
        <v>533393</v>
      </c>
      <c r="D4281" t="s">
        <v>6636</v>
      </c>
      <c r="E4281" t="s">
        <v>582</v>
      </c>
    </row>
    <row r="4282" spans="2:5" x14ac:dyDescent="0.3">
      <c r="B4282" t="s">
        <v>6637</v>
      </c>
      <c r="C4282">
        <v>540212</v>
      </c>
      <c r="D4282" t="s">
        <v>6638</v>
      </c>
      <c r="E4282" t="s">
        <v>817</v>
      </c>
    </row>
    <row r="4283" spans="2:5" x14ac:dyDescent="0.3">
      <c r="B4283" t="s">
        <v>6639</v>
      </c>
      <c r="C4283">
        <v>501242</v>
      </c>
      <c r="D4283" t="s">
        <v>6640</v>
      </c>
      <c r="E4283" t="s">
        <v>513</v>
      </c>
    </row>
    <row r="4284" spans="2:5" x14ac:dyDescent="0.3">
      <c r="B4284" t="s">
        <v>6641</v>
      </c>
      <c r="C4284">
        <v>532262</v>
      </c>
      <c r="D4284" t="s">
        <v>496</v>
      </c>
      <c r="E4284" t="s">
        <v>817</v>
      </c>
    </row>
    <row r="4285" spans="2:5" x14ac:dyDescent="0.3">
      <c r="B4285" t="s">
        <v>6642</v>
      </c>
      <c r="C4285">
        <v>524156</v>
      </c>
      <c r="D4285" t="s">
        <v>496</v>
      </c>
      <c r="E4285" t="s">
        <v>544</v>
      </c>
    </row>
    <row r="4286" spans="2:5" x14ac:dyDescent="0.3">
      <c r="B4286" t="s">
        <v>6643</v>
      </c>
      <c r="C4286">
        <v>541700</v>
      </c>
      <c r="D4286" t="s">
        <v>6644</v>
      </c>
      <c r="E4286" t="s">
        <v>610</v>
      </c>
    </row>
    <row r="4287" spans="2:5" x14ac:dyDescent="0.3">
      <c r="B4287" t="s">
        <v>6645</v>
      </c>
      <c r="C4287">
        <v>523301</v>
      </c>
      <c r="D4287" t="s">
        <v>6646</v>
      </c>
      <c r="E4287" t="s">
        <v>490</v>
      </c>
    </row>
    <row r="4288" spans="2:5" x14ac:dyDescent="0.3">
      <c r="B4288" t="s">
        <v>6647</v>
      </c>
      <c r="C4288" t="s">
        <v>496</v>
      </c>
      <c r="D4288" t="s">
        <v>6648</v>
      </c>
      <c r="E4288" t="s">
        <v>587</v>
      </c>
    </row>
    <row r="4289" spans="2:5" x14ac:dyDescent="0.3">
      <c r="B4289" t="s">
        <v>6649</v>
      </c>
      <c r="C4289">
        <v>512011</v>
      </c>
      <c r="D4289" t="s">
        <v>496</v>
      </c>
      <c r="E4289" t="s">
        <v>518</v>
      </c>
    </row>
    <row r="4290" spans="2:5" x14ac:dyDescent="0.3">
      <c r="B4290" t="s">
        <v>6650</v>
      </c>
      <c r="C4290">
        <v>539658</v>
      </c>
      <c r="D4290" t="s">
        <v>6651</v>
      </c>
      <c r="E4290" t="s">
        <v>3276</v>
      </c>
    </row>
    <row r="4291" spans="2:5" x14ac:dyDescent="0.3">
      <c r="B4291" t="s">
        <v>6652</v>
      </c>
      <c r="C4291">
        <v>532755</v>
      </c>
      <c r="D4291" t="s">
        <v>6653</v>
      </c>
      <c r="E4291" t="s">
        <v>482</v>
      </c>
    </row>
    <row r="4292" spans="2:5" x14ac:dyDescent="0.3">
      <c r="B4292" t="s">
        <v>6654</v>
      </c>
      <c r="C4292">
        <v>526576</v>
      </c>
      <c r="D4292" t="s">
        <v>6655</v>
      </c>
      <c r="E4292" t="s">
        <v>694</v>
      </c>
    </row>
    <row r="4293" spans="2:5" x14ac:dyDescent="0.3">
      <c r="B4293" t="s">
        <v>6656</v>
      </c>
      <c r="C4293">
        <v>542141</v>
      </c>
      <c r="D4293" t="s">
        <v>6657</v>
      </c>
      <c r="E4293" t="s">
        <v>894</v>
      </c>
    </row>
    <row r="4294" spans="2:5" x14ac:dyDescent="0.3">
      <c r="B4294" t="s">
        <v>6658</v>
      </c>
      <c r="C4294">
        <v>532804</v>
      </c>
      <c r="D4294" t="s">
        <v>6659</v>
      </c>
      <c r="E4294" t="s">
        <v>819</v>
      </c>
    </row>
    <row r="4295" spans="2:5" x14ac:dyDescent="0.3">
      <c r="B4295" t="s">
        <v>6660</v>
      </c>
      <c r="C4295">
        <v>532804</v>
      </c>
      <c r="D4295" t="s">
        <v>6659</v>
      </c>
      <c r="E4295" t="s">
        <v>819</v>
      </c>
    </row>
    <row r="4296" spans="2:5" x14ac:dyDescent="0.3">
      <c r="B4296" t="s">
        <v>6661</v>
      </c>
      <c r="C4296">
        <v>533216</v>
      </c>
      <c r="D4296" t="s">
        <v>6662</v>
      </c>
      <c r="E4296" t="s">
        <v>894</v>
      </c>
    </row>
    <row r="4297" spans="2:5" x14ac:dyDescent="0.3">
      <c r="B4297" t="s">
        <v>6663</v>
      </c>
      <c r="C4297">
        <v>509917</v>
      </c>
      <c r="D4297" t="s">
        <v>496</v>
      </c>
      <c r="E4297" t="s">
        <v>1038</v>
      </c>
    </row>
    <row r="4298" spans="2:5" x14ac:dyDescent="0.3">
      <c r="B4298" t="s">
        <v>6664</v>
      </c>
      <c r="C4298">
        <v>501421</v>
      </c>
      <c r="D4298" t="s">
        <v>496</v>
      </c>
      <c r="E4298" t="s">
        <v>589</v>
      </c>
    </row>
    <row r="4299" spans="2:5" x14ac:dyDescent="0.3">
      <c r="B4299" t="s">
        <v>6665</v>
      </c>
      <c r="C4299">
        <v>524204</v>
      </c>
      <c r="D4299" t="s">
        <v>496</v>
      </c>
      <c r="E4299" t="s">
        <v>1004</v>
      </c>
    </row>
    <row r="4300" spans="2:5" x14ac:dyDescent="0.3">
      <c r="B4300" t="s">
        <v>6666</v>
      </c>
      <c r="C4300">
        <v>540595</v>
      </c>
      <c r="D4300" t="s">
        <v>6667</v>
      </c>
      <c r="E4300" t="s">
        <v>1443</v>
      </c>
    </row>
    <row r="4301" spans="2:5" x14ac:dyDescent="0.3">
      <c r="B4301" t="s">
        <v>6668</v>
      </c>
      <c r="C4301">
        <v>539428</v>
      </c>
      <c r="D4301" t="s">
        <v>496</v>
      </c>
      <c r="E4301" t="s">
        <v>966</v>
      </c>
    </row>
    <row r="4302" spans="2:5" x14ac:dyDescent="0.3">
      <c r="B4302" t="s">
        <v>6669</v>
      </c>
      <c r="C4302">
        <v>530595</v>
      </c>
      <c r="D4302" t="s">
        <v>496</v>
      </c>
      <c r="E4302" t="s">
        <v>589</v>
      </c>
    </row>
    <row r="4303" spans="2:5" x14ac:dyDescent="0.3">
      <c r="B4303" t="s">
        <v>6670</v>
      </c>
      <c r="C4303">
        <v>533982</v>
      </c>
      <c r="D4303" t="s">
        <v>6671</v>
      </c>
      <c r="E4303" t="s">
        <v>482</v>
      </c>
    </row>
    <row r="4304" spans="2:5" x14ac:dyDescent="0.3">
      <c r="B4304" t="s">
        <v>6672</v>
      </c>
      <c r="C4304">
        <v>530533</v>
      </c>
      <c r="D4304" t="s">
        <v>496</v>
      </c>
      <c r="E4304" t="s">
        <v>903</v>
      </c>
    </row>
    <row r="4305" spans="2:5" x14ac:dyDescent="0.3">
      <c r="B4305" t="s">
        <v>6673</v>
      </c>
      <c r="C4305">
        <v>506162</v>
      </c>
      <c r="D4305" t="s">
        <v>496</v>
      </c>
      <c r="E4305" t="s">
        <v>479</v>
      </c>
    </row>
    <row r="4306" spans="2:5" x14ac:dyDescent="0.3">
      <c r="B4306" t="s">
        <v>6674</v>
      </c>
      <c r="C4306">
        <v>512157</v>
      </c>
      <c r="D4306" t="s">
        <v>496</v>
      </c>
      <c r="E4306" t="s">
        <v>917</v>
      </c>
    </row>
    <row r="4307" spans="2:5" x14ac:dyDescent="0.3">
      <c r="B4307" t="s">
        <v>6675</v>
      </c>
      <c r="C4307">
        <v>505400</v>
      </c>
      <c r="D4307" t="s">
        <v>6676</v>
      </c>
      <c r="E4307" t="s">
        <v>582</v>
      </c>
    </row>
    <row r="4308" spans="2:5" x14ac:dyDescent="0.3">
      <c r="B4308" t="s">
        <v>6677</v>
      </c>
      <c r="C4308">
        <v>533326</v>
      </c>
      <c r="D4308" t="s">
        <v>6678</v>
      </c>
      <c r="E4308" t="s">
        <v>894</v>
      </c>
    </row>
    <row r="4309" spans="2:5" x14ac:dyDescent="0.3">
      <c r="B4309" t="s">
        <v>6679</v>
      </c>
      <c r="C4309">
        <v>533164</v>
      </c>
      <c r="D4309" t="s">
        <v>6680</v>
      </c>
      <c r="E4309" t="s">
        <v>616</v>
      </c>
    </row>
    <row r="4310" spans="2:5" x14ac:dyDescent="0.3">
      <c r="B4310" t="s">
        <v>6681</v>
      </c>
      <c r="C4310">
        <v>532845</v>
      </c>
      <c r="D4310" t="s">
        <v>6682</v>
      </c>
      <c r="E4310" t="s">
        <v>697</v>
      </c>
    </row>
    <row r="4311" spans="2:5" x14ac:dyDescent="0.3">
      <c r="B4311" t="s">
        <v>6683</v>
      </c>
      <c r="C4311">
        <v>507753</v>
      </c>
      <c r="D4311" t="s">
        <v>496</v>
      </c>
      <c r="E4311" t="s">
        <v>544</v>
      </c>
    </row>
    <row r="4312" spans="2:5" x14ac:dyDescent="0.3">
      <c r="B4312" t="s">
        <v>6684</v>
      </c>
      <c r="C4312">
        <v>509945</v>
      </c>
      <c r="D4312" t="s">
        <v>496</v>
      </c>
      <c r="E4312" t="s">
        <v>479</v>
      </c>
    </row>
    <row r="4313" spans="2:5" x14ac:dyDescent="0.3">
      <c r="B4313" t="s">
        <v>6685</v>
      </c>
      <c r="C4313">
        <v>526654</v>
      </c>
      <c r="D4313" t="s">
        <v>496</v>
      </c>
      <c r="E4313" t="s">
        <v>582</v>
      </c>
    </row>
    <row r="4314" spans="2:5" x14ac:dyDescent="0.3">
      <c r="B4314" t="s">
        <v>6686</v>
      </c>
      <c r="C4314">
        <v>509015</v>
      </c>
      <c r="D4314" t="s">
        <v>496</v>
      </c>
      <c r="E4314" t="s">
        <v>1038</v>
      </c>
    </row>
    <row r="4315" spans="2:5" x14ac:dyDescent="0.3">
      <c r="B4315" t="s">
        <v>6687</v>
      </c>
      <c r="C4315">
        <v>509015</v>
      </c>
      <c r="D4315" t="s">
        <v>496</v>
      </c>
      <c r="E4315" t="s">
        <v>1038</v>
      </c>
    </row>
    <row r="4316" spans="2:5" x14ac:dyDescent="0.3">
      <c r="B4316" t="s">
        <v>6688</v>
      </c>
      <c r="C4316">
        <v>514484</v>
      </c>
      <c r="D4316" t="s">
        <v>496</v>
      </c>
      <c r="E4316" t="s">
        <v>511</v>
      </c>
    </row>
    <row r="4317" spans="2:5" x14ac:dyDescent="0.3">
      <c r="B4317" t="s">
        <v>6689</v>
      </c>
      <c r="C4317">
        <v>533158</v>
      </c>
      <c r="D4317" t="s">
        <v>6690</v>
      </c>
      <c r="E4317" t="s">
        <v>610</v>
      </c>
    </row>
    <row r="4318" spans="2:5" x14ac:dyDescent="0.3">
      <c r="B4318" t="s">
        <v>6691</v>
      </c>
      <c r="C4318">
        <v>590062</v>
      </c>
      <c r="D4318" t="s">
        <v>6692</v>
      </c>
      <c r="E4318" t="s">
        <v>544</v>
      </c>
    </row>
    <row r="4319" spans="2:5" x14ac:dyDescent="0.3">
      <c r="B4319" t="s">
        <v>6693</v>
      </c>
      <c r="C4319">
        <v>542460</v>
      </c>
      <c r="D4319" t="s">
        <v>6694</v>
      </c>
      <c r="E4319" t="s">
        <v>504</v>
      </c>
    </row>
    <row r="4320" spans="2:5" x14ac:dyDescent="0.3">
      <c r="B4320" t="s">
        <v>6695</v>
      </c>
      <c r="C4320">
        <v>531373</v>
      </c>
      <c r="D4320" t="s">
        <v>6696</v>
      </c>
      <c r="E4320" t="s">
        <v>697</v>
      </c>
    </row>
    <row r="4321" spans="2:5" x14ac:dyDescent="0.3">
      <c r="B4321" t="s">
        <v>6697</v>
      </c>
      <c r="C4321">
        <v>500469</v>
      </c>
      <c r="D4321" t="s">
        <v>6698</v>
      </c>
      <c r="E4321" t="s">
        <v>814</v>
      </c>
    </row>
    <row r="4322" spans="2:5" x14ac:dyDescent="0.3">
      <c r="B4322" t="s">
        <v>6699</v>
      </c>
      <c r="C4322">
        <v>500620</v>
      </c>
      <c r="D4322" t="s">
        <v>6700</v>
      </c>
      <c r="E4322" t="s">
        <v>1744</v>
      </c>
    </row>
    <row r="4323" spans="2:5" x14ac:dyDescent="0.3">
      <c r="B4323" t="s">
        <v>6701</v>
      </c>
      <c r="C4323" t="s">
        <v>496</v>
      </c>
      <c r="D4323" t="s">
        <v>6702</v>
      </c>
      <c r="E4323" t="s">
        <v>587</v>
      </c>
    </row>
    <row r="4324" spans="2:5" x14ac:dyDescent="0.3">
      <c r="B4324" t="s">
        <v>6703</v>
      </c>
      <c r="C4324">
        <v>522073</v>
      </c>
      <c r="D4324" t="s">
        <v>6704</v>
      </c>
      <c r="E4324" t="s">
        <v>851</v>
      </c>
    </row>
    <row r="4325" spans="2:5" x14ac:dyDescent="0.3">
      <c r="B4325" t="s">
        <v>6705</v>
      </c>
      <c r="C4325">
        <v>530005</v>
      </c>
      <c r="D4325" t="s">
        <v>6706</v>
      </c>
      <c r="E4325" t="s">
        <v>509</v>
      </c>
    </row>
    <row r="4326" spans="2:5" x14ac:dyDescent="0.3">
      <c r="B4326" t="s">
        <v>6707</v>
      </c>
      <c r="C4326">
        <v>500850</v>
      </c>
      <c r="D4326" t="s">
        <v>6708</v>
      </c>
      <c r="E4326" t="s">
        <v>697</v>
      </c>
    </row>
    <row r="4327" spans="2:5" x14ac:dyDescent="0.3">
      <c r="B4327" t="s">
        <v>6709</v>
      </c>
      <c r="C4327">
        <v>540954</v>
      </c>
      <c r="D4327" t="s">
        <v>496</v>
      </c>
      <c r="E4327" t="s">
        <v>991</v>
      </c>
    </row>
    <row r="4328" spans="2:5" x14ac:dyDescent="0.3">
      <c r="B4328" t="s">
        <v>6710</v>
      </c>
      <c r="C4328">
        <v>530023</v>
      </c>
      <c r="D4328" t="s">
        <v>6711</v>
      </c>
      <c r="E4328" t="s">
        <v>513</v>
      </c>
    </row>
    <row r="4329" spans="2:5" x14ac:dyDescent="0.3">
      <c r="B4329" t="s">
        <v>6712</v>
      </c>
      <c r="C4329">
        <v>530023</v>
      </c>
      <c r="D4329" t="s">
        <v>6711</v>
      </c>
      <c r="E4329" t="s">
        <v>513</v>
      </c>
    </row>
    <row r="4330" spans="2:5" x14ac:dyDescent="0.3">
      <c r="B4330" t="s">
        <v>6713</v>
      </c>
      <c r="C4330">
        <v>532209</v>
      </c>
      <c r="D4330" t="s">
        <v>6714</v>
      </c>
      <c r="E4330" t="s">
        <v>814</v>
      </c>
    </row>
    <row r="4331" spans="2:5" x14ac:dyDescent="0.3">
      <c r="B4331" t="s">
        <v>6715</v>
      </c>
      <c r="C4331">
        <v>532652</v>
      </c>
      <c r="D4331" t="s">
        <v>6716</v>
      </c>
      <c r="E4331" t="s">
        <v>814</v>
      </c>
    </row>
    <row r="4332" spans="2:5" x14ac:dyDescent="0.3">
      <c r="B4332" t="s">
        <v>6717</v>
      </c>
      <c r="C4332">
        <v>540210</v>
      </c>
      <c r="D4332" t="s">
        <v>6718</v>
      </c>
      <c r="E4332" t="s">
        <v>497</v>
      </c>
    </row>
    <row r="4333" spans="2:5" x14ac:dyDescent="0.3">
      <c r="B4333" t="s">
        <v>6719</v>
      </c>
      <c r="C4333">
        <v>501343</v>
      </c>
      <c r="D4333" t="s">
        <v>6720</v>
      </c>
      <c r="E4333" t="s">
        <v>513</v>
      </c>
    </row>
    <row r="4334" spans="2:5" x14ac:dyDescent="0.3">
      <c r="B4334" t="s">
        <v>6721</v>
      </c>
      <c r="C4334">
        <v>540769</v>
      </c>
      <c r="D4334" t="s">
        <v>6722</v>
      </c>
      <c r="E4334" t="s">
        <v>2579</v>
      </c>
    </row>
    <row r="4335" spans="2:5" x14ac:dyDescent="0.3">
      <c r="B4335" t="s">
        <v>6723</v>
      </c>
      <c r="C4335">
        <v>590086</v>
      </c>
      <c r="D4335" t="s">
        <v>6724</v>
      </c>
      <c r="E4335" t="s">
        <v>476</v>
      </c>
    </row>
    <row r="4336" spans="2:5" x14ac:dyDescent="0.3">
      <c r="B4336" t="s">
        <v>6725</v>
      </c>
      <c r="C4336" t="s">
        <v>496</v>
      </c>
      <c r="D4336" t="s">
        <v>6726</v>
      </c>
      <c r="E4336" t="s">
        <v>587</v>
      </c>
    </row>
    <row r="4337" spans="2:5" x14ac:dyDescent="0.3">
      <c r="B4337" t="s">
        <v>6727</v>
      </c>
      <c r="C4337">
        <v>503100</v>
      </c>
      <c r="D4337" t="s">
        <v>6728</v>
      </c>
      <c r="E4337" t="s">
        <v>582</v>
      </c>
    </row>
    <row r="4338" spans="2:5" x14ac:dyDescent="0.3">
      <c r="B4338" t="s">
        <v>6729</v>
      </c>
      <c r="C4338">
        <v>542123</v>
      </c>
      <c r="D4338" t="s">
        <v>496</v>
      </c>
      <c r="E4338" t="s">
        <v>1004</v>
      </c>
    </row>
    <row r="4339" spans="2:5" x14ac:dyDescent="0.3">
      <c r="B4339" t="s">
        <v>6730</v>
      </c>
      <c r="C4339">
        <v>500260</v>
      </c>
      <c r="D4339" t="s">
        <v>6731</v>
      </c>
      <c r="E4339" t="s">
        <v>509</v>
      </c>
    </row>
    <row r="4340" spans="2:5" x14ac:dyDescent="0.3">
      <c r="B4340" t="s">
        <v>6732</v>
      </c>
      <c r="C4340">
        <v>503169</v>
      </c>
      <c r="D4340" t="s">
        <v>6733</v>
      </c>
      <c r="E4340" t="s">
        <v>511</v>
      </c>
    </row>
    <row r="4341" spans="2:5" x14ac:dyDescent="0.3">
      <c r="B4341" t="s">
        <v>6734</v>
      </c>
      <c r="C4341">
        <v>526725</v>
      </c>
      <c r="D4341" t="s">
        <v>6735</v>
      </c>
      <c r="E4341" t="s">
        <v>1020</v>
      </c>
    </row>
    <row r="4342" spans="2:5" x14ac:dyDescent="0.3">
      <c r="B4342" t="s">
        <v>6736</v>
      </c>
      <c r="C4342">
        <v>532218</v>
      </c>
      <c r="D4342" t="s">
        <v>6737</v>
      </c>
      <c r="E4342" t="s">
        <v>814</v>
      </c>
    </row>
    <row r="4343" spans="2:5" x14ac:dyDescent="0.3">
      <c r="B4343" t="s">
        <v>6738</v>
      </c>
      <c r="C4343">
        <v>512531</v>
      </c>
      <c r="D4343" t="s">
        <v>6739</v>
      </c>
      <c r="E4343" t="s">
        <v>518</v>
      </c>
    </row>
    <row r="4344" spans="2:5" x14ac:dyDescent="0.3">
      <c r="B4344" t="s">
        <v>6740</v>
      </c>
      <c r="C4344">
        <v>512531</v>
      </c>
      <c r="D4344" t="s">
        <v>6741</v>
      </c>
      <c r="E4344" t="s">
        <v>518</v>
      </c>
    </row>
    <row r="4345" spans="2:5" x14ac:dyDescent="0.3">
      <c r="B4345" t="s">
        <v>6742</v>
      </c>
      <c r="C4345">
        <v>504966</v>
      </c>
      <c r="D4345" t="s">
        <v>6743</v>
      </c>
      <c r="E4345" t="s">
        <v>691</v>
      </c>
    </row>
    <row r="4346" spans="2:5" x14ac:dyDescent="0.3">
      <c r="B4346" t="s">
        <v>6744</v>
      </c>
      <c r="C4346">
        <v>504966</v>
      </c>
      <c r="D4346" t="s">
        <v>6743</v>
      </c>
      <c r="E4346" t="s">
        <v>691</v>
      </c>
    </row>
    <row r="4347" spans="2:5" x14ac:dyDescent="0.3">
      <c r="B4347" t="s">
        <v>6745</v>
      </c>
      <c r="C4347">
        <v>530363</v>
      </c>
      <c r="D4347" t="s">
        <v>6746</v>
      </c>
      <c r="E4347" t="s">
        <v>1195</v>
      </c>
    </row>
    <row r="4348" spans="2:5" x14ac:dyDescent="0.3">
      <c r="B4348" t="s">
        <v>6747</v>
      </c>
      <c r="C4348" t="s">
        <v>496</v>
      </c>
      <c r="D4348" t="s">
        <v>6748</v>
      </c>
      <c r="E4348" t="s">
        <v>587</v>
      </c>
    </row>
    <row r="4349" spans="2:5" x14ac:dyDescent="0.3">
      <c r="B4349" t="s">
        <v>6749</v>
      </c>
      <c r="C4349" t="s">
        <v>496</v>
      </c>
      <c r="D4349" t="s">
        <v>6750</v>
      </c>
      <c r="E4349" t="s">
        <v>587</v>
      </c>
    </row>
    <row r="4350" spans="2:5" x14ac:dyDescent="0.3">
      <c r="B4350" t="s">
        <v>6751</v>
      </c>
      <c r="C4350">
        <v>540980</v>
      </c>
      <c r="D4350" t="s">
        <v>496</v>
      </c>
      <c r="E4350" t="s">
        <v>518</v>
      </c>
    </row>
    <row r="4351" spans="2:5" x14ac:dyDescent="0.3">
      <c r="B4351" t="s">
        <v>6752</v>
      </c>
      <c r="C4351" t="s">
        <v>496</v>
      </c>
      <c r="D4351" t="s">
        <v>6753</v>
      </c>
      <c r="E4351" t="s">
        <v>507</v>
      </c>
    </row>
    <row r="4352" spans="2:5" x14ac:dyDescent="0.3">
      <c r="B4352" t="s">
        <v>6754</v>
      </c>
      <c r="C4352">
        <v>530199</v>
      </c>
      <c r="D4352" t="s">
        <v>6755</v>
      </c>
      <c r="E4352" t="s">
        <v>534</v>
      </c>
    </row>
    <row r="4353" spans="2:5" x14ac:dyDescent="0.3">
      <c r="B4353" t="s">
        <v>6756</v>
      </c>
      <c r="C4353">
        <v>500411</v>
      </c>
      <c r="D4353" t="s">
        <v>6757</v>
      </c>
      <c r="E4353" t="s">
        <v>539</v>
      </c>
    </row>
    <row r="4354" spans="2:5" x14ac:dyDescent="0.3">
      <c r="B4354" t="s">
        <v>6758</v>
      </c>
      <c r="C4354">
        <v>539310</v>
      </c>
      <c r="D4354" t="s">
        <v>496</v>
      </c>
      <c r="E4354" t="s">
        <v>2099</v>
      </c>
    </row>
    <row r="4355" spans="2:5" x14ac:dyDescent="0.3">
      <c r="B4355" t="s">
        <v>6759</v>
      </c>
      <c r="C4355">
        <v>538464</v>
      </c>
      <c r="D4355" t="s">
        <v>496</v>
      </c>
      <c r="E4355" t="s">
        <v>513</v>
      </c>
    </row>
    <row r="4356" spans="2:5" x14ac:dyDescent="0.3">
      <c r="B4356" t="s">
        <v>6760</v>
      </c>
      <c r="C4356">
        <v>531652</v>
      </c>
      <c r="D4356" t="s">
        <v>496</v>
      </c>
      <c r="E4356" t="s">
        <v>513</v>
      </c>
    </row>
    <row r="4357" spans="2:5" x14ac:dyDescent="0.3">
      <c r="B4357" t="s">
        <v>6761</v>
      </c>
      <c r="C4357">
        <v>507450</v>
      </c>
      <c r="D4357" t="s">
        <v>6762</v>
      </c>
      <c r="E4357" t="s">
        <v>1195</v>
      </c>
    </row>
    <row r="4358" spans="2:5" x14ac:dyDescent="0.3">
      <c r="B4358" t="s">
        <v>6763</v>
      </c>
      <c r="C4358">
        <v>500412</v>
      </c>
      <c r="D4358" t="s">
        <v>6764</v>
      </c>
      <c r="E4358" t="s">
        <v>544</v>
      </c>
    </row>
    <row r="4359" spans="2:5" x14ac:dyDescent="0.3">
      <c r="B4359" t="s">
        <v>6765</v>
      </c>
      <c r="C4359">
        <v>500413</v>
      </c>
      <c r="D4359" t="s">
        <v>6766</v>
      </c>
      <c r="E4359" t="s">
        <v>1499</v>
      </c>
    </row>
    <row r="4360" spans="2:5" x14ac:dyDescent="0.3">
      <c r="B4360" t="s">
        <v>6767</v>
      </c>
      <c r="C4360">
        <v>500413</v>
      </c>
      <c r="D4360" t="s">
        <v>6766</v>
      </c>
      <c r="E4360" t="s">
        <v>1499</v>
      </c>
    </row>
    <row r="4361" spans="2:5" x14ac:dyDescent="0.3">
      <c r="B4361" t="s">
        <v>6768</v>
      </c>
      <c r="C4361">
        <v>533941</v>
      </c>
      <c r="D4361" t="s">
        <v>6769</v>
      </c>
      <c r="E4361" t="s">
        <v>610</v>
      </c>
    </row>
    <row r="4362" spans="2:5" x14ac:dyDescent="0.3">
      <c r="B4362" t="s">
        <v>6770</v>
      </c>
      <c r="C4362">
        <v>533941</v>
      </c>
      <c r="D4362" t="s">
        <v>6769</v>
      </c>
      <c r="E4362" t="s">
        <v>610</v>
      </c>
    </row>
    <row r="4363" spans="2:5" x14ac:dyDescent="0.3">
      <c r="B4363" t="s">
        <v>6771</v>
      </c>
      <c r="C4363">
        <v>539871</v>
      </c>
      <c r="D4363" t="s">
        <v>6772</v>
      </c>
      <c r="E4363" t="s">
        <v>685</v>
      </c>
    </row>
    <row r="4364" spans="2:5" x14ac:dyDescent="0.3">
      <c r="B4364" t="s">
        <v>6773</v>
      </c>
      <c r="C4364">
        <v>504973</v>
      </c>
      <c r="D4364" t="s">
        <v>6774</v>
      </c>
      <c r="E4364" t="s">
        <v>851</v>
      </c>
    </row>
    <row r="4365" spans="2:5" x14ac:dyDescent="0.3">
      <c r="B4365" t="s">
        <v>6775</v>
      </c>
      <c r="C4365">
        <v>540108</v>
      </c>
      <c r="D4365" t="s">
        <v>496</v>
      </c>
      <c r="E4365" t="s">
        <v>479</v>
      </c>
    </row>
    <row r="4366" spans="2:5" x14ac:dyDescent="0.3">
      <c r="B4366" t="s">
        <v>6776</v>
      </c>
      <c r="C4366">
        <v>590005</v>
      </c>
      <c r="D4366" t="s">
        <v>6777</v>
      </c>
      <c r="E4366" t="s">
        <v>706</v>
      </c>
    </row>
    <row r="4367" spans="2:5" x14ac:dyDescent="0.3">
      <c r="B4367" t="s">
        <v>6778</v>
      </c>
      <c r="C4367">
        <v>590005</v>
      </c>
      <c r="D4367" t="s">
        <v>6777</v>
      </c>
      <c r="E4367" t="s">
        <v>706</v>
      </c>
    </row>
    <row r="4368" spans="2:5" x14ac:dyDescent="0.3">
      <c r="B4368" t="s">
        <v>6779</v>
      </c>
      <c r="C4368">
        <v>536264</v>
      </c>
      <c r="D4368" t="s">
        <v>496</v>
      </c>
      <c r="E4368" t="s">
        <v>817</v>
      </c>
    </row>
    <row r="4369" spans="2:5" x14ac:dyDescent="0.3">
      <c r="B4369" t="s">
        <v>6780</v>
      </c>
      <c r="C4369">
        <v>536264</v>
      </c>
      <c r="D4369" t="s">
        <v>496</v>
      </c>
      <c r="E4369" t="s">
        <v>817</v>
      </c>
    </row>
    <row r="4370" spans="2:5" x14ac:dyDescent="0.3">
      <c r="B4370" t="s">
        <v>6781</v>
      </c>
      <c r="C4370">
        <v>533629</v>
      </c>
      <c r="D4370" t="s">
        <v>6782</v>
      </c>
      <c r="E4370" t="s">
        <v>616</v>
      </c>
    </row>
    <row r="4371" spans="2:5" x14ac:dyDescent="0.3">
      <c r="B4371" t="s">
        <v>6783</v>
      </c>
      <c r="C4371">
        <v>505196</v>
      </c>
      <c r="D4371" t="s">
        <v>6784</v>
      </c>
      <c r="E4371" t="s">
        <v>619</v>
      </c>
    </row>
    <row r="4372" spans="2:5" x14ac:dyDescent="0.3">
      <c r="B4372" t="s">
        <v>6785</v>
      </c>
      <c r="C4372">
        <v>503663</v>
      </c>
      <c r="D4372" t="s">
        <v>6786</v>
      </c>
      <c r="E4372" t="s">
        <v>516</v>
      </c>
    </row>
    <row r="4373" spans="2:5" x14ac:dyDescent="0.3">
      <c r="B4373" t="s">
        <v>6787</v>
      </c>
      <c r="C4373">
        <v>507205</v>
      </c>
      <c r="D4373" t="s">
        <v>6788</v>
      </c>
      <c r="E4373" t="s">
        <v>1128</v>
      </c>
    </row>
    <row r="4374" spans="2:5" x14ac:dyDescent="0.3">
      <c r="B4374" t="s">
        <v>6789</v>
      </c>
      <c r="C4374">
        <v>532856</v>
      </c>
      <c r="D4374" t="s">
        <v>6790</v>
      </c>
      <c r="E4374" t="s">
        <v>616</v>
      </c>
    </row>
    <row r="4375" spans="2:5" x14ac:dyDescent="0.3">
      <c r="B4375" t="s">
        <v>6791</v>
      </c>
      <c r="C4375">
        <v>511559</v>
      </c>
      <c r="D4375" t="s">
        <v>6792</v>
      </c>
      <c r="E4375" t="s">
        <v>513</v>
      </c>
    </row>
    <row r="4376" spans="2:5" x14ac:dyDescent="0.3">
      <c r="B4376" t="s">
        <v>6793</v>
      </c>
      <c r="C4376">
        <v>500414</v>
      </c>
      <c r="D4376" t="s">
        <v>496</v>
      </c>
      <c r="E4376" t="s">
        <v>610</v>
      </c>
    </row>
    <row r="4377" spans="2:5" x14ac:dyDescent="0.3">
      <c r="B4377" t="s">
        <v>6794</v>
      </c>
      <c r="C4377">
        <v>500414</v>
      </c>
      <c r="D4377" t="s">
        <v>496</v>
      </c>
      <c r="E4377" t="s">
        <v>610</v>
      </c>
    </row>
    <row r="4378" spans="2:5" x14ac:dyDescent="0.3">
      <c r="B4378" t="s">
        <v>6795</v>
      </c>
      <c r="C4378">
        <v>522113</v>
      </c>
      <c r="D4378" t="s">
        <v>6796</v>
      </c>
      <c r="E4378" t="s">
        <v>504</v>
      </c>
    </row>
    <row r="4379" spans="2:5" x14ac:dyDescent="0.3">
      <c r="B4379" t="s">
        <v>6797</v>
      </c>
      <c r="C4379">
        <v>522113</v>
      </c>
      <c r="D4379" t="s">
        <v>6796</v>
      </c>
      <c r="E4379" t="s">
        <v>504</v>
      </c>
    </row>
    <row r="4380" spans="2:5" x14ac:dyDescent="0.3">
      <c r="B4380" t="s">
        <v>6798</v>
      </c>
      <c r="C4380">
        <v>530475</v>
      </c>
      <c r="D4380" t="s">
        <v>496</v>
      </c>
      <c r="E4380" t="s">
        <v>656</v>
      </c>
    </row>
    <row r="4381" spans="2:5" x14ac:dyDescent="0.3">
      <c r="B4381" t="s">
        <v>6799</v>
      </c>
      <c r="C4381">
        <v>541741</v>
      </c>
      <c r="D4381" t="s">
        <v>496</v>
      </c>
      <c r="E4381" t="s">
        <v>518</v>
      </c>
    </row>
    <row r="4382" spans="2:5" x14ac:dyDescent="0.3">
      <c r="B4382" t="s">
        <v>6800</v>
      </c>
      <c r="C4382">
        <v>532375</v>
      </c>
      <c r="D4382" t="s">
        <v>6801</v>
      </c>
      <c r="E4382" t="s">
        <v>499</v>
      </c>
    </row>
    <row r="4383" spans="2:5" x14ac:dyDescent="0.3">
      <c r="B4383" t="s">
        <v>6802</v>
      </c>
      <c r="C4383">
        <v>539488</v>
      </c>
      <c r="D4383" t="s">
        <v>496</v>
      </c>
      <c r="E4383" t="s">
        <v>516</v>
      </c>
    </row>
    <row r="4384" spans="2:5" x14ac:dyDescent="0.3">
      <c r="B4384" t="s">
        <v>6803</v>
      </c>
      <c r="C4384">
        <v>540904</v>
      </c>
      <c r="D4384" t="s">
        <v>496</v>
      </c>
      <c r="E4384" t="s">
        <v>773</v>
      </c>
    </row>
    <row r="4385" spans="2:5" x14ac:dyDescent="0.3">
      <c r="B4385" t="s">
        <v>6804</v>
      </c>
      <c r="C4385" t="s">
        <v>496</v>
      </c>
      <c r="D4385" t="s">
        <v>6805</v>
      </c>
      <c r="E4385" t="s">
        <v>507</v>
      </c>
    </row>
    <row r="4386" spans="2:5" x14ac:dyDescent="0.3">
      <c r="B4386" t="s">
        <v>6806</v>
      </c>
      <c r="C4386">
        <v>531547</v>
      </c>
      <c r="D4386" t="s">
        <v>496</v>
      </c>
      <c r="E4386" t="s">
        <v>694</v>
      </c>
    </row>
    <row r="4387" spans="2:5" x14ac:dyDescent="0.3">
      <c r="B4387" t="s">
        <v>6807</v>
      </c>
      <c r="C4387">
        <v>531547</v>
      </c>
      <c r="D4387" t="s">
        <v>496</v>
      </c>
      <c r="E4387" t="s">
        <v>694</v>
      </c>
    </row>
    <row r="4388" spans="2:5" x14ac:dyDescent="0.3">
      <c r="B4388" t="s">
        <v>6808</v>
      </c>
      <c r="C4388">
        <v>531814</v>
      </c>
      <c r="D4388" t="s">
        <v>496</v>
      </c>
      <c r="E4388" t="s">
        <v>582</v>
      </c>
    </row>
    <row r="4389" spans="2:5" x14ac:dyDescent="0.3">
      <c r="B4389" t="s">
        <v>6809</v>
      </c>
      <c r="C4389">
        <v>524582</v>
      </c>
      <c r="D4389" t="s">
        <v>496</v>
      </c>
      <c r="E4389" t="s">
        <v>576</v>
      </c>
    </row>
    <row r="4390" spans="2:5" x14ac:dyDescent="0.3">
      <c r="B4390" t="s">
        <v>6810</v>
      </c>
      <c r="C4390">
        <v>539040</v>
      </c>
      <c r="D4390" t="s">
        <v>496</v>
      </c>
      <c r="E4390" t="s">
        <v>976</v>
      </c>
    </row>
    <row r="4391" spans="2:5" x14ac:dyDescent="0.3">
      <c r="B4391" t="s">
        <v>6811</v>
      </c>
      <c r="C4391">
        <v>539985</v>
      </c>
      <c r="D4391" t="s">
        <v>496</v>
      </c>
      <c r="E4391" t="s">
        <v>511</v>
      </c>
    </row>
    <row r="4392" spans="2:5" x14ac:dyDescent="0.3">
      <c r="B4392" t="s">
        <v>6812</v>
      </c>
      <c r="C4392">
        <v>532966</v>
      </c>
      <c r="D4392" t="s">
        <v>6813</v>
      </c>
      <c r="E4392" t="s">
        <v>574</v>
      </c>
    </row>
    <row r="4393" spans="2:5" x14ac:dyDescent="0.3">
      <c r="B4393" t="s">
        <v>6814</v>
      </c>
      <c r="C4393">
        <v>524717</v>
      </c>
      <c r="D4393" t="s">
        <v>496</v>
      </c>
      <c r="E4393" t="s">
        <v>656</v>
      </c>
    </row>
    <row r="4394" spans="2:5" x14ac:dyDescent="0.3">
      <c r="B4394" t="s">
        <v>6815</v>
      </c>
      <c r="C4394">
        <v>500114</v>
      </c>
      <c r="D4394" t="s">
        <v>6816</v>
      </c>
      <c r="E4394" t="s">
        <v>610</v>
      </c>
    </row>
    <row r="4395" spans="2:5" x14ac:dyDescent="0.3">
      <c r="B4395" t="s">
        <v>6817</v>
      </c>
      <c r="C4395">
        <v>530045</v>
      </c>
      <c r="D4395" t="s">
        <v>496</v>
      </c>
      <c r="E4395" t="s">
        <v>513</v>
      </c>
    </row>
    <row r="4396" spans="2:5" x14ac:dyDescent="0.3">
      <c r="B4396" t="s">
        <v>6818</v>
      </c>
      <c r="C4396">
        <v>511096</v>
      </c>
      <c r="D4396" t="s">
        <v>496</v>
      </c>
      <c r="E4396" t="s">
        <v>582</v>
      </c>
    </row>
    <row r="4397" spans="2:5" x14ac:dyDescent="0.3">
      <c r="B4397" t="s">
        <v>6819</v>
      </c>
      <c r="C4397">
        <v>531830</v>
      </c>
      <c r="D4397" t="s">
        <v>6820</v>
      </c>
      <c r="E4397" t="s">
        <v>1042</v>
      </c>
    </row>
    <row r="4398" spans="2:5" x14ac:dyDescent="0.3">
      <c r="B4398" t="s">
        <v>6821</v>
      </c>
      <c r="C4398">
        <v>531644</v>
      </c>
      <c r="D4398" t="s">
        <v>496</v>
      </c>
      <c r="E4398" t="s">
        <v>513</v>
      </c>
    </row>
    <row r="4399" spans="2:5" x14ac:dyDescent="0.3">
      <c r="B4399" t="s">
        <v>6822</v>
      </c>
      <c r="C4399">
        <v>500418</v>
      </c>
      <c r="D4399" t="s">
        <v>6823</v>
      </c>
      <c r="E4399" t="s">
        <v>616</v>
      </c>
    </row>
    <row r="4400" spans="2:5" x14ac:dyDescent="0.3">
      <c r="B4400" t="s">
        <v>6824</v>
      </c>
      <c r="C4400">
        <v>500420</v>
      </c>
      <c r="D4400" t="s">
        <v>6825</v>
      </c>
      <c r="E4400" t="s">
        <v>534</v>
      </c>
    </row>
    <row r="4401" spans="2:5" x14ac:dyDescent="0.3">
      <c r="B4401" t="s">
        <v>6826</v>
      </c>
      <c r="C4401">
        <v>532779</v>
      </c>
      <c r="D4401" t="s">
        <v>6827</v>
      </c>
      <c r="E4401" t="s">
        <v>635</v>
      </c>
    </row>
    <row r="4402" spans="2:5" x14ac:dyDescent="0.3">
      <c r="B4402" t="s">
        <v>6828</v>
      </c>
      <c r="C4402">
        <v>523878</v>
      </c>
      <c r="D4402" t="s">
        <v>496</v>
      </c>
      <c r="E4402" t="s">
        <v>821</v>
      </c>
    </row>
    <row r="4403" spans="2:5" x14ac:dyDescent="0.3">
      <c r="B4403" t="s">
        <v>6829</v>
      </c>
      <c r="C4403" t="s">
        <v>496</v>
      </c>
      <c r="D4403" t="s">
        <v>6830</v>
      </c>
      <c r="E4403" t="s">
        <v>507</v>
      </c>
    </row>
    <row r="4404" spans="2:5" x14ac:dyDescent="0.3">
      <c r="B4404" t="s">
        <v>6831</v>
      </c>
      <c r="C4404" t="s">
        <v>496</v>
      </c>
      <c r="D4404" t="s">
        <v>6832</v>
      </c>
      <c r="E4404" t="s">
        <v>507</v>
      </c>
    </row>
    <row r="4405" spans="2:5" x14ac:dyDescent="0.3">
      <c r="B4405" t="s">
        <v>6833</v>
      </c>
      <c r="C4405">
        <v>526650</v>
      </c>
      <c r="D4405" t="s">
        <v>6834</v>
      </c>
      <c r="E4405" t="s">
        <v>2829</v>
      </c>
    </row>
    <row r="4406" spans="2:5" x14ac:dyDescent="0.3">
      <c r="B4406" t="s">
        <v>6835</v>
      </c>
      <c r="C4406">
        <v>526650</v>
      </c>
      <c r="D4406" t="s">
        <v>6834</v>
      </c>
      <c r="E4406" t="s">
        <v>2829</v>
      </c>
    </row>
    <row r="4407" spans="2:5" x14ac:dyDescent="0.3">
      <c r="B4407" t="s">
        <v>6836</v>
      </c>
      <c r="C4407">
        <v>531771</v>
      </c>
      <c r="D4407" t="s">
        <v>496</v>
      </c>
      <c r="E4407" t="s">
        <v>794</v>
      </c>
    </row>
    <row r="4408" spans="2:5" x14ac:dyDescent="0.3">
      <c r="B4408" t="s">
        <v>6837</v>
      </c>
      <c r="C4408">
        <v>538607</v>
      </c>
      <c r="D4408" t="s">
        <v>496</v>
      </c>
      <c r="E4408" t="s">
        <v>479</v>
      </c>
    </row>
    <row r="4409" spans="2:5" x14ac:dyDescent="0.3">
      <c r="B4409" t="s">
        <v>6838</v>
      </c>
      <c r="C4409">
        <v>500421</v>
      </c>
      <c r="D4409" t="s">
        <v>496</v>
      </c>
      <c r="E4409" t="s">
        <v>691</v>
      </c>
    </row>
    <row r="4410" spans="2:5" x14ac:dyDescent="0.3">
      <c r="B4410" t="s">
        <v>6839</v>
      </c>
      <c r="C4410">
        <v>500421</v>
      </c>
      <c r="D4410" t="s">
        <v>496</v>
      </c>
      <c r="E4410" t="s">
        <v>691</v>
      </c>
    </row>
    <row r="4411" spans="2:5" x14ac:dyDescent="0.3">
      <c r="B4411" t="s">
        <v>6840</v>
      </c>
      <c r="C4411">
        <v>526582</v>
      </c>
      <c r="D4411" t="s">
        <v>6841</v>
      </c>
      <c r="E4411" t="s">
        <v>616</v>
      </c>
    </row>
    <row r="4412" spans="2:5" x14ac:dyDescent="0.3">
      <c r="B4412" t="s">
        <v>6842</v>
      </c>
      <c r="C4412">
        <v>509953</v>
      </c>
      <c r="D4412" t="s">
        <v>496</v>
      </c>
      <c r="E4412" t="s">
        <v>1499</v>
      </c>
    </row>
    <row r="4413" spans="2:5" x14ac:dyDescent="0.3">
      <c r="B4413" t="s">
        <v>6843</v>
      </c>
      <c r="C4413">
        <v>530783</v>
      </c>
      <c r="D4413" t="s">
        <v>496</v>
      </c>
      <c r="E4413" t="s">
        <v>534</v>
      </c>
    </row>
    <row r="4414" spans="2:5" x14ac:dyDescent="0.3">
      <c r="B4414" t="s">
        <v>6844</v>
      </c>
      <c r="C4414">
        <v>526961</v>
      </c>
      <c r="D4414" t="s">
        <v>6845</v>
      </c>
      <c r="E4414" t="s">
        <v>513</v>
      </c>
    </row>
    <row r="4415" spans="2:5" x14ac:dyDescent="0.3">
      <c r="B4415" t="s">
        <v>6846</v>
      </c>
      <c r="C4415">
        <v>500422</v>
      </c>
      <c r="D4415" t="s">
        <v>496</v>
      </c>
      <c r="E4415" t="s">
        <v>534</v>
      </c>
    </row>
    <row r="4416" spans="2:5" x14ac:dyDescent="0.3">
      <c r="B4416" t="s">
        <v>6847</v>
      </c>
      <c r="C4416">
        <v>532410</v>
      </c>
      <c r="D4416" t="s">
        <v>496</v>
      </c>
      <c r="E4416" t="s">
        <v>479</v>
      </c>
    </row>
    <row r="4417" spans="2:5" x14ac:dyDescent="0.3">
      <c r="B4417" t="s">
        <v>6848</v>
      </c>
      <c r="C4417">
        <v>532928</v>
      </c>
      <c r="D4417" t="s">
        <v>6849</v>
      </c>
      <c r="E4417" t="s">
        <v>539</v>
      </c>
    </row>
    <row r="4418" spans="2:5" x14ac:dyDescent="0.3">
      <c r="B4418" t="s">
        <v>6850</v>
      </c>
      <c r="C4418">
        <v>532928</v>
      </c>
      <c r="D4418" t="s">
        <v>6849</v>
      </c>
      <c r="E4418" t="s">
        <v>539</v>
      </c>
    </row>
    <row r="4419" spans="2:5" x14ac:dyDescent="0.3">
      <c r="B4419" t="s">
        <v>6851</v>
      </c>
      <c r="C4419">
        <v>513063</v>
      </c>
      <c r="D4419" t="s">
        <v>496</v>
      </c>
      <c r="E4419" t="s">
        <v>819</v>
      </c>
    </row>
    <row r="4420" spans="2:5" x14ac:dyDescent="0.3">
      <c r="B4420" t="s">
        <v>6852</v>
      </c>
      <c r="C4420">
        <v>526139</v>
      </c>
      <c r="D4420" t="s">
        <v>496</v>
      </c>
      <c r="E4420" t="s">
        <v>685</v>
      </c>
    </row>
    <row r="4421" spans="2:5" x14ac:dyDescent="0.3">
      <c r="B4421" t="s">
        <v>6853</v>
      </c>
      <c r="C4421">
        <v>519367</v>
      </c>
      <c r="D4421" t="s">
        <v>496</v>
      </c>
      <c r="E4421" t="s">
        <v>931</v>
      </c>
    </row>
    <row r="4422" spans="2:5" x14ac:dyDescent="0.3">
      <c r="B4422" t="s">
        <v>6854</v>
      </c>
      <c r="C4422">
        <v>509003</v>
      </c>
      <c r="D4422" t="s">
        <v>496</v>
      </c>
      <c r="E4422" t="s">
        <v>917</v>
      </c>
    </row>
    <row r="4423" spans="2:5" x14ac:dyDescent="0.3">
      <c r="B4423" t="s">
        <v>6855</v>
      </c>
      <c r="C4423">
        <v>506687</v>
      </c>
      <c r="D4423" t="s">
        <v>496</v>
      </c>
      <c r="E4423" t="s">
        <v>544</v>
      </c>
    </row>
    <row r="4424" spans="2:5" x14ac:dyDescent="0.3">
      <c r="B4424" t="s">
        <v>6856</v>
      </c>
      <c r="C4424">
        <v>532349</v>
      </c>
      <c r="D4424" t="s">
        <v>6857</v>
      </c>
      <c r="E4424" t="s">
        <v>568</v>
      </c>
    </row>
    <row r="4425" spans="2:5" x14ac:dyDescent="0.3">
      <c r="B4425" t="s">
        <v>6858</v>
      </c>
      <c r="C4425">
        <v>532349</v>
      </c>
      <c r="D4425" t="s">
        <v>6857</v>
      </c>
      <c r="E4425" t="s">
        <v>568</v>
      </c>
    </row>
    <row r="4426" spans="2:5" x14ac:dyDescent="0.3">
      <c r="B4426" t="s">
        <v>6859</v>
      </c>
      <c r="C4426">
        <v>532812</v>
      </c>
      <c r="D4426" t="s">
        <v>6860</v>
      </c>
      <c r="E4426" t="s">
        <v>513</v>
      </c>
    </row>
    <row r="4427" spans="2:5" x14ac:dyDescent="0.3">
      <c r="B4427" t="s">
        <v>6861</v>
      </c>
      <c r="C4427" t="s">
        <v>496</v>
      </c>
      <c r="D4427" t="s">
        <v>6862</v>
      </c>
      <c r="E4427" t="s">
        <v>507</v>
      </c>
    </row>
    <row r="4428" spans="2:5" x14ac:dyDescent="0.3">
      <c r="B4428" t="s">
        <v>6863</v>
      </c>
      <c r="C4428">
        <v>533540</v>
      </c>
      <c r="D4428" t="s">
        <v>6864</v>
      </c>
      <c r="E4428" t="s">
        <v>601</v>
      </c>
    </row>
    <row r="4429" spans="2:5" x14ac:dyDescent="0.3">
      <c r="B4429" t="s">
        <v>6865</v>
      </c>
      <c r="C4429">
        <v>542233</v>
      </c>
      <c r="D4429" t="s">
        <v>6866</v>
      </c>
      <c r="E4429" t="s">
        <v>1693</v>
      </c>
    </row>
    <row r="4430" spans="2:5" x14ac:dyDescent="0.3">
      <c r="B4430" t="s">
        <v>6867</v>
      </c>
      <c r="C4430">
        <v>500251</v>
      </c>
      <c r="D4430" t="s">
        <v>6868</v>
      </c>
      <c r="E4430" t="s">
        <v>497</v>
      </c>
    </row>
    <row r="4431" spans="2:5" x14ac:dyDescent="0.3">
      <c r="B4431" t="s">
        <v>6869</v>
      </c>
      <c r="C4431">
        <v>532159</v>
      </c>
      <c r="D4431" t="s">
        <v>496</v>
      </c>
      <c r="E4431" t="s">
        <v>479</v>
      </c>
    </row>
    <row r="4432" spans="2:5" x14ac:dyDescent="0.3">
      <c r="B4432" t="s">
        <v>6870</v>
      </c>
      <c r="C4432">
        <v>505854</v>
      </c>
      <c r="D4432" t="s">
        <v>6871</v>
      </c>
      <c r="E4432" t="s">
        <v>504</v>
      </c>
    </row>
    <row r="4433" spans="2:5" x14ac:dyDescent="0.3">
      <c r="B4433" t="s">
        <v>6872</v>
      </c>
      <c r="C4433">
        <v>534369</v>
      </c>
      <c r="D4433" t="s">
        <v>6873</v>
      </c>
      <c r="E4433" t="s">
        <v>610</v>
      </c>
    </row>
    <row r="4434" spans="2:5" x14ac:dyDescent="0.3">
      <c r="B4434" t="s">
        <v>6874</v>
      </c>
      <c r="C4434">
        <v>531716</v>
      </c>
      <c r="D4434" t="s">
        <v>496</v>
      </c>
      <c r="E4434" t="s">
        <v>576</v>
      </c>
    </row>
    <row r="4435" spans="2:5" x14ac:dyDescent="0.3">
      <c r="B4435" t="s">
        <v>6875</v>
      </c>
      <c r="C4435">
        <v>521064</v>
      </c>
      <c r="D4435" t="s">
        <v>6876</v>
      </c>
      <c r="E4435" t="s">
        <v>511</v>
      </c>
    </row>
    <row r="4436" spans="2:5" x14ac:dyDescent="0.3">
      <c r="B4436" t="s">
        <v>6877</v>
      </c>
      <c r="C4436">
        <v>540726</v>
      </c>
      <c r="D4436" t="s">
        <v>496</v>
      </c>
      <c r="E4436" t="s">
        <v>518</v>
      </c>
    </row>
    <row r="4437" spans="2:5" x14ac:dyDescent="0.3">
      <c r="B4437" t="s">
        <v>6878</v>
      </c>
      <c r="C4437">
        <v>531972</v>
      </c>
      <c r="D4437" t="s">
        <v>496</v>
      </c>
      <c r="E4437" t="s">
        <v>681</v>
      </c>
    </row>
    <row r="4438" spans="2:5" x14ac:dyDescent="0.3">
      <c r="B4438" t="s">
        <v>6879</v>
      </c>
      <c r="C4438">
        <v>517562</v>
      </c>
      <c r="D4438" t="s">
        <v>6880</v>
      </c>
      <c r="E4438" t="s">
        <v>482</v>
      </c>
    </row>
    <row r="4439" spans="2:5" x14ac:dyDescent="0.3">
      <c r="B4439" t="s">
        <v>6881</v>
      </c>
      <c r="C4439">
        <v>531658</v>
      </c>
      <c r="D4439" t="s">
        <v>496</v>
      </c>
      <c r="E4439" t="s">
        <v>513</v>
      </c>
    </row>
    <row r="4440" spans="2:5" x14ac:dyDescent="0.3">
      <c r="B4440" t="s">
        <v>6882</v>
      </c>
      <c r="C4440">
        <v>536565</v>
      </c>
      <c r="D4440" t="s">
        <v>496</v>
      </c>
      <c r="E4440" t="s">
        <v>6883</v>
      </c>
    </row>
    <row r="4441" spans="2:5" x14ac:dyDescent="0.3">
      <c r="B4441" t="s">
        <v>6884</v>
      </c>
      <c r="C4441">
        <v>531846</v>
      </c>
      <c r="D4441" t="s">
        <v>496</v>
      </c>
      <c r="E4441" t="s">
        <v>479</v>
      </c>
    </row>
    <row r="4442" spans="2:5" x14ac:dyDescent="0.3">
      <c r="B4442" t="s">
        <v>6885</v>
      </c>
      <c r="C4442">
        <v>531846</v>
      </c>
      <c r="D4442" t="s">
        <v>496</v>
      </c>
      <c r="E4442" t="s">
        <v>479</v>
      </c>
    </row>
    <row r="4443" spans="2:5" x14ac:dyDescent="0.3">
      <c r="B4443" t="s">
        <v>6886</v>
      </c>
      <c r="C4443">
        <v>534755</v>
      </c>
      <c r="D4443" t="s">
        <v>6887</v>
      </c>
      <c r="E4443" t="s">
        <v>479</v>
      </c>
    </row>
    <row r="4444" spans="2:5" x14ac:dyDescent="0.3">
      <c r="B4444" t="s">
        <v>6888</v>
      </c>
      <c r="C4444">
        <v>512101</v>
      </c>
      <c r="D4444" t="s">
        <v>496</v>
      </c>
      <c r="E4444" t="s">
        <v>534</v>
      </c>
    </row>
    <row r="4445" spans="2:5" x14ac:dyDescent="0.3">
      <c r="B4445" t="s">
        <v>6889</v>
      </c>
      <c r="C4445">
        <v>531279</v>
      </c>
      <c r="D4445" t="s">
        <v>496</v>
      </c>
      <c r="E4445" t="s">
        <v>513</v>
      </c>
    </row>
    <row r="4446" spans="2:5" x14ac:dyDescent="0.3">
      <c r="B4446" t="s">
        <v>6890</v>
      </c>
      <c r="C4446">
        <v>523387</v>
      </c>
      <c r="D4446" t="s">
        <v>496</v>
      </c>
      <c r="E4446" t="s">
        <v>610</v>
      </c>
    </row>
    <row r="4447" spans="2:5" x14ac:dyDescent="0.3">
      <c r="B4447" t="s">
        <v>6891</v>
      </c>
      <c r="C4447">
        <v>505978</v>
      </c>
      <c r="D4447" t="s">
        <v>496</v>
      </c>
      <c r="E4447" t="s">
        <v>851</v>
      </c>
    </row>
    <row r="4448" spans="2:5" x14ac:dyDescent="0.3">
      <c r="B4448" t="s">
        <v>6892</v>
      </c>
      <c r="C4448">
        <v>532356</v>
      </c>
      <c r="D4448" t="s">
        <v>6893</v>
      </c>
      <c r="E4448" t="s">
        <v>1195</v>
      </c>
    </row>
    <row r="4449" spans="2:5" x14ac:dyDescent="0.3">
      <c r="B4449" t="s">
        <v>6894</v>
      </c>
      <c r="C4449">
        <v>538569</v>
      </c>
      <c r="D4449" t="s">
        <v>6895</v>
      </c>
      <c r="E4449" t="s">
        <v>862</v>
      </c>
    </row>
    <row r="4450" spans="2:5" x14ac:dyDescent="0.3">
      <c r="B4450" t="s">
        <v>6896</v>
      </c>
      <c r="C4450">
        <v>502281</v>
      </c>
      <c r="D4450" t="s">
        <v>496</v>
      </c>
      <c r="E4450" t="s">
        <v>1024</v>
      </c>
    </row>
    <row r="4451" spans="2:5" x14ac:dyDescent="0.3">
      <c r="B4451" t="s">
        <v>6897</v>
      </c>
      <c r="C4451">
        <v>533655</v>
      </c>
      <c r="D4451" t="s">
        <v>6898</v>
      </c>
      <c r="E4451" t="s">
        <v>539</v>
      </c>
    </row>
    <row r="4452" spans="2:5" x14ac:dyDescent="0.3">
      <c r="B4452" t="s">
        <v>6899</v>
      </c>
      <c r="C4452">
        <v>538579</v>
      </c>
      <c r="D4452" t="s">
        <v>496</v>
      </c>
      <c r="E4452" t="s">
        <v>518</v>
      </c>
    </row>
    <row r="4453" spans="2:5" x14ac:dyDescent="0.3">
      <c r="B4453" t="s">
        <v>6900</v>
      </c>
      <c r="C4453">
        <v>519303</v>
      </c>
      <c r="D4453" t="s">
        <v>496</v>
      </c>
      <c r="E4453" t="s">
        <v>745</v>
      </c>
    </row>
    <row r="4454" spans="2:5" x14ac:dyDescent="0.3">
      <c r="B4454" t="s">
        <v>6901</v>
      </c>
      <c r="C4454">
        <v>538597</v>
      </c>
      <c r="D4454" t="s">
        <v>496</v>
      </c>
      <c r="E4454" t="s">
        <v>513</v>
      </c>
    </row>
    <row r="4455" spans="2:5" x14ac:dyDescent="0.3">
      <c r="B4455" t="s">
        <v>6902</v>
      </c>
      <c r="C4455">
        <v>507747</v>
      </c>
      <c r="D4455" t="s">
        <v>6903</v>
      </c>
      <c r="E4455" t="s">
        <v>534</v>
      </c>
    </row>
    <row r="4456" spans="2:5" x14ac:dyDescent="0.3">
      <c r="B4456" t="s">
        <v>6904</v>
      </c>
      <c r="C4456">
        <v>517506</v>
      </c>
      <c r="D4456" t="s">
        <v>6905</v>
      </c>
      <c r="E4456" t="s">
        <v>1542</v>
      </c>
    </row>
    <row r="4457" spans="2:5" x14ac:dyDescent="0.3">
      <c r="B4457" t="s">
        <v>6906</v>
      </c>
      <c r="C4457">
        <v>514236</v>
      </c>
      <c r="D4457" t="s">
        <v>6907</v>
      </c>
      <c r="E4457" t="s">
        <v>862</v>
      </c>
    </row>
    <row r="4458" spans="2:5" x14ac:dyDescent="0.3">
      <c r="B4458" t="s">
        <v>6908</v>
      </c>
      <c r="C4458">
        <v>540762</v>
      </c>
      <c r="D4458" t="s">
        <v>6909</v>
      </c>
      <c r="E4458" t="s">
        <v>851</v>
      </c>
    </row>
    <row r="4459" spans="2:5" x14ac:dyDescent="0.3">
      <c r="B4459" t="s">
        <v>6910</v>
      </c>
      <c r="C4459">
        <v>540762</v>
      </c>
      <c r="D4459" t="s">
        <v>6911</v>
      </c>
      <c r="E4459" t="s">
        <v>851</v>
      </c>
    </row>
    <row r="4460" spans="2:5" x14ac:dyDescent="0.3">
      <c r="B4460" t="s">
        <v>6912</v>
      </c>
      <c r="C4460">
        <v>524514</v>
      </c>
      <c r="D4460" t="s">
        <v>496</v>
      </c>
      <c r="E4460" t="s">
        <v>544</v>
      </c>
    </row>
    <row r="4461" spans="2:5" x14ac:dyDescent="0.3">
      <c r="B4461" t="s">
        <v>6913</v>
      </c>
      <c r="C4461">
        <v>531088</v>
      </c>
      <c r="D4461" t="s">
        <v>496</v>
      </c>
      <c r="E4461" t="s">
        <v>513</v>
      </c>
    </row>
    <row r="4462" spans="2:5" x14ac:dyDescent="0.3">
      <c r="B4462" t="s">
        <v>6914</v>
      </c>
      <c r="C4462">
        <v>505285</v>
      </c>
      <c r="D4462" t="s">
        <v>496</v>
      </c>
      <c r="E4462" t="s">
        <v>681</v>
      </c>
    </row>
    <row r="4463" spans="2:5" x14ac:dyDescent="0.3">
      <c r="B4463" t="s">
        <v>6915</v>
      </c>
      <c r="C4463">
        <v>532948</v>
      </c>
      <c r="D4463" t="s">
        <v>6916</v>
      </c>
      <c r="E4463" t="s">
        <v>616</v>
      </c>
    </row>
    <row r="4464" spans="2:5" x14ac:dyDescent="0.3">
      <c r="B4464" t="s">
        <v>6917</v>
      </c>
      <c r="C4464">
        <v>504273</v>
      </c>
      <c r="D4464" t="s">
        <v>496</v>
      </c>
      <c r="E4464" t="s">
        <v>794</v>
      </c>
    </row>
    <row r="4465" spans="2:5" x14ac:dyDescent="0.3">
      <c r="B4465" t="s">
        <v>6918</v>
      </c>
      <c r="C4465">
        <v>531411</v>
      </c>
      <c r="D4465" t="s">
        <v>496</v>
      </c>
      <c r="E4465" t="s">
        <v>511</v>
      </c>
    </row>
    <row r="4466" spans="2:5" x14ac:dyDescent="0.3">
      <c r="B4466" t="s">
        <v>6919</v>
      </c>
      <c r="C4466">
        <v>506808</v>
      </c>
      <c r="D4466" t="s">
        <v>496</v>
      </c>
      <c r="E4466" t="s">
        <v>544</v>
      </c>
    </row>
    <row r="4467" spans="2:5" x14ac:dyDescent="0.3">
      <c r="B4467" t="s">
        <v>6920</v>
      </c>
      <c r="C4467">
        <v>532515</v>
      </c>
      <c r="D4467" t="s">
        <v>6921</v>
      </c>
      <c r="E4467" t="s">
        <v>1235</v>
      </c>
    </row>
    <row r="4468" spans="2:5" x14ac:dyDescent="0.3">
      <c r="B4468" t="s">
        <v>6922</v>
      </c>
      <c r="C4468">
        <v>540083</v>
      </c>
      <c r="D4468" t="s">
        <v>6923</v>
      </c>
      <c r="E4468" t="s">
        <v>1235</v>
      </c>
    </row>
    <row r="4469" spans="2:5" x14ac:dyDescent="0.3">
      <c r="B4469" t="s">
        <v>6924</v>
      </c>
      <c r="C4469">
        <v>532800</v>
      </c>
      <c r="D4469" t="s">
        <v>6925</v>
      </c>
      <c r="E4469" t="s">
        <v>1235</v>
      </c>
    </row>
    <row r="4470" spans="2:5" x14ac:dyDescent="0.3">
      <c r="B4470" t="s">
        <v>6926</v>
      </c>
      <c r="C4470">
        <v>532513</v>
      </c>
      <c r="D4470" t="s">
        <v>6927</v>
      </c>
      <c r="E4470" t="s">
        <v>593</v>
      </c>
    </row>
    <row r="4471" spans="2:5" x14ac:dyDescent="0.3">
      <c r="B4471" t="s">
        <v>6928</v>
      </c>
      <c r="C4471">
        <v>532343</v>
      </c>
      <c r="D4471" t="s">
        <v>6929</v>
      </c>
      <c r="E4471" t="s">
        <v>1154</v>
      </c>
    </row>
    <row r="4472" spans="2:5" x14ac:dyDescent="0.3">
      <c r="B4472" t="s">
        <v>6930</v>
      </c>
      <c r="C4472">
        <v>509243</v>
      </c>
      <c r="D4472" t="s">
        <v>6931</v>
      </c>
      <c r="E4472" t="s">
        <v>976</v>
      </c>
    </row>
    <row r="4473" spans="2:5" x14ac:dyDescent="0.3">
      <c r="B4473" t="s">
        <v>6932</v>
      </c>
      <c r="C4473">
        <v>512117</v>
      </c>
      <c r="D4473" t="s">
        <v>496</v>
      </c>
      <c r="E4473" t="s">
        <v>917</v>
      </c>
    </row>
    <row r="4474" spans="2:5" x14ac:dyDescent="0.3">
      <c r="B4474" t="s">
        <v>6933</v>
      </c>
      <c r="C4474">
        <v>531917</v>
      </c>
      <c r="D4474" t="s">
        <v>496</v>
      </c>
      <c r="E4474" t="s">
        <v>589</v>
      </c>
    </row>
    <row r="4475" spans="2:5" x14ac:dyDescent="0.3">
      <c r="B4475" t="s">
        <v>6934</v>
      </c>
      <c r="C4475">
        <v>532384</v>
      </c>
      <c r="D4475" t="s">
        <v>496</v>
      </c>
      <c r="E4475" t="s">
        <v>534</v>
      </c>
    </row>
    <row r="4476" spans="2:5" x14ac:dyDescent="0.3">
      <c r="B4476" t="s">
        <v>6935</v>
      </c>
      <c r="C4476">
        <v>539468</v>
      </c>
      <c r="D4476" t="s">
        <v>496</v>
      </c>
      <c r="E4476" t="s">
        <v>513</v>
      </c>
    </row>
    <row r="4477" spans="2:5" x14ac:dyDescent="0.3">
      <c r="B4477" t="s">
        <v>6936</v>
      </c>
      <c r="C4477">
        <v>512307</v>
      </c>
      <c r="D4477" t="s">
        <v>496</v>
      </c>
      <c r="E4477" t="s">
        <v>511</v>
      </c>
    </row>
    <row r="4478" spans="2:5" x14ac:dyDescent="0.3">
      <c r="B4478" t="s">
        <v>6937</v>
      </c>
      <c r="C4478">
        <v>526945</v>
      </c>
      <c r="D4478" t="s">
        <v>496</v>
      </c>
      <c r="E4478" t="s">
        <v>903</v>
      </c>
    </row>
    <row r="4479" spans="2:5" x14ac:dyDescent="0.3">
      <c r="B4479" t="s">
        <v>6938</v>
      </c>
      <c r="C4479">
        <v>541338</v>
      </c>
      <c r="D4479" t="s">
        <v>496</v>
      </c>
      <c r="E4479" t="s">
        <v>610</v>
      </c>
    </row>
    <row r="4480" spans="2:5" x14ac:dyDescent="0.3">
      <c r="B4480" t="s">
        <v>6939</v>
      </c>
      <c r="C4480">
        <v>500464</v>
      </c>
      <c r="D4480" t="s">
        <v>6940</v>
      </c>
      <c r="E4480" t="s">
        <v>851</v>
      </c>
    </row>
    <row r="4481" spans="2:5" x14ac:dyDescent="0.3">
      <c r="B4481" t="s">
        <v>6941</v>
      </c>
      <c r="C4481">
        <v>532505</v>
      </c>
      <c r="D4481" t="s">
        <v>6942</v>
      </c>
      <c r="E4481" t="s">
        <v>814</v>
      </c>
    </row>
    <row r="4482" spans="2:5" x14ac:dyDescent="0.3">
      <c r="B4482" t="s">
        <v>6943</v>
      </c>
      <c r="C4482">
        <v>530131</v>
      </c>
      <c r="D4482" t="s">
        <v>496</v>
      </c>
      <c r="E4482" t="s">
        <v>509</v>
      </c>
    </row>
    <row r="4483" spans="2:5" x14ac:dyDescent="0.3">
      <c r="B4483" t="s">
        <v>6944</v>
      </c>
      <c r="C4483">
        <v>539518</v>
      </c>
      <c r="D4483" t="s">
        <v>496</v>
      </c>
      <c r="E4483" t="s">
        <v>530</v>
      </c>
    </row>
    <row r="4484" spans="2:5" x14ac:dyDescent="0.3">
      <c r="B4484" t="s">
        <v>6945</v>
      </c>
      <c r="C4484">
        <v>500148</v>
      </c>
      <c r="D4484" t="s">
        <v>6946</v>
      </c>
      <c r="E4484" t="s">
        <v>691</v>
      </c>
    </row>
    <row r="4485" spans="2:5" x14ac:dyDescent="0.3">
      <c r="B4485" t="s">
        <v>6947</v>
      </c>
      <c r="C4485">
        <v>539141</v>
      </c>
      <c r="D4485" t="s">
        <v>6948</v>
      </c>
      <c r="E4485" t="s">
        <v>1235</v>
      </c>
    </row>
    <row r="4486" spans="2:5" x14ac:dyDescent="0.3">
      <c r="B4486" t="s">
        <v>6949</v>
      </c>
      <c r="C4486">
        <v>539141</v>
      </c>
      <c r="D4486" t="s">
        <v>6948</v>
      </c>
      <c r="E4486" t="s">
        <v>1235</v>
      </c>
    </row>
    <row r="4487" spans="2:5" x14ac:dyDescent="0.3">
      <c r="B4487" t="s">
        <v>6950</v>
      </c>
      <c r="C4487">
        <v>511742</v>
      </c>
      <c r="D4487" t="s">
        <v>496</v>
      </c>
      <c r="E4487" t="s">
        <v>513</v>
      </c>
    </row>
    <row r="4488" spans="2:5" x14ac:dyDescent="0.3">
      <c r="B4488" t="s">
        <v>6951</v>
      </c>
      <c r="C4488">
        <v>533644</v>
      </c>
      <c r="D4488" t="s">
        <v>6952</v>
      </c>
      <c r="E4488" t="s">
        <v>539</v>
      </c>
    </row>
    <row r="4489" spans="2:5" x14ac:dyDescent="0.3">
      <c r="B4489" t="s">
        <v>6953</v>
      </c>
      <c r="C4489">
        <v>539874</v>
      </c>
      <c r="D4489" t="s">
        <v>6954</v>
      </c>
      <c r="E4489" t="s">
        <v>513</v>
      </c>
    </row>
    <row r="4490" spans="2:5" x14ac:dyDescent="0.3">
      <c r="B4490" t="s">
        <v>6955</v>
      </c>
      <c r="C4490" t="s">
        <v>496</v>
      </c>
      <c r="D4490" t="s">
        <v>6956</v>
      </c>
      <c r="E4490" t="s">
        <v>507</v>
      </c>
    </row>
    <row r="4491" spans="2:5" x14ac:dyDescent="0.3">
      <c r="B4491" t="s">
        <v>6957</v>
      </c>
      <c r="C4491">
        <v>538706</v>
      </c>
      <c r="D4491" t="s">
        <v>496</v>
      </c>
      <c r="E4491" t="s">
        <v>794</v>
      </c>
    </row>
    <row r="4492" spans="2:5" x14ac:dyDescent="0.3">
      <c r="B4492" t="s">
        <v>6958</v>
      </c>
      <c r="C4492">
        <v>538706</v>
      </c>
      <c r="D4492" t="s">
        <v>496</v>
      </c>
      <c r="E4492" t="s">
        <v>794</v>
      </c>
    </row>
    <row r="4493" spans="2:5" x14ac:dyDescent="0.3">
      <c r="B4493" t="s">
        <v>6959</v>
      </c>
      <c r="C4493">
        <v>506685</v>
      </c>
      <c r="D4493" t="s">
        <v>496</v>
      </c>
      <c r="E4493" t="s">
        <v>656</v>
      </c>
    </row>
    <row r="4494" spans="2:5" x14ac:dyDescent="0.3">
      <c r="B4494" t="s">
        <v>6960</v>
      </c>
      <c r="C4494">
        <v>532538</v>
      </c>
      <c r="D4494" t="s">
        <v>6961</v>
      </c>
      <c r="E4494" t="s">
        <v>509</v>
      </c>
    </row>
    <row r="4495" spans="2:5" x14ac:dyDescent="0.3">
      <c r="B4495" t="s">
        <v>6962</v>
      </c>
      <c r="C4495">
        <v>500231</v>
      </c>
      <c r="D4495" t="s">
        <v>6963</v>
      </c>
      <c r="E4495" t="s">
        <v>556</v>
      </c>
    </row>
    <row r="4496" spans="2:5" x14ac:dyDescent="0.3">
      <c r="B4496" t="s">
        <v>6964</v>
      </c>
      <c r="C4496">
        <v>539798</v>
      </c>
      <c r="D4496" t="s">
        <v>496</v>
      </c>
      <c r="E4496" t="s">
        <v>819</v>
      </c>
    </row>
    <row r="4497" spans="2:5" x14ac:dyDescent="0.3">
      <c r="B4497" t="s">
        <v>6965</v>
      </c>
      <c r="C4497">
        <v>504605</v>
      </c>
      <c r="D4497" t="s">
        <v>496</v>
      </c>
      <c r="E4497" t="s">
        <v>819</v>
      </c>
    </row>
    <row r="4498" spans="2:5" x14ac:dyDescent="0.3">
      <c r="B4498" t="s">
        <v>6966</v>
      </c>
      <c r="C4498">
        <v>506690</v>
      </c>
      <c r="D4498" t="s">
        <v>6967</v>
      </c>
      <c r="E4498" t="s">
        <v>534</v>
      </c>
    </row>
    <row r="4499" spans="2:5" x14ac:dyDescent="0.3">
      <c r="B4499" t="s">
        <v>6968</v>
      </c>
      <c r="C4499">
        <v>541503</v>
      </c>
      <c r="D4499" t="s">
        <v>496</v>
      </c>
      <c r="E4499" t="s">
        <v>2489</v>
      </c>
    </row>
    <row r="4500" spans="2:5" x14ac:dyDescent="0.3">
      <c r="B4500" t="s">
        <v>6969</v>
      </c>
      <c r="C4500" t="s">
        <v>496</v>
      </c>
      <c r="D4500" t="s">
        <v>6970</v>
      </c>
      <c r="E4500" t="s">
        <v>507</v>
      </c>
    </row>
    <row r="4501" spans="2:5" x14ac:dyDescent="0.3">
      <c r="B4501" t="s">
        <v>6971</v>
      </c>
      <c r="C4501">
        <v>503671</v>
      </c>
      <c r="D4501" t="s">
        <v>496</v>
      </c>
      <c r="E4501" t="s">
        <v>479</v>
      </c>
    </row>
    <row r="4502" spans="2:5" x14ac:dyDescent="0.3">
      <c r="B4502" t="s">
        <v>6972</v>
      </c>
      <c r="C4502">
        <v>512595</v>
      </c>
      <c r="D4502" t="s">
        <v>6973</v>
      </c>
      <c r="E4502" t="s">
        <v>1052</v>
      </c>
    </row>
    <row r="4503" spans="2:5" x14ac:dyDescent="0.3">
      <c r="B4503" t="s">
        <v>6974</v>
      </c>
      <c r="C4503">
        <v>532477</v>
      </c>
      <c r="D4503" t="s">
        <v>6975</v>
      </c>
      <c r="E4503" t="s">
        <v>814</v>
      </c>
    </row>
    <row r="4504" spans="2:5" x14ac:dyDescent="0.3">
      <c r="B4504" t="s">
        <v>6976</v>
      </c>
      <c r="C4504">
        <v>526799</v>
      </c>
      <c r="D4504" t="s">
        <v>496</v>
      </c>
      <c r="E4504" t="s">
        <v>691</v>
      </c>
    </row>
    <row r="4505" spans="2:5" x14ac:dyDescent="0.3">
      <c r="B4505" t="s">
        <v>6977</v>
      </c>
      <c r="C4505">
        <v>500429</v>
      </c>
      <c r="D4505" t="s">
        <v>6978</v>
      </c>
      <c r="E4505" t="s">
        <v>518</v>
      </c>
    </row>
    <row r="4506" spans="2:5" x14ac:dyDescent="0.3">
      <c r="B4506" t="s">
        <v>6979</v>
      </c>
      <c r="C4506">
        <v>526957</v>
      </c>
      <c r="D4506" t="s">
        <v>496</v>
      </c>
      <c r="E4506" t="s">
        <v>991</v>
      </c>
    </row>
    <row r="4507" spans="2:5" x14ac:dyDescent="0.3">
      <c r="B4507" t="s">
        <v>6980</v>
      </c>
      <c r="C4507">
        <v>532646</v>
      </c>
      <c r="D4507" t="s">
        <v>6981</v>
      </c>
      <c r="E4507" t="s">
        <v>991</v>
      </c>
    </row>
    <row r="4508" spans="2:5" x14ac:dyDescent="0.3">
      <c r="B4508" t="s">
        <v>6982</v>
      </c>
      <c r="C4508">
        <v>530997</v>
      </c>
      <c r="D4508" t="s">
        <v>496</v>
      </c>
      <c r="E4508" t="s">
        <v>694</v>
      </c>
    </row>
    <row r="4509" spans="2:5" x14ac:dyDescent="0.3">
      <c r="B4509" t="s">
        <v>6983</v>
      </c>
      <c r="C4509">
        <v>521226</v>
      </c>
      <c r="D4509" t="s">
        <v>496</v>
      </c>
      <c r="E4509" t="s">
        <v>511</v>
      </c>
    </row>
    <row r="4510" spans="2:5" x14ac:dyDescent="0.3">
      <c r="B4510" t="s">
        <v>6984</v>
      </c>
      <c r="C4510">
        <v>526113</v>
      </c>
      <c r="D4510" t="s">
        <v>496</v>
      </c>
      <c r="E4510" t="s">
        <v>556</v>
      </c>
    </row>
    <row r="4511" spans="2:5" x14ac:dyDescent="0.3">
      <c r="B4511" t="s">
        <v>6985</v>
      </c>
      <c r="C4511">
        <v>537582</v>
      </c>
      <c r="D4511" t="s">
        <v>496</v>
      </c>
      <c r="E4511" t="s">
        <v>582</v>
      </c>
    </row>
    <row r="4512" spans="2:5" x14ac:dyDescent="0.3">
      <c r="B4512" t="s">
        <v>6986</v>
      </c>
      <c r="C4512">
        <v>538610</v>
      </c>
      <c r="D4512" t="s">
        <v>496</v>
      </c>
      <c r="E4512" t="s">
        <v>819</v>
      </c>
    </row>
    <row r="4513" spans="2:5" x14ac:dyDescent="0.3">
      <c r="B4513" t="s">
        <v>6987</v>
      </c>
      <c r="C4513">
        <v>532035</v>
      </c>
      <c r="D4513" t="s">
        <v>496</v>
      </c>
      <c r="E4513" t="s">
        <v>513</v>
      </c>
    </row>
    <row r="4514" spans="2:5" x14ac:dyDescent="0.3">
      <c r="B4514" t="s">
        <v>6988</v>
      </c>
      <c r="C4514">
        <v>531831</v>
      </c>
      <c r="D4514" t="s">
        <v>496</v>
      </c>
      <c r="E4514" t="s">
        <v>554</v>
      </c>
    </row>
    <row r="4515" spans="2:5" x14ac:dyDescent="0.3">
      <c r="B4515" t="s">
        <v>6989</v>
      </c>
      <c r="C4515">
        <v>531867</v>
      </c>
      <c r="D4515" t="s">
        <v>496</v>
      </c>
      <c r="E4515" t="s">
        <v>518</v>
      </c>
    </row>
    <row r="4516" spans="2:5" x14ac:dyDescent="0.3">
      <c r="B4516" t="s">
        <v>6990</v>
      </c>
      <c r="C4516">
        <v>507878</v>
      </c>
      <c r="D4516" t="s">
        <v>6991</v>
      </c>
      <c r="E4516" t="s">
        <v>582</v>
      </c>
    </row>
    <row r="4517" spans="2:5" x14ac:dyDescent="0.3">
      <c r="B4517" t="s">
        <v>6992</v>
      </c>
      <c r="C4517">
        <v>533171</v>
      </c>
      <c r="D4517" t="s">
        <v>6993</v>
      </c>
      <c r="E4517" t="s">
        <v>814</v>
      </c>
    </row>
    <row r="4518" spans="2:5" x14ac:dyDescent="0.3">
      <c r="B4518" t="s">
        <v>6994</v>
      </c>
      <c r="C4518">
        <v>532478</v>
      </c>
      <c r="D4518" t="s">
        <v>6995</v>
      </c>
      <c r="E4518" t="s">
        <v>1128</v>
      </c>
    </row>
    <row r="4519" spans="2:5" x14ac:dyDescent="0.3">
      <c r="B4519" t="s">
        <v>6996</v>
      </c>
      <c r="C4519">
        <v>531091</v>
      </c>
      <c r="D4519" t="s">
        <v>496</v>
      </c>
      <c r="E4519" t="s">
        <v>513</v>
      </c>
    </row>
    <row r="4520" spans="2:5" x14ac:dyDescent="0.3">
      <c r="B4520" t="s">
        <v>6997</v>
      </c>
      <c r="C4520">
        <v>522014</v>
      </c>
      <c r="D4520" t="s">
        <v>496</v>
      </c>
      <c r="E4520" t="s">
        <v>681</v>
      </c>
    </row>
    <row r="4521" spans="2:5" x14ac:dyDescent="0.3">
      <c r="B4521" t="s">
        <v>6998</v>
      </c>
      <c r="C4521">
        <v>502893</v>
      </c>
      <c r="D4521" t="s">
        <v>496</v>
      </c>
      <c r="E4521" t="s">
        <v>502</v>
      </c>
    </row>
    <row r="4522" spans="2:5" x14ac:dyDescent="0.3">
      <c r="B4522" t="s">
        <v>6999</v>
      </c>
      <c r="C4522">
        <v>507808</v>
      </c>
      <c r="D4522" t="s">
        <v>496</v>
      </c>
      <c r="E4522" t="s">
        <v>513</v>
      </c>
    </row>
    <row r="4523" spans="2:5" x14ac:dyDescent="0.3">
      <c r="B4523" t="s">
        <v>7000</v>
      </c>
      <c r="C4523" t="s">
        <v>496</v>
      </c>
      <c r="D4523" t="s">
        <v>7001</v>
      </c>
      <c r="E4523" t="s">
        <v>507</v>
      </c>
    </row>
    <row r="4524" spans="2:5" x14ac:dyDescent="0.3">
      <c r="B4524" t="s">
        <v>7002</v>
      </c>
      <c r="C4524">
        <v>532432</v>
      </c>
      <c r="D4524" t="s">
        <v>7003</v>
      </c>
      <c r="E4524" t="s">
        <v>1128</v>
      </c>
    </row>
    <row r="4525" spans="2:5" x14ac:dyDescent="0.3">
      <c r="B4525" t="s">
        <v>7004</v>
      </c>
      <c r="C4525">
        <v>521188</v>
      </c>
      <c r="D4525" t="s">
        <v>496</v>
      </c>
      <c r="E4525" t="s">
        <v>511</v>
      </c>
    </row>
    <row r="4526" spans="2:5" x14ac:dyDescent="0.3">
      <c r="B4526" t="s">
        <v>7005</v>
      </c>
      <c r="C4526">
        <v>522091</v>
      </c>
      <c r="D4526" t="s">
        <v>496</v>
      </c>
      <c r="E4526" t="s">
        <v>539</v>
      </c>
    </row>
    <row r="4527" spans="2:5" x14ac:dyDescent="0.3">
      <c r="B4527" t="s">
        <v>7006</v>
      </c>
      <c r="C4527">
        <v>532746</v>
      </c>
      <c r="D4527" t="s">
        <v>7007</v>
      </c>
      <c r="E4527" t="s">
        <v>894</v>
      </c>
    </row>
    <row r="4528" spans="2:5" x14ac:dyDescent="0.3">
      <c r="B4528" t="s">
        <v>7008</v>
      </c>
      <c r="C4528" t="s">
        <v>496</v>
      </c>
      <c r="D4528" t="s">
        <v>7009</v>
      </c>
      <c r="E4528" t="s">
        <v>507</v>
      </c>
    </row>
    <row r="4529" spans="2:5" x14ac:dyDescent="0.3">
      <c r="B4529" t="s">
        <v>7010</v>
      </c>
      <c r="C4529" t="s">
        <v>496</v>
      </c>
      <c r="D4529" t="s">
        <v>7009</v>
      </c>
      <c r="E4529" t="s">
        <v>507</v>
      </c>
    </row>
    <row r="4530" spans="2:5" x14ac:dyDescent="0.3">
      <c r="B4530" t="s">
        <v>7011</v>
      </c>
      <c r="C4530">
        <v>532378</v>
      </c>
      <c r="D4530" t="s">
        <v>496</v>
      </c>
      <c r="E4530" t="s">
        <v>499</v>
      </c>
    </row>
    <row r="4531" spans="2:5" x14ac:dyDescent="0.3">
      <c r="B4531" t="s">
        <v>7012</v>
      </c>
      <c r="C4531">
        <v>539314</v>
      </c>
      <c r="D4531" t="s">
        <v>496</v>
      </c>
      <c r="E4531" t="s">
        <v>851</v>
      </c>
    </row>
    <row r="4532" spans="2:5" x14ac:dyDescent="0.3">
      <c r="B4532" t="s">
        <v>7013</v>
      </c>
      <c r="C4532">
        <v>504212</v>
      </c>
      <c r="D4532" t="s">
        <v>7014</v>
      </c>
      <c r="E4532" t="s">
        <v>794</v>
      </c>
    </row>
    <row r="4533" spans="2:5" x14ac:dyDescent="0.3">
      <c r="B4533" t="s">
        <v>7015</v>
      </c>
      <c r="C4533">
        <v>531963</v>
      </c>
      <c r="D4533" t="s">
        <v>496</v>
      </c>
      <c r="E4533" t="s">
        <v>917</v>
      </c>
    </row>
    <row r="4534" spans="2:5" x14ac:dyDescent="0.3">
      <c r="B4534" t="s">
        <v>7016</v>
      </c>
      <c r="C4534">
        <v>523519</v>
      </c>
      <c r="D4534" t="s">
        <v>496</v>
      </c>
      <c r="E4534" t="s">
        <v>518</v>
      </c>
    </row>
    <row r="4535" spans="2:5" x14ac:dyDescent="0.3">
      <c r="B4535" t="s">
        <v>7017</v>
      </c>
      <c r="C4535">
        <v>504673</v>
      </c>
      <c r="D4535" t="s">
        <v>496</v>
      </c>
      <c r="E4535" t="s">
        <v>801</v>
      </c>
    </row>
    <row r="4536" spans="2:5" x14ac:dyDescent="0.3">
      <c r="B4536" t="s">
        <v>7018</v>
      </c>
      <c r="C4536">
        <v>524408</v>
      </c>
      <c r="D4536" t="s">
        <v>496</v>
      </c>
      <c r="E4536" t="s">
        <v>544</v>
      </c>
    </row>
    <row r="4537" spans="2:5" x14ac:dyDescent="0.3">
      <c r="B4537" t="s">
        <v>7019</v>
      </c>
      <c r="C4537">
        <v>514144</v>
      </c>
      <c r="D4537" t="s">
        <v>496</v>
      </c>
      <c r="E4537" t="s">
        <v>511</v>
      </c>
    </row>
    <row r="4538" spans="2:5" x14ac:dyDescent="0.3">
      <c r="B4538" t="s">
        <v>7020</v>
      </c>
      <c r="C4538">
        <v>512408</v>
      </c>
      <c r="D4538" t="s">
        <v>496</v>
      </c>
      <c r="E4538" t="s">
        <v>511</v>
      </c>
    </row>
    <row r="4539" spans="2:5" x14ac:dyDescent="0.3">
      <c r="B4539" t="s">
        <v>7021</v>
      </c>
      <c r="C4539">
        <v>531762</v>
      </c>
      <c r="D4539" t="s">
        <v>496</v>
      </c>
      <c r="E4539" t="s">
        <v>534</v>
      </c>
    </row>
    <row r="4540" spans="2:5" x14ac:dyDescent="0.3">
      <c r="B4540" t="s">
        <v>7022</v>
      </c>
      <c r="C4540">
        <v>511764</v>
      </c>
      <c r="D4540" t="s">
        <v>496</v>
      </c>
      <c r="E4540" t="s">
        <v>513</v>
      </c>
    </row>
    <row r="4541" spans="2:5" x14ac:dyDescent="0.3">
      <c r="B4541" t="s">
        <v>7023</v>
      </c>
      <c r="C4541">
        <v>512070</v>
      </c>
      <c r="D4541" t="s">
        <v>7024</v>
      </c>
      <c r="E4541" t="s">
        <v>640</v>
      </c>
    </row>
    <row r="4542" spans="2:5" x14ac:dyDescent="0.3">
      <c r="B4542" t="s">
        <v>7025</v>
      </c>
      <c r="C4542">
        <v>531390</v>
      </c>
      <c r="D4542" t="s">
        <v>496</v>
      </c>
      <c r="E4542" t="s">
        <v>513</v>
      </c>
    </row>
    <row r="4543" spans="2:5" x14ac:dyDescent="0.3">
      <c r="B4543" t="s">
        <v>7026</v>
      </c>
      <c r="C4543" t="s">
        <v>496</v>
      </c>
      <c r="D4543" t="s">
        <v>7027</v>
      </c>
      <c r="E4543" t="s">
        <v>507</v>
      </c>
    </row>
    <row r="4544" spans="2:5" x14ac:dyDescent="0.3">
      <c r="B4544" t="s">
        <v>7028</v>
      </c>
      <c r="C4544">
        <v>526987</v>
      </c>
      <c r="D4544" t="s">
        <v>7029</v>
      </c>
      <c r="E4544" t="s">
        <v>518</v>
      </c>
    </row>
    <row r="4545" spans="2:5" x14ac:dyDescent="0.3">
      <c r="B4545" t="s">
        <v>7030</v>
      </c>
      <c r="C4545">
        <v>532402</v>
      </c>
      <c r="D4545" t="s">
        <v>496</v>
      </c>
      <c r="E4545" t="s">
        <v>589</v>
      </c>
    </row>
    <row r="4546" spans="2:5" x14ac:dyDescent="0.3">
      <c r="B4546" t="s">
        <v>7031</v>
      </c>
      <c r="C4546">
        <v>532398</v>
      </c>
      <c r="D4546" t="s">
        <v>7032</v>
      </c>
      <c r="E4546" t="s">
        <v>589</v>
      </c>
    </row>
    <row r="4547" spans="2:5" x14ac:dyDescent="0.3">
      <c r="B4547" t="s">
        <v>7033</v>
      </c>
      <c r="C4547">
        <v>517146</v>
      </c>
      <c r="D4547" t="s">
        <v>7034</v>
      </c>
      <c r="E4547" t="s">
        <v>819</v>
      </c>
    </row>
    <row r="4548" spans="2:5" x14ac:dyDescent="0.3">
      <c r="B4548" t="s">
        <v>7035</v>
      </c>
      <c r="C4548">
        <v>511507</v>
      </c>
      <c r="D4548" t="s">
        <v>496</v>
      </c>
      <c r="E4548" t="s">
        <v>513</v>
      </c>
    </row>
    <row r="4549" spans="2:5" x14ac:dyDescent="0.3">
      <c r="B4549" t="s">
        <v>7036</v>
      </c>
      <c r="C4549" t="s">
        <v>496</v>
      </c>
      <c r="D4549" t="s">
        <v>7037</v>
      </c>
      <c r="E4549" t="s">
        <v>507</v>
      </c>
    </row>
    <row r="4550" spans="2:5" x14ac:dyDescent="0.3">
      <c r="B4550" t="s">
        <v>7038</v>
      </c>
      <c r="C4550">
        <v>511736</v>
      </c>
      <c r="D4550" t="s">
        <v>496</v>
      </c>
      <c r="E4550" t="s">
        <v>518</v>
      </c>
    </row>
    <row r="4551" spans="2:5" x14ac:dyDescent="0.3">
      <c r="B4551" t="s">
        <v>7039</v>
      </c>
      <c r="C4551">
        <v>532765</v>
      </c>
      <c r="D4551" t="s">
        <v>7040</v>
      </c>
      <c r="E4551" t="s">
        <v>694</v>
      </c>
    </row>
    <row r="4552" spans="2:5" x14ac:dyDescent="0.3">
      <c r="B4552" t="s">
        <v>7041</v>
      </c>
      <c r="C4552">
        <v>590101</v>
      </c>
      <c r="D4552" t="s">
        <v>7042</v>
      </c>
      <c r="E4552" t="s">
        <v>479</v>
      </c>
    </row>
    <row r="4553" spans="2:5" x14ac:dyDescent="0.3">
      <c r="B4553" t="s">
        <v>7043</v>
      </c>
      <c r="C4553">
        <v>500426</v>
      </c>
      <c r="D4553" t="s">
        <v>496</v>
      </c>
      <c r="E4553" t="s">
        <v>582</v>
      </c>
    </row>
    <row r="4554" spans="2:5" x14ac:dyDescent="0.3">
      <c r="B4554" t="s">
        <v>7044</v>
      </c>
      <c r="C4554">
        <v>513216</v>
      </c>
      <c r="D4554" t="s">
        <v>7045</v>
      </c>
      <c r="E4554" t="s">
        <v>528</v>
      </c>
    </row>
    <row r="4555" spans="2:5" x14ac:dyDescent="0.3">
      <c r="B4555" t="s">
        <v>7046</v>
      </c>
      <c r="C4555">
        <v>532729</v>
      </c>
      <c r="D4555" t="s">
        <v>7047</v>
      </c>
      <c r="E4555" t="s">
        <v>1195</v>
      </c>
    </row>
    <row r="4556" spans="2:5" x14ac:dyDescent="0.3">
      <c r="B4556" t="s">
        <v>7048</v>
      </c>
      <c r="C4556">
        <v>500254</v>
      </c>
      <c r="D4556" t="s">
        <v>7049</v>
      </c>
      <c r="E4556" t="s">
        <v>528</v>
      </c>
    </row>
    <row r="4557" spans="2:5" x14ac:dyDescent="0.3">
      <c r="B4557" t="s">
        <v>7050</v>
      </c>
      <c r="C4557">
        <v>511110</v>
      </c>
      <c r="D4557" t="s">
        <v>496</v>
      </c>
      <c r="E4557" t="s">
        <v>479</v>
      </c>
    </row>
    <row r="4558" spans="2:5" x14ac:dyDescent="0.3">
      <c r="B4558" t="s">
        <v>7051</v>
      </c>
      <c r="C4558">
        <v>539123</v>
      </c>
      <c r="D4558" t="s">
        <v>496</v>
      </c>
      <c r="E4558" t="s">
        <v>516</v>
      </c>
    </row>
    <row r="4559" spans="2:5" x14ac:dyDescent="0.3">
      <c r="B4559" t="s">
        <v>7052</v>
      </c>
      <c r="C4559">
        <v>542654</v>
      </c>
      <c r="D4559" t="s">
        <v>7053</v>
      </c>
      <c r="E4559" t="s">
        <v>497</v>
      </c>
    </row>
    <row r="4560" spans="2:5" x14ac:dyDescent="0.3">
      <c r="B4560" t="s">
        <v>7054</v>
      </c>
      <c r="C4560">
        <v>523888</v>
      </c>
      <c r="D4560" t="s">
        <v>496</v>
      </c>
      <c r="E4560" t="s">
        <v>976</v>
      </c>
    </row>
    <row r="4561" spans="2:5" x14ac:dyDescent="0.3">
      <c r="B4561" t="s">
        <v>7055</v>
      </c>
      <c r="C4561">
        <v>531266</v>
      </c>
      <c r="D4561" t="s">
        <v>7056</v>
      </c>
      <c r="E4561" t="s">
        <v>574</v>
      </c>
    </row>
    <row r="4562" spans="2:5" x14ac:dyDescent="0.3">
      <c r="B4562" t="s">
        <v>7057</v>
      </c>
      <c r="C4562">
        <v>532867</v>
      </c>
      <c r="D4562" t="s">
        <v>7058</v>
      </c>
      <c r="E4562" t="s">
        <v>665</v>
      </c>
    </row>
    <row r="4563" spans="2:5" x14ac:dyDescent="0.3">
      <c r="B4563" t="s">
        <v>7059</v>
      </c>
      <c r="C4563">
        <v>533269</v>
      </c>
      <c r="D4563" t="s">
        <v>7060</v>
      </c>
      <c r="E4563" t="s">
        <v>521</v>
      </c>
    </row>
    <row r="4564" spans="2:5" x14ac:dyDescent="0.3">
      <c r="B4564" t="s">
        <v>7061</v>
      </c>
      <c r="C4564">
        <v>532320</v>
      </c>
      <c r="D4564" t="s">
        <v>496</v>
      </c>
      <c r="E4564" t="s">
        <v>513</v>
      </c>
    </row>
    <row r="4565" spans="2:5" x14ac:dyDescent="0.3">
      <c r="B4565" t="s">
        <v>7062</v>
      </c>
      <c r="C4565">
        <v>519152</v>
      </c>
      <c r="D4565" t="s">
        <v>496</v>
      </c>
      <c r="E4565" t="s">
        <v>518</v>
      </c>
    </row>
    <row r="4566" spans="2:5" x14ac:dyDescent="0.3">
      <c r="B4566" t="s">
        <v>7063</v>
      </c>
      <c r="C4566">
        <v>519156</v>
      </c>
      <c r="D4566" t="s">
        <v>7064</v>
      </c>
      <c r="E4566" t="s">
        <v>556</v>
      </c>
    </row>
    <row r="4567" spans="2:5" x14ac:dyDescent="0.3">
      <c r="B4567" t="s">
        <v>7065</v>
      </c>
      <c r="C4567" t="s">
        <v>496</v>
      </c>
      <c r="D4567" t="s">
        <v>7066</v>
      </c>
      <c r="E4567" t="s">
        <v>507</v>
      </c>
    </row>
    <row r="4568" spans="2:5" x14ac:dyDescent="0.3">
      <c r="B4568" t="s">
        <v>7067</v>
      </c>
      <c r="C4568">
        <v>531676</v>
      </c>
      <c r="D4568" t="s">
        <v>496</v>
      </c>
      <c r="E4568" t="s">
        <v>556</v>
      </c>
    </row>
    <row r="4569" spans="2:5" x14ac:dyDescent="0.3">
      <c r="B4569" t="s">
        <v>7068</v>
      </c>
      <c r="C4569">
        <v>532156</v>
      </c>
      <c r="D4569" t="s">
        <v>7069</v>
      </c>
      <c r="E4569" t="s">
        <v>610</v>
      </c>
    </row>
    <row r="4570" spans="2:5" x14ac:dyDescent="0.3">
      <c r="B4570" t="s">
        <v>7070</v>
      </c>
      <c r="C4570" t="s">
        <v>496</v>
      </c>
      <c r="D4570" t="s">
        <v>7071</v>
      </c>
      <c r="E4570" t="s">
        <v>507</v>
      </c>
    </row>
    <row r="4571" spans="2:5" x14ac:dyDescent="0.3">
      <c r="B4571" t="s">
        <v>7072</v>
      </c>
      <c r="C4571">
        <v>511431</v>
      </c>
      <c r="D4571" t="s">
        <v>7073</v>
      </c>
      <c r="E4571" t="s">
        <v>497</v>
      </c>
    </row>
    <row r="4572" spans="2:5" x14ac:dyDescent="0.3">
      <c r="B4572" t="s">
        <v>7074</v>
      </c>
      <c r="C4572">
        <v>539402</v>
      </c>
      <c r="D4572" t="s">
        <v>496</v>
      </c>
      <c r="E4572" t="s">
        <v>694</v>
      </c>
    </row>
    <row r="4573" spans="2:5" x14ac:dyDescent="0.3">
      <c r="B4573" t="s">
        <v>7075</v>
      </c>
      <c r="C4573">
        <v>526775</v>
      </c>
      <c r="D4573" t="s">
        <v>496</v>
      </c>
      <c r="E4573" t="s">
        <v>642</v>
      </c>
    </row>
    <row r="4574" spans="2:5" x14ac:dyDescent="0.3">
      <c r="B4574" t="s">
        <v>7076</v>
      </c>
      <c r="C4574">
        <v>540145</v>
      </c>
      <c r="D4574" t="s">
        <v>496</v>
      </c>
      <c r="E4574" t="s">
        <v>534</v>
      </c>
    </row>
    <row r="4575" spans="2:5" x14ac:dyDescent="0.3">
      <c r="B4575" t="s">
        <v>7077</v>
      </c>
      <c r="C4575">
        <v>530403</v>
      </c>
      <c r="D4575" t="s">
        <v>496</v>
      </c>
      <c r="E4575" t="s">
        <v>691</v>
      </c>
    </row>
    <row r="4576" spans="2:5" x14ac:dyDescent="0.3">
      <c r="B4576" t="s">
        <v>7078</v>
      </c>
      <c r="C4576">
        <v>513397</v>
      </c>
      <c r="D4576" t="s">
        <v>496</v>
      </c>
      <c r="E4576" t="s">
        <v>819</v>
      </c>
    </row>
    <row r="4577" spans="2:5" x14ac:dyDescent="0.3">
      <c r="B4577" t="s">
        <v>7079</v>
      </c>
      <c r="C4577">
        <v>539543</v>
      </c>
      <c r="D4577" t="s">
        <v>496</v>
      </c>
      <c r="E4577" t="s">
        <v>516</v>
      </c>
    </row>
    <row r="4578" spans="2:5" x14ac:dyDescent="0.3">
      <c r="B4578" t="s">
        <v>7080</v>
      </c>
      <c r="C4578">
        <v>530459</v>
      </c>
      <c r="D4578" t="s">
        <v>496</v>
      </c>
      <c r="E4578" t="s">
        <v>511</v>
      </c>
    </row>
    <row r="4579" spans="2:5" x14ac:dyDescent="0.3">
      <c r="B4579" t="s">
        <v>7081</v>
      </c>
      <c r="C4579">
        <v>512175</v>
      </c>
      <c r="D4579" t="s">
        <v>496</v>
      </c>
      <c r="E4579" t="s">
        <v>482</v>
      </c>
    </row>
    <row r="4580" spans="2:5" x14ac:dyDescent="0.3">
      <c r="B4580" t="s">
        <v>7082</v>
      </c>
      <c r="C4580">
        <v>530369</v>
      </c>
      <c r="D4580" t="s">
        <v>496</v>
      </c>
      <c r="E4580" t="s">
        <v>976</v>
      </c>
    </row>
    <row r="4581" spans="2:5" x14ac:dyDescent="0.3">
      <c r="B4581" t="s">
        <v>7083</v>
      </c>
      <c r="C4581">
        <v>532090</v>
      </c>
      <c r="D4581" t="s">
        <v>496</v>
      </c>
      <c r="E4581" t="s">
        <v>511</v>
      </c>
    </row>
    <row r="4582" spans="2:5" x14ac:dyDescent="0.3">
      <c r="B4582" t="s">
        <v>7084</v>
      </c>
      <c r="C4582">
        <v>538918</v>
      </c>
      <c r="D4582" t="s">
        <v>496</v>
      </c>
      <c r="E4582" t="s">
        <v>513</v>
      </c>
    </row>
    <row r="4583" spans="2:5" x14ac:dyDescent="0.3">
      <c r="B4583" t="s">
        <v>7085</v>
      </c>
      <c r="C4583">
        <v>540729</v>
      </c>
      <c r="D4583" t="s">
        <v>496</v>
      </c>
      <c r="E4583" t="s">
        <v>534</v>
      </c>
    </row>
    <row r="4584" spans="2:5" x14ac:dyDescent="0.3">
      <c r="B4584" t="s">
        <v>7086</v>
      </c>
      <c r="C4584">
        <v>539761</v>
      </c>
      <c r="D4584" t="s">
        <v>496</v>
      </c>
      <c r="E4584" t="s">
        <v>601</v>
      </c>
    </row>
    <row r="4585" spans="2:5" x14ac:dyDescent="0.3">
      <c r="B4585" t="s">
        <v>7087</v>
      </c>
      <c r="C4585">
        <v>502589</v>
      </c>
      <c r="D4585" t="s">
        <v>496</v>
      </c>
      <c r="E4585" t="s">
        <v>490</v>
      </c>
    </row>
    <row r="4586" spans="2:5" x14ac:dyDescent="0.3">
      <c r="B4586" t="s">
        <v>7088</v>
      </c>
      <c r="C4586">
        <v>524796</v>
      </c>
      <c r="D4586" t="s">
        <v>496</v>
      </c>
      <c r="E4586" t="s">
        <v>534</v>
      </c>
    </row>
    <row r="4587" spans="2:5" x14ac:dyDescent="0.3">
      <c r="B4587" t="s">
        <v>7089</v>
      </c>
      <c r="C4587" t="s">
        <v>496</v>
      </c>
      <c r="D4587" t="s">
        <v>7090</v>
      </c>
      <c r="E4587" t="s">
        <v>587</v>
      </c>
    </row>
    <row r="4588" spans="2:5" x14ac:dyDescent="0.3">
      <c r="B4588" t="s">
        <v>7091</v>
      </c>
      <c r="C4588">
        <v>531444</v>
      </c>
      <c r="D4588" t="s">
        <v>496</v>
      </c>
      <c r="E4588" t="s">
        <v>509</v>
      </c>
    </row>
    <row r="4589" spans="2:5" x14ac:dyDescent="0.3">
      <c r="B4589" t="s">
        <v>7092</v>
      </c>
      <c r="C4589">
        <v>500439</v>
      </c>
      <c r="D4589" t="s">
        <v>7093</v>
      </c>
      <c r="E4589" t="s">
        <v>513</v>
      </c>
    </row>
    <row r="4590" spans="2:5" x14ac:dyDescent="0.3">
      <c r="B4590" t="s">
        <v>7094</v>
      </c>
      <c r="C4590">
        <v>513534</v>
      </c>
      <c r="D4590" t="s">
        <v>496</v>
      </c>
      <c r="E4590" t="s">
        <v>528</v>
      </c>
    </row>
    <row r="4591" spans="2:5" x14ac:dyDescent="0.3">
      <c r="B4591" t="s">
        <v>7095</v>
      </c>
      <c r="C4591">
        <v>514175</v>
      </c>
      <c r="D4591" t="s">
        <v>7096</v>
      </c>
      <c r="E4591" t="s">
        <v>511</v>
      </c>
    </row>
    <row r="4592" spans="2:5" x14ac:dyDescent="0.3">
      <c r="B4592" t="s">
        <v>7097</v>
      </c>
      <c r="C4592">
        <v>534392</v>
      </c>
      <c r="D4592" t="s">
        <v>7098</v>
      </c>
      <c r="E4592" t="s">
        <v>819</v>
      </c>
    </row>
    <row r="4593" spans="2:5" x14ac:dyDescent="0.3">
      <c r="B4593" t="s">
        <v>7099</v>
      </c>
      <c r="C4593">
        <v>502986</v>
      </c>
      <c r="D4593" t="s">
        <v>7100</v>
      </c>
      <c r="E4593" t="s">
        <v>511</v>
      </c>
    </row>
    <row r="4594" spans="2:5" x14ac:dyDescent="0.3">
      <c r="B4594" t="s">
        <v>7101</v>
      </c>
      <c r="C4594">
        <v>541578</v>
      </c>
      <c r="D4594" t="s">
        <v>7102</v>
      </c>
      <c r="E4594" t="s">
        <v>851</v>
      </c>
    </row>
    <row r="4595" spans="2:5" x14ac:dyDescent="0.3">
      <c r="B4595" t="s">
        <v>7103</v>
      </c>
      <c r="C4595">
        <v>540180</v>
      </c>
      <c r="D4595" t="s">
        <v>7104</v>
      </c>
      <c r="E4595" t="s">
        <v>691</v>
      </c>
    </row>
    <row r="4596" spans="2:5" x14ac:dyDescent="0.3">
      <c r="B4596" t="s">
        <v>7105</v>
      </c>
      <c r="C4596">
        <v>512511</v>
      </c>
      <c r="D4596" t="s">
        <v>496</v>
      </c>
      <c r="E4596" t="s">
        <v>917</v>
      </c>
    </row>
    <row r="4597" spans="2:5" x14ac:dyDescent="0.3">
      <c r="B4597" t="s">
        <v>7106</v>
      </c>
      <c r="C4597">
        <v>531574</v>
      </c>
      <c r="D4597" t="s">
        <v>496</v>
      </c>
      <c r="E4597" t="s">
        <v>582</v>
      </c>
    </row>
    <row r="4598" spans="2:5" x14ac:dyDescent="0.3">
      <c r="B4598" t="s">
        <v>7107</v>
      </c>
      <c r="C4598" t="s">
        <v>496</v>
      </c>
      <c r="D4598" t="s">
        <v>7108</v>
      </c>
      <c r="E4598" t="s">
        <v>507</v>
      </c>
    </row>
    <row r="4599" spans="2:5" x14ac:dyDescent="0.3">
      <c r="B4599" t="s">
        <v>7109</v>
      </c>
      <c r="C4599">
        <v>533156</v>
      </c>
      <c r="D4599" t="s">
        <v>7110</v>
      </c>
      <c r="E4599" t="s">
        <v>582</v>
      </c>
    </row>
    <row r="4600" spans="2:5" x14ac:dyDescent="0.3">
      <c r="B4600" t="s">
        <v>7111</v>
      </c>
      <c r="C4600">
        <v>538634</v>
      </c>
      <c r="D4600" t="s">
        <v>496</v>
      </c>
      <c r="E4600" t="s">
        <v>534</v>
      </c>
    </row>
    <row r="4601" spans="2:5" x14ac:dyDescent="0.3">
      <c r="B4601" t="s">
        <v>7112</v>
      </c>
      <c r="C4601">
        <v>533576</v>
      </c>
      <c r="D4601" t="s">
        <v>7113</v>
      </c>
      <c r="E4601" t="s">
        <v>528</v>
      </c>
    </row>
    <row r="4602" spans="2:5" x14ac:dyDescent="0.3">
      <c r="B4602" t="s">
        <v>7114</v>
      </c>
      <c r="C4602">
        <v>531650</v>
      </c>
      <c r="D4602" t="s">
        <v>496</v>
      </c>
      <c r="E4602" t="s">
        <v>917</v>
      </c>
    </row>
    <row r="4603" spans="2:5" x14ac:dyDescent="0.3">
      <c r="B4603" t="s">
        <v>7115</v>
      </c>
      <c r="C4603">
        <v>513005</v>
      </c>
      <c r="D4603" t="s">
        <v>496</v>
      </c>
      <c r="E4603" t="s">
        <v>528</v>
      </c>
    </row>
    <row r="4604" spans="2:5" x14ac:dyDescent="0.3">
      <c r="B4604" t="s">
        <v>7116</v>
      </c>
      <c r="C4604">
        <v>511493</v>
      </c>
      <c r="D4604" t="s">
        <v>496</v>
      </c>
      <c r="E4604" t="s">
        <v>513</v>
      </c>
    </row>
    <row r="4605" spans="2:5" x14ac:dyDescent="0.3">
      <c r="B4605" t="s">
        <v>7117</v>
      </c>
      <c r="C4605">
        <v>536672</v>
      </c>
      <c r="D4605" t="s">
        <v>496</v>
      </c>
      <c r="E4605" t="s">
        <v>2123</v>
      </c>
    </row>
    <row r="4606" spans="2:5" x14ac:dyDescent="0.3">
      <c r="B4606" t="s">
        <v>7118</v>
      </c>
      <c r="C4606">
        <v>500295</v>
      </c>
      <c r="D4606" t="s">
        <v>7119</v>
      </c>
      <c r="E4606" t="s">
        <v>3012</v>
      </c>
    </row>
    <row r="4607" spans="2:5" x14ac:dyDescent="0.3">
      <c r="B4607" t="s">
        <v>7120</v>
      </c>
      <c r="C4607">
        <v>533056</v>
      </c>
      <c r="D4607" t="s">
        <v>496</v>
      </c>
      <c r="E4607" t="s">
        <v>502</v>
      </c>
    </row>
    <row r="4608" spans="2:5" x14ac:dyDescent="0.3">
      <c r="B4608" t="s">
        <v>7121</v>
      </c>
      <c r="C4608">
        <v>522267</v>
      </c>
      <c r="D4608" t="s">
        <v>496</v>
      </c>
      <c r="E4608" t="s">
        <v>504</v>
      </c>
    </row>
    <row r="4609" spans="2:5" x14ac:dyDescent="0.3">
      <c r="B4609" t="s">
        <v>7122</v>
      </c>
      <c r="C4609">
        <v>503657</v>
      </c>
      <c r="D4609" t="s">
        <v>496</v>
      </c>
      <c r="E4609" t="s">
        <v>635</v>
      </c>
    </row>
    <row r="4610" spans="2:5" x14ac:dyDescent="0.3">
      <c r="B4610" t="s">
        <v>7123</v>
      </c>
      <c r="C4610">
        <v>542046</v>
      </c>
      <c r="D4610" t="s">
        <v>496</v>
      </c>
      <c r="E4610" t="s">
        <v>582</v>
      </c>
    </row>
    <row r="4611" spans="2:5" x14ac:dyDescent="0.3">
      <c r="B4611" t="s">
        <v>7124</v>
      </c>
      <c r="C4611">
        <v>540252</v>
      </c>
      <c r="D4611" t="s">
        <v>496</v>
      </c>
      <c r="E4611" t="s">
        <v>610</v>
      </c>
    </row>
    <row r="4612" spans="2:5" x14ac:dyDescent="0.3">
      <c r="B4612" t="s">
        <v>7125</v>
      </c>
      <c r="C4612">
        <v>511523</v>
      </c>
      <c r="D4612" t="s">
        <v>496</v>
      </c>
      <c r="E4612" t="s">
        <v>534</v>
      </c>
    </row>
    <row r="4613" spans="2:5" x14ac:dyDescent="0.3">
      <c r="B4613" t="s">
        <v>7126</v>
      </c>
      <c r="C4613">
        <v>539132</v>
      </c>
      <c r="D4613" t="s">
        <v>496</v>
      </c>
      <c r="E4613" t="s">
        <v>745</v>
      </c>
    </row>
    <row r="4614" spans="2:5" x14ac:dyDescent="0.3">
      <c r="B4614" t="s">
        <v>7127</v>
      </c>
      <c r="C4614">
        <v>526755</v>
      </c>
      <c r="D4614" t="s">
        <v>496</v>
      </c>
      <c r="E4614" t="s">
        <v>697</v>
      </c>
    </row>
    <row r="4615" spans="2:5" x14ac:dyDescent="0.3">
      <c r="B4615" t="s">
        <v>7128</v>
      </c>
      <c r="C4615">
        <v>505232</v>
      </c>
      <c r="D4615" t="s">
        <v>496</v>
      </c>
      <c r="E4615" t="s">
        <v>851</v>
      </c>
    </row>
    <row r="4616" spans="2:5" x14ac:dyDescent="0.3">
      <c r="B4616" t="s">
        <v>7129</v>
      </c>
      <c r="C4616">
        <v>523261</v>
      </c>
      <c r="D4616" t="s">
        <v>7130</v>
      </c>
      <c r="E4616" t="s">
        <v>556</v>
      </c>
    </row>
    <row r="4617" spans="2:5" x14ac:dyDescent="0.3">
      <c r="B4617" t="s">
        <v>7131</v>
      </c>
      <c r="C4617">
        <v>523261</v>
      </c>
      <c r="D4617" t="s">
        <v>7130</v>
      </c>
      <c r="E4617" t="s">
        <v>556</v>
      </c>
    </row>
    <row r="4618" spans="2:5" x14ac:dyDescent="0.3">
      <c r="B4618" t="s">
        <v>7132</v>
      </c>
      <c r="C4618">
        <v>524038</v>
      </c>
      <c r="D4618" t="s">
        <v>496</v>
      </c>
      <c r="E4618" t="s">
        <v>544</v>
      </c>
    </row>
    <row r="4619" spans="2:5" x14ac:dyDescent="0.3">
      <c r="B4619" t="s">
        <v>7133</v>
      </c>
      <c r="C4619">
        <v>512060</v>
      </c>
      <c r="D4619" t="s">
        <v>7134</v>
      </c>
      <c r="E4619" t="s">
        <v>917</v>
      </c>
    </row>
    <row r="4620" spans="2:5" x14ac:dyDescent="0.3">
      <c r="B4620" t="s">
        <v>7135</v>
      </c>
      <c r="C4620">
        <v>516098</v>
      </c>
      <c r="D4620" t="s">
        <v>496</v>
      </c>
      <c r="E4620" t="s">
        <v>511</v>
      </c>
    </row>
    <row r="4621" spans="2:5" x14ac:dyDescent="0.3">
      <c r="B4621" t="s">
        <v>7136</v>
      </c>
      <c r="C4621">
        <v>526953</v>
      </c>
      <c r="D4621" t="s">
        <v>7137</v>
      </c>
      <c r="E4621" t="s">
        <v>534</v>
      </c>
    </row>
    <row r="4622" spans="2:5" x14ac:dyDescent="0.3">
      <c r="B4622" t="s">
        <v>7138</v>
      </c>
      <c r="C4622" t="s">
        <v>496</v>
      </c>
      <c r="D4622" t="s">
        <v>7139</v>
      </c>
      <c r="E4622" t="s">
        <v>507</v>
      </c>
    </row>
    <row r="4623" spans="2:5" x14ac:dyDescent="0.3">
      <c r="B4623" t="s">
        <v>7140</v>
      </c>
      <c r="C4623">
        <v>512229</v>
      </c>
      <c r="D4623" t="s">
        <v>496</v>
      </c>
      <c r="E4623" t="s">
        <v>518</v>
      </c>
    </row>
    <row r="4624" spans="2:5" x14ac:dyDescent="0.3">
      <c r="B4624" t="s">
        <v>7141</v>
      </c>
      <c r="C4624">
        <v>512229</v>
      </c>
      <c r="D4624" t="s">
        <v>496</v>
      </c>
      <c r="E4624" t="s">
        <v>518</v>
      </c>
    </row>
    <row r="4625" spans="2:5" x14ac:dyDescent="0.3">
      <c r="B4625" t="s">
        <v>7142</v>
      </c>
      <c r="C4625">
        <v>531695</v>
      </c>
      <c r="D4625" t="s">
        <v>496</v>
      </c>
      <c r="E4625" t="s">
        <v>499</v>
      </c>
    </row>
    <row r="4626" spans="2:5" x14ac:dyDescent="0.3">
      <c r="B4626" t="s">
        <v>7143</v>
      </c>
      <c r="C4626">
        <v>531950</v>
      </c>
      <c r="D4626" t="s">
        <v>496</v>
      </c>
      <c r="E4626" t="s">
        <v>479</v>
      </c>
    </row>
    <row r="4627" spans="2:5" x14ac:dyDescent="0.3">
      <c r="B4627" t="s">
        <v>7144</v>
      </c>
      <c r="C4627">
        <v>515099</v>
      </c>
      <c r="D4627" t="s">
        <v>496</v>
      </c>
      <c r="E4627" t="s">
        <v>1024</v>
      </c>
    </row>
    <row r="4628" spans="2:5" x14ac:dyDescent="0.3">
      <c r="B4628" t="s">
        <v>7145</v>
      </c>
      <c r="C4628" t="s">
        <v>496</v>
      </c>
      <c r="D4628" t="s">
        <v>7146</v>
      </c>
      <c r="E4628" t="s">
        <v>507</v>
      </c>
    </row>
    <row r="4629" spans="2:5" x14ac:dyDescent="0.3">
      <c r="B4629" t="s">
        <v>7147</v>
      </c>
      <c r="C4629">
        <v>520113</v>
      </c>
      <c r="D4629" t="s">
        <v>7148</v>
      </c>
      <c r="E4629" t="s">
        <v>681</v>
      </c>
    </row>
    <row r="4630" spans="2:5" x14ac:dyDescent="0.3">
      <c r="B4630" t="s">
        <v>7149</v>
      </c>
      <c r="C4630">
        <v>520113</v>
      </c>
      <c r="D4630" t="s">
        <v>7148</v>
      </c>
      <c r="E4630" t="s">
        <v>681</v>
      </c>
    </row>
    <row r="4631" spans="2:5" x14ac:dyDescent="0.3">
      <c r="B4631" t="s">
        <v>7150</v>
      </c>
      <c r="C4631">
        <v>539331</v>
      </c>
      <c r="D4631" t="s">
        <v>7151</v>
      </c>
      <c r="E4631" t="s">
        <v>794</v>
      </c>
    </row>
    <row r="4632" spans="2:5" x14ac:dyDescent="0.3">
      <c r="B4632" t="s">
        <v>7152</v>
      </c>
      <c r="C4632">
        <v>532953</v>
      </c>
      <c r="D4632" t="s">
        <v>7153</v>
      </c>
      <c r="E4632" t="s">
        <v>794</v>
      </c>
    </row>
    <row r="4633" spans="2:5" x14ac:dyDescent="0.3">
      <c r="B4633" t="s">
        <v>7154</v>
      </c>
      <c r="C4633">
        <v>537524</v>
      </c>
      <c r="D4633" t="s">
        <v>496</v>
      </c>
      <c r="E4633" t="s">
        <v>1542</v>
      </c>
    </row>
    <row r="4634" spans="2:5" x14ac:dyDescent="0.3">
      <c r="B4634" t="s">
        <v>7155</v>
      </c>
      <c r="C4634">
        <v>538732</v>
      </c>
      <c r="D4634" t="s">
        <v>496</v>
      </c>
      <c r="E4634" t="s">
        <v>513</v>
      </c>
    </row>
    <row r="4635" spans="2:5" x14ac:dyDescent="0.3">
      <c r="B4635" t="s">
        <v>7156</v>
      </c>
      <c r="C4635">
        <v>523796</v>
      </c>
      <c r="D4635" t="s">
        <v>7157</v>
      </c>
      <c r="E4635" t="s">
        <v>697</v>
      </c>
    </row>
    <row r="4636" spans="2:5" x14ac:dyDescent="0.3">
      <c r="B4636" t="s">
        <v>7158</v>
      </c>
      <c r="C4636">
        <v>503349</v>
      </c>
      <c r="D4636" t="s">
        <v>496</v>
      </c>
      <c r="E4636" t="s">
        <v>511</v>
      </c>
    </row>
    <row r="4637" spans="2:5" x14ac:dyDescent="0.3">
      <c r="B4637" t="s">
        <v>7159</v>
      </c>
      <c r="C4637">
        <v>531234</v>
      </c>
      <c r="D4637" t="s">
        <v>496</v>
      </c>
      <c r="E4637" t="s">
        <v>490</v>
      </c>
    </row>
    <row r="4638" spans="2:5" x14ac:dyDescent="0.3">
      <c r="B4638" t="s">
        <v>7160</v>
      </c>
      <c r="C4638">
        <v>531234</v>
      </c>
      <c r="D4638" t="s">
        <v>496</v>
      </c>
      <c r="E4638" t="s">
        <v>490</v>
      </c>
    </row>
    <row r="4639" spans="2:5" x14ac:dyDescent="0.3">
      <c r="B4639" t="s">
        <v>7161</v>
      </c>
      <c r="C4639">
        <v>511389</v>
      </c>
      <c r="D4639" t="s">
        <v>7162</v>
      </c>
      <c r="E4639" t="s">
        <v>865</v>
      </c>
    </row>
    <row r="4640" spans="2:5" x14ac:dyDescent="0.3">
      <c r="B4640" t="s">
        <v>7163</v>
      </c>
      <c r="C4640">
        <v>531717</v>
      </c>
      <c r="D4640" t="s">
        <v>7164</v>
      </c>
      <c r="E4640" t="s">
        <v>656</v>
      </c>
    </row>
    <row r="4641" spans="2:5" x14ac:dyDescent="0.3">
      <c r="B4641" t="s">
        <v>7165</v>
      </c>
      <c r="C4641">
        <v>539659</v>
      </c>
      <c r="D4641" t="s">
        <v>496</v>
      </c>
      <c r="E4641" t="s">
        <v>985</v>
      </c>
    </row>
    <row r="4642" spans="2:5" x14ac:dyDescent="0.3">
      <c r="B4642" t="s">
        <v>7166</v>
      </c>
      <c r="C4642">
        <v>523724</v>
      </c>
      <c r="D4642" t="s">
        <v>7167</v>
      </c>
      <c r="E4642" t="s">
        <v>582</v>
      </c>
    </row>
    <row r="4643" spans="2:5" x14ac:dyDescent="0.3">
      <c r="B4643" t="s">
        <v>7168</v>
      </c>
      <c r="C4643">
        <v>531069</v>
      </c>
      <c r="D4643" t="s">
        <v>496</v>
      </c>
      <c r="E4643" t="s">
        <v>745</v>
      </c>
    </row>
    <row r="4644" spans="2:5" x14ac:dyDescent="0.3">
      <c r="B4644" t="s">
        <v>7169</v>
      </c>
      <c r="C4644">
        <v>530151</v>
      </c>
      <c r="D4644" t="s">
        <v>496</v>
      </c>
      <c r="E4644" t="s">
        <v>518</v>
      </c>
    </row>
    <row r="4645" spans="2:5" x14ac:dyDescent="0.3">
      <c r="B4645" t="s">
        <v>7170</v>
      </c>
      <c r="C4645">
        <v>532401</v>
      </c>
      <c r="D4645" t="s">
        <v>7171</v>
      </c>
      <c r="E4645" t="s">
        <v>814</v>
      </c>
    </row>
    <row r="4646" spans="2:5" x14ac:dyDescent="0.3">
      <c r="B4646" t="s">
        <v>7172</v>
      </c>
      <c r="C4646">
        <v>537820</v>
      </c>
      <c r="D4646" t="s">
        <v>7173</v>
      </c>
      <c r="E4646" t="s">
        <v>513</v>
      </c>
    </row>
    <row r="4647" spans="2:5" x14ac:dyDescent="0.3">
      <c r="B4647" t="s">
        <v>7174</v>
      </c>
      <c r="C4647">
        <v>531334</v>
      </c>
      <c r="D4647" t="s">
        <v>496</v>
      </c>
      <c r="E4647" t="s">
        <v>917</v>
      </c>
    </row>
    <row r="4648" spans="2:5" x14ac:dyDescent="0.3">
      <c r="B4648" t="s">
        <v>7175</v>
      </c>
      <c r="C4648">
        <v>530961</v>
      </c>
      <c r="D4648" t="s">
        <v>7176</v>
      </c>
      <c r="E4648" t="s">
        <v>656</v>
      </c>
    </row>
    <row r="4649" spans="2:5" x14ac:dyDescent="0.3">
      <c r="B4649" t="s">
        <v>7177</v>
      </c>
      <c r="C4649">
        <v>542655</v>
      </c>
      <c r="D4649" t="s">
        <v>7178</v>
      </c>
      <c r="E4649" t="s">
        <v>862</v>
      </c>
    </row>
    <row r="4650" spans="2:5" x14ac:dyDescent="0.3">
      <c r="B4650" t="s">
        <v>7179</v>
      </c>
      <c r="C4650">
        <v>531518</v>
      </c>
      <c r="D4650" t="s">
        <v>496</v>
      </c>
      <c r="E4650" t="s">
        <v>694</v>
      </c>
    </row>
    <row r="4651" spans="2:5" x14ac:dyDescent="0.3">
      <c r="B4651" t="s">
        <v>7180</v>
      </c>
      <c r="C4651">
        <v>519307</v>
      </c>
      <c r="D4651" t="s">
        <v>496</v>
      </c>
      <c r="E4651" t="s">
        <v>656</v>
      </c>
    </row>
    <row r="4652" spans="2:5" x14ac:dyDescent="0.3">
      <c r="B4652" t="s">
        <v>7181</v>
      </c>
      <c r="C4652">
        <v>530477</v>
      </c>
      <c r="D4652" t="s">
        <v>496</v>
      </c>
      <c r="E4652" t="s">
        <v>534</v>
      </c>
    </row>
    <row r="4653" spans="2:5" x14ac:dyDescent="0.3">
      <c r="B4653" t="s">
        <v>7182</v>
      </c>
      <c r="C4653">
        <v>530477</v>
      </c>
      <c r="D4653" t="s">
        <v>496</v>
      </c>
      <c r="E4653" t="s">
        <v>534</v>
      </c>
    </row>
    <row r="4654" spans="2:5" x14ac:dyDescent="0.3">
      <c r="B4654" t="s">
        <v>7183</v>
      </c>
      <c r="C4654">
        <v>506196</v>
      </c>
      <c r="D4654" t="s">
        <v>496</v>
      </c>
      <c r="E4654" t="s">
        <v>518</v>
      </c>
    </row>
    <row r="4655" spans="2:5" x14ac:dyDescent="0.3">
      <c r="B4655" t="s">
        <v>7184</v>
      </c>
      <c r="C4655">
        <v>519373</v>
      </c>
      <c r="D4655" t="s">
        <v>7185</v>
      </c>
      <c r="E4655" t="s">
        <v>745</v>
      </c>
    </row>
    <row r="4656" spans="2:5" x14ac:dyDescent="0.3">
      <c r="B4656" t="s">
        <v>7186</v>
      </c>
      <c r="C4656">
        <v>524394</v>
      </c>
      <c r="D4656" t="s">
        <v>7187</v>
      </c>
      <c r="E4656" t="s">
        <v>685</v>
      </c>
    </row>
    <row r="4657" spans="2:5" x14ac:dyDescent="0.3">
      <c r="B4657" t="s">
        <v>7188</v>
      </c>
      <c r="C4657">
        <v>504380</v>
      </c>
      <c r="D4657" t="s">
        <v>496</v>
      </c>
      <c r="E4657" t="s">
        <v>518</v>
      </c>
    </row>
    <row r="4658" spans="2:5" x14ac:dyDescent="0.3">
      <c r="B4658" t="s">
        <v>7189</v>
      </c>
      <c r="C4658">
        <v>524200</v>
      </c>
      <c r="D4658" t="s">
        <v>7190</v>
      </c>
      <c r="E4658" t="s">
        <v>544</v>
      </c>
    </row>
    <row r="4659" spans="2:5" x14ac:dyDescent="0.3">
      <c r="B4659" t="s">
        <v>7191</v>
      </c>
      <c r="C4659">
        <v>534639</v>
      </c>
      <c r="D4659" t="s">
        <v>496</v>
      </c>
      <c r="E4659" t="s">
        <v>691</v>
      </c>
    </row>
    <row r="4660" spans="2:5" x14ac:dyDescent="0.3">
      <c r="B4660" t="s">
        <v>7192</v>
      </c>
      <c r="C4660">
        <v>517015</v>
      </c>
      <c r="D4660" t="s">
        <v>7193</v>
      </c>
      <c r="E4660" t="s">
        <v>766</v>
      </c>
    </row>
    <row r="4661" spans="2:5" x14ac:dyDescent="0.3">
      <c r="B4661" t="s">
        <v>7194</v>
      </c>
      <c r="C4661" t="s">
        <v>496</v>
      </c>
      <c r="D4661" t="s">
        <v>7195</v>
      </c>
      <c r="E4661" t="s">
        <v>507</v>
      </c>
    </row>
    <row r="4662" spans="2:5" x14ac:dyDescent="0.3">
      <c r="B4662" t="s">
        <v>7196</v>
      </c>
      <c r="C4662">
        <v>531051</v>
      </c>
      <c r="D4662" t="s">
        <v>496</v>
      </c>
      <c r="E4662" t="s">
        <v>513</v>
      </c>
    </row>
    <row r="4663" spans="2:5" x14ac:dyDescent="0.3">
      <c r="B4663" t="s">
        <v>7197</v>
      </c>
      <c r="C4663">
        <v>524129</v>
      </c>
      <c r="D4663" t="s">
        <v>7198</v>
      </c>
      <c r="E4663" t="s">
        <v>873</v>
      </c>
    </row>
    <row r="4664" spans="2:5" x14ac:dyDescent="0.3">
      <c r="B4664" t="s">
        <v>7199</v>
      </c>
      <c r="C4664">
        <v>524129</v>
      </c>
      <c r="D4664" t="s">
        <v>7200</v>
      </c>
      <c r="E4664" t="s">
        <v>873</v>
      </c>
    </row>
    <row r="4665" spans="2:5" x14ac:dyDescent="0.3">
      <c r="B4665" t="s">
        <v>7201</v>
      </c>
      <c r="C4665">
        <v>530401</v>
      </c>
      <c r="D4665" t="s">
        <v>496</v>
      </c>
      <c r="E4665" t="s">
        <v>544</v>
      </c>
    </row>
    <row r="4666" spans="2:5" x14ac:dyDescent="0.3">
      <c r="B4666" t="s">
        <v>7202</v>
      </c>
      <c r="C4666">
        <v>532613</v>
      </c>
      <c r="D4666" t="s">
        <v>7203</v>
      </c>
      <c r="E4666" t="s">
        <v>518</v>
      </c>
    </row>
    <row r="4667" spans="2:5" x14ac:dyDescent="0.3">
      <c r="B4667" t="s">
        <v>7204</v>
      </c>
      <c r="C4667">
        <v>507880</v>
      </c>
      <c r="D4667" t="s">
        <v>7205</v>
      </c>
      <c r="E4667" t="s">
        <v>610</v>
      </c>
    </row>
    <row r="4668" spans="2:5" x14ac:dyDescent="0.3">
      <c r="B4668" t="s">
        <v>7206</v>
      </c>
      <c r="C4668">
        <v>514302</v>
      </c>
      <c r="D4668" t="s">
        <v>496</v>
      </c>
      <c r="E4668" t="s">
        <v>511</v>
      </c>
    </row>
    <row r="4669" spans="2:5" x14ac:dyDescent="0.3">
      <c r="B4669" t="s">
        <v>7207</v>
      </c>
      <c r="C4669">
        <v>511726</v>
      </c>
      <c r="D4669" t="s">
        <v>7208</v>
      </c>
      <c r="E4669" t="s">
        <v>582</v>
      </c>
    </row>
    <row r="4670" spans="2:5" x14ac:dyDescent="0.3">
      <c r="B4670" t="s">
        <v>7209</v>
      </c>
      <c r="C4670">
        <v>530627</v>
      </c>
      <c r="D4670" t="s">
        <v>496</v>
      </c>
      <c r="E4670" t="s">
        <v>656</v>
      </c>
    </row>
    <row r="4671" spans="2:5" x14ac:dyDescent="0.3">
      <c r="B4671" t="s">
        <v>7210</v>
      </c>
      <c r="C4671">
        <v>519457</v>
      </c>
      <c r="D4671" t="s">
        <v>496</v>
      </c>
      <c r="E4671" t="s">
        <v>556</v>
      </c>
    </row>
    <row r="4672" spans="2:5" x14ac:dyDescent="0.3">
      <c r="B4672" t="s">
        <v>7211</v>
      </c>
      <c r="C4672">
        <v>530521</v>
      </c>
      <c r="D4672" t="s">
        <v>496</v>
      </c>
      <c r="E4672" t="s">
        <v>610</v>
      </c>
    </row>
    <row r="4673" spans="2:5" x14ac:dyDescent="0.3">
      <c r="B4673" t="s">
        <v>7212</v>
      </c>
      <c r="C4673">
        <v>539167</v>
      </c>
      <c r="D4673" t="s">
        <v>496</v>
      </c>
      <c r="E4673" t="s">
        <v>513</v>
      </c>
    </row>
    <row r="4674" spans="2:5" x14ac:dyDescent="0.3">
      <c r="B4674" t="s">
        <v>7213</v>
      </c>
      <c r="C4674">
        <v>532354</v>
      </c>
      <c r="D4674" t="s">
        <v>496</v>
      </c>
      <c r="E4674" t="s">
        <v>589</v>
      </c>
    </row>
    <row r="4675" spans="2:5" x14ac:dyDescent="0.3">
      <c r="B4675" t="s">
        <v>7214</v>
      </c>
      <c r="C4675">
        <v>532372</v>
      </c>
      <c r="D4675" t="s">
        <v>496</v>
      </c>
      <c r="E4675" t="s">
        <v>589</v>
      </c>
    </row>
    <row r="4676" spans="2:5" x14ac:dyDescent="0.3">
      <c r="B4676" t="s">
        <v>7215</v>
      </c>
      <c r="C4676">
        <v>534741</v>
      </c>
      <c r="D4676" t="s">
        <v>496</v>
      </c>
      <c r="E4676" t="s">
        <v>601</v>
      </c>
    </row>
    <row r="4677" spans="2:5" x14ac:dyDescent="0.3">
      <c r="B4677" t="s">
        <v>7216</v>
      </c>
      <c r="C4677">
        <v>531126</v>
      </c>
      <c r="D4677" t="s">
        <v>496</v>
      </c>
      <c r="E4677" t="s">
        <v>589</v>
      </c>
    </row>
    <row r="4678" spans="2:5" x14ac:dyDescent="0.3">
      <c r="B4678" t="s">
        <v>7217</v>
      </c>
      <c r="C4678">
        <v>532721</v>
      </c>
      <c r="D4678" t="s">
        <v>7218</v>
      </c>
      <c r="E4678" t="s">
        <v>528</v>
      </c>
    </row>
    <row r="4679" spans="2:5" x14ac:dyDescent="0.3">
      <c r="B4679" t="s">
        <v>7219</v>
      </c>
      <c r="C4679">
        <v>531025</v>
      </c>
      <c r="D4679" t="s">
        <v>496</v>
      </c>
      <c r="E4679" t="s">
        <v>479</v>
      </c>
    </row>
    <row r="4680" spans="2:5" x14ac:dyDescent="0.3">
      <c r="B4680" t="s">
        <v>7220</v>
      </c>
      <c r="C4680">
        <v>506146</v>
      </c>
      <c r="D4680" t="s">
        <v>7221</v>
      </c>
      <c r="E4680" t="s">
        <v>511</v>
      </c>
    </row>
    <row r="4681" spans="2:5" x14ac:dyDescent="0.3">
      <c r="B4681" t="s">
        <v>7222</v>
      </c>
      <c r="C4681">
        <v>509055</v>
      </c>
      <c r="D4681" t="s">
        <v>7223</v>
      </c>
      <c r="E4681" t="s">
        <v>509</v>
      </c>
    </row>
    <row r="4682" spans="2:5" x14ac:dyDescent="0.3">
      <c r="B4682" t="s">
        <v>7224</v>
      </c>
      <c r="C4682">
        <v>540097</v>
      </c>
      <c r="D4682" t="s">
        <v>496</v>
      </c>
      <c r="E4682" t="s">
        <v>479</v>
      </c>
    </row>
    <row r="4683" spans="2:5" x14ac:dyDescent="0.3">
      <c r="B4683" t="s">
        <v>7225</v>
      </c>
      <c r="C4683">
        <v>532411</v>
      </c>
      <c r="D4683" t="s">
        <v>7226</v>
      </c>
      <c r="E4683" t="s">
        <v>589</v>
      </c>
    </row>
    <row r="4684" spans="2:5" x14ac:dyDescent="0.3">
      <c r="B4684" t="s">
        <v>7227</v>
      </c>
      <c r="C4684">
        <v>539398</v>
      </c>
      <c r="D4684" t="s">
        <v>496</v>
      </c>
      <c r="E4684" t="s">
        <v>504</v>
      </c>
    </row>
    <row r="4685" spans="2:5" x14ac:dyDescent="0.3">
      <c r="B4685" t="s">
        <v>7228</v>
      </c>
      <c r="C4685">
        <v>538598</v>
      </c>
      <c r="D4685" t="s">
        <v>496</v>
      </c>
      <c r="E4685" t="s">
        <v>511</v>
      </c>
    </row>
    <row r="4686" spans="2:5" x14ac:dyDescent="0.3">
      <c r="B4686" t="s">
        <v>7229</v>
      </c>
      <c r="C4686">
        <v>516072</v>
      </c>
      <c r="D4686" t="s">
        <v>7230</v>
      </c>
      <c r="E4686" t="s">
        <v>544</v>
      </c>
    </row>
    <row r="4687" spans="2:5" x14ac:dyDescent="0.3">
      <c r="B4687" t="s">
        <v>7231</v>
      </c>
      <c r="C4687">
        <v>512064</v>
      </c>
      <c r="D4687" t="s">
        <v>7232</v>
      </c>
      <c r="E4687" t="s">
        <v>917</v>
      </c>
    </row>
    <row r="4688" spans="2:5" x14ac:dyDescent="0.3">
      <c r="B4688" t="s">
        <v>7233</v>
      </c>
      <c r="C4688">
        <v>526441</v>
      </c>
      <c r="D4688" t="s">
        <v>496</v>
      </c>
      <c r="E4688" t="s">
        <v>2099</v>
      </c>
    </row>
    <row r="4689" spans="2:5" x14ac:dyDescent="0.3">
      <c r="B4689" t="s">
        <v>7234</v>
      </c>
      <c r="C4689">
        <v>531668</v>
      </c>
      <c r="D4689" t="s">
        <v>496</v>
      </c>
      <c r="E4689" t="s">
        <v>499</v>
      </c>
    </row>
    <row r="4690" spans="2:5" x14ac:dyDescent="0.3">
      <c r="B4690" t="s">
        <v>7235</v>
      </c>
      <c r="C4690">
        <v>524711</v>
      </c>
      <c r="D4690" t="s">
        <v>496</v>
      </c>
      <c r="E4690" t="s">
        <v>534</v>
      </c>
    </row>
    <row r="4691" spans="2:5" x14ac:dyDescent="0.3">
      <c r="B4691" t="s">
        <v>7236</v>
      </c>
      <c r="C4691">
        <v>538565</v>
      </c>
      <c r="D4691" t="s">
        <v>496</v>
      </c>
      <c r="E4691" t="s">
        <v>513</v>
      </c>
    </row>
    <row r="4692" spans="2:5" x14ac:dyDescent="0.3">
      <c r="B4692" t="s">
        <v>7237</v>
      </c>
      <c r="C4692">
        <v>540823</v>
      </c>
      <c r="D4692" t="s">
        <v>496</v>
      </c>
      <c r="E4692" t="s">
        <v>518</v>
      </c>
    </row>
    <row r="4693" spans="2:5" x14ac:dyDescent="0.3">
      <c r="B4693" t="s">
        <v>7238</v>
      </c>
      <c r="C4693">
        <v>541735</v>
      </c>
      <c r="D4693" t="s">
        <v>496</v>
      </c>
      <c r="E4693" t="s">
        <v>894</v>
      </c>
    </row>
    <row r="4694" spans="2:5" x14ac:dyDescent="0.3">
      <c r="B4694" t="s">
        <v>7239</v>
      </c>
      <c r="C4694">
        <v>530057</v>
      </c>
      <c r="D4694" t="s">
        <v>496</v>
      </c>
      <c r="E4694" t="s">
        <v>534</v>
      </c>
    </row>
    <row r="4695" spans="2:5" x14ac:dyDescent="0.3">
      <c r="B4695" t="s">
        <v>7240</v>
      </c>
      <c r="C4695">
        <v>524576</v>
      </c>
      <c r="D4695" t="s">
        <v>496</v>
      </c>
      <c r="E4695" t="s">
        <v>544</v>
      </c>
    </row>
    <row r="4696" spans="2:5" x14ac:dyDescent="0.3">
      <c r="B4696" t="s">
        <v>7241</v>
      </c>
      <c r="C4696">
        <v>532660</v>
      </c>
      <c r="D4696" t="s">
        <v>7242</v>
      </c>
      <c r="E4696" t="s">
        <v>534</v>
      </c>
    </row>
    <row r="4697" spans="2:5" x14ac:dyDescent="0.3">
      <c r="B4697" t="s">
        <v>7243</v>
      </c>
      <c r="C4697">
        <v>511509</v>
      </c>
      <c r="D4697" t="s">
        <v>496</v>
      </c>
      <c r="E4697" t="s">
        <v>834</v>
      </c>
    </row>
    <row r="4698" spans="2:5" x14ac:dyDescent="0.3">
      <c r="B4698" t="s">
        <v>7244</v>
      </c>
      <c r="C4698">
        <v>509026</v>
      </c>
      <c r="D4698" t="s">
        <v>496</v>
      </c>
      <c r="E4698" t="s">
        <v>601</v>
      </c>
    </row>
    <row r="4699" spans="2:5" x14ac:dyDescent="0.3">
      <c r="B4699" t="s">
        <v>7245</v>
      </c>
      <c r="C4699">
        <v>536128</v>
      </c>
      <c r="D4699" t="s">
        <v>496</v>
      </c>
      <c r="E4699" t="s">
        <v>894</v>
      </c>
    </row>
    <row r="4700" spans="2:5" x14ac:dyDescent="0.3">
      <c r="B4700" t="s">
        <v>7246</v>
      </c>
      <c r="C4700">
        <v>511333</v>
      </c>
      <c r="D4700" t="s">
        <v>7247</v>
      </c>
      <c r="E4700" t="s">
        <v>479</v>
      </c>
    </row>
    <row r="4701" spans="2:5" x14ac:dyDescent="0.3">
      <c r="B4701" t="s">
        <v>7248</v>
      </c>
      <c r="C4701">
        <v>534976</v>
      </c>
      <c r="D4701" t="s">
        <v>7249</v>
      </c>
      <c r="E4701" t="s">
        <v>665</v>
      </c>
    </row>
    <row r="4702" spans="2:5" x14ac:dyDescent="0.3">
      <c r="B4702" t="s">
        <v>7250</v>
      </c>
      <c r="C4702">
        <v>533427</v>
      </c>
      <c r="D4702" t="s">
        <v>496</v>
      </c>
      <c r="E4702" t="s">
        <v>632</v>
      </c>
    </row>
    <row r="4703" spans="2:5" x14ac:dyDescent="0.3">
      <c r="B4703" t="s">
        <v>7251</v>
      </c>
      <c r="C4703">
        <v>539222</v>
      </c>
      <c r="D4703" t="s">
        <v>496</v>
      </c>
      <c r="E4703" t="s">
        <v>1499</v>
      </c>
    </row>
    <row r="4704" spans="2:5" x14ac:dyDescent="0.3">
      <c r="B4704" t="s">
        <v>7252</v>
      </c>
      <c r="C4704">
        <v>532822</v>
      </c>
      <c r="D4704" t="s">
        <v>7253</v>
      </c>
      <c r="E4704" t="s">
        <v>1440</v>
      </c>
    </row>
    <row r="4705" spans="2:5" x14ac:dyDescent="0.3">
      <c r="B4705" t="s">
        <v>7254</v>
      </c>
      <c r="C4705">
        <v>522122</v>
      </c>
      <c r="D4705" t="s">
        <v>496</v>
      </c>
      <c r="E4705" t="s">
        <v>511</v>
      </c>
    </row>
    <row r="4706" spans="2:5" x14ac:dyDescent="0.3">
      <c r="B4706" t="s">
        <v>7255</v>
      </c>
      <c r="C4706">
        <v>522122</v>
      </c>
      <c r="D4706" t="s">
        <v>496</v>
      </c>
      <c r="E4706" t="s">
        <v>511</v>
      </c>
    </row>
    <row r="4707" spans="2:5" x14ac:dyDescent="0.3">
      <c r="B4707" t="s">
        <v>7256</v>
      </c>
      <c r="C4707">
        <v>509038</v>
      </c>
      <c r="D4707" t="s">
        <v>496</v>
      </c>
      <c r="E4707" t="s">
        <v>513</v>
      </c>
    </row>
    <row r="4708" spans="2:5" x14ac:dyDescent="0.3">
      <c r="B4708" t="s">
        <v>7257</v>
      </c>
      <c r="C4708">
        <v>532757</v>
      </c>
      <c r="D4708" t="s">
        <v>7258</v>
      </c>
      <c r="E4708" t="s">
        <v>539</v>
      </c>
    </row>
    <row r="4709" spans="2:5" x14ac:dyDescent="0.3">
      <c r="B4709" t="s">
        <v>7259</v>
      </c>
      <c r="C4709">
        <v>500575</v>
      </c>
      <c r="D4709" t="s">
        <v>7260</v>
      </c>
      <c r="E4709" t="s">
        <v>865</v>
      </c>
    </row>
    <row r="4710" spans="2:5" x14ac:dyDescent="0.3">
      <c r="B4710" t="s">
        <v>7261</v>
      </c>
      <c r="C4710">
        <v>512215</v>
      </c>
      <c r="D4710" t="s">
        <v>496</v>
      </c>
      <c r="E4710" t="s">
        <v>479</v>
      </c>
    </row>
    <row r="4711" spans="2:5" x14ac:dyDescent="0.3">
      <c r="B4711" t="s">
        <v>7262</v>
      </c>
      <c r="C4711">
        <v>539118</v>
      </c>
      <c r="D4711" t="s">
        <v>7263</v>
      </c>
      <c r="E4711" t="s">
        <v>817</v>
      </c>
    </row>
    <row r="4712" spans="2:5" x14ac:dyDescent="0.3">
      <c r="B4712" t="s">
        <v>7264</v>
      </c>
      <c r="C4712">
        <v>519331</v>
      </c>
      <c r="D4712" t="s">
        <v>496</v>
      </c>
      <c r="E4712" t="s">
        <v>894</v>
      </c>
    </row>
    <row r="4713" spans="2:5" x14ac:dyDescent="0.3">
      <c r="B4713" t="s">
        <v>7265</v>
      </c>
      <c r="C4713">
        <v>509966</v>
      </c>
      <c r="D4713" t="s">
        <v>7266</v>
      </c>
      <c r="E4713" t="s">
        <v>2667</v>
      </c>
    </row>
    <row r="4714" spans="2:5" x14ac:dyDescent="0.3">
      <c r="B4714" t="s">
        <v>7267</v>
      </c>
      <c r="C4714">
        <v>532893</v>
      </c>
      <c r="D4714" t="s">
        <v>496</v>
      </c>
      <c r="E4714" t="s">
        <v>511</v>
      </c>
    </row>
    <row r="4715" spans="2:5" x14ac:dyDescent="0.3">
      <c r="B4715" t="s">
        <v>7268</v>
      </c>
      <c r="C4715">
        <v>517399</v>
      </c>
      <c r="D4715" t="s">
        <v>7269</v>
      </c>
      <c r="E4715" t="s">
        <v>865</v>
      </c>
    </row>
    <row r="4716" spans="2:5" x14ac:dyDescent="0.3">
      <c r="B4716" t="s">
        <v>7270</v>
      </c>
      <c r="C4716">
        <v>506142</v>
      </c>
      <c r="D4716" t="s">
        <v>496</v>
      </c>
      <c r="E4716" t="s">
        <v>479</v>
      </c>
    </row>
    <row r="4717" spans="2:5" x14ac:dyDescent="0.3">
      <c r="B4717" t="s">
        <v>7271</v>
      </c>
      <c r="C4717">
        <v>501391</v>
      </c>
      <c r="D4717" t="s">
        <v>496</v>
      </c>
      <c r="E4717" t="s">
        <v>518</v>
      </c>
    </row>
    <row r="4718" spans="2:5" x14ac:dyDescent="0.3">
      <c r="B4718" t="s">
        <v>7272</v>
      </c>
      <c r="C4718">
        <v>504220</v>
      </c>
      <c r="D4718" t="s">
        <v>496</v>
      </c>
      <c r="E4718" t="s">
        <v>504</v>
      </c>
    </row>
    <row r="4719" spans="2:5" x14ac:dyDescent="0.3">
      <c r="B4719" t="s">
        <v>7273</v>
      </c>
      <c r="C4719" t="s">
        <v>496</v>
      </c>
      <c r="D4719" t="s">
        <v>7274</v>
      </c>
      <c r="E4719" t="s">
        <v>587</v>
      </c>
    </row>
    <row r="4720" spans="2:5" x14ac:dyDescent="0.3">
      <c r="B4720" t="s">
        <v>7275</v>
      </c>
      <c r="C4720">
        <v>504220</v>
      </c>
      <c r="D4720" t="s">
        <v>496</v>
      </c>
      <c r="E4720" t="s">
        <v>504</v>
      </c>
    </row>
    <row r="4721" spans="2:5" x14ac:dyDescent="0.3">
      <c r="B4721" t="s">
        <v>7276</v>
      </c>
      <c r="C4721">
        <v>505583</v>
      </c>
      <c r="D4721" t="s">
        <v>496</v>
      </c>
      <c r="E4721" t="s">
        <v>582</v>
      </c>
    </row>
    <row r="4722" spans="2:5" x14ac:dyDescent="0.3">
      <c r="B4722" t="s">
        <v>7277</v>
      </c>
      <c r="C4722">
        <v>541445</v>
      </c>
      <c r="D4722" t="s">
        <v>496</v>
      </c>
      <c r="E4722" t="s">
        <v>794</v>
      </c>
    </row>
    <row r="4723" spans="2:5" x14ac:dyDescent="0.3">
      <c r="B4723" t="s">
        <v>7278</v>
      </c>
      <c r="C4723">
        <v>533023</v>
      </c>
      <c r="D4723" t="s">
        <v>7279</v>
      </c>
      <c r="E4723" t="s">
        <v>851</v>
      </c>
    </row>
    <row r="4724" spans="2:5" x14ac:dyDescent="0.3">
      <c r="B4724" t="s">
        <v>7280</v>
      </c>
      <c r="C4724">
        <v>533023</v>
      </c>
      <c r="D4724" t="s">
        <v>7281</v>
      </c>
      <c r="E4724" t="s">
        <v>851</v>
      </c>
    </row>
    <row r="4725" spans="2:5" x14ac:dyDescent="0.3">
      <c r="B4725" t="s">
        <v>7282</v>
      </c>
      <c r="C4725">
        <v>503675</v>
      </c>
      <c r="D4725" t="s">
        <v>496</v>
      </c>
      <c r="E4725" t="s">
        <v>917</v>
      </c>
    </row>
    <row r="4726" spans="2:5" x14ac:dyDescent="0.3">
      <c r="B4726" t="s">
        <v>7283</v>
      </c>
      <c r="C4726">
        <v>501370</v>
      </c>
      <c r="D4726" t="s">
        <v>496</v>
      </c>
      <c r="E4726" t="s">
        <v>580</v>
      </c>
    </row>
    <row r="4727" spans="2:5" x14ac:dyDescent="0.3">
      <c r="B4727" t="s">
        <v>7284</v>
      </c>
      <c r="C4727">
        <v>507410</v>
      </c>
      <c r="D4727" t="s">
        <v>7285</v>
      </c>
      <c r="E4727" t="s">
        <v>485</v>
      </c>
    </row>
    <row r="4728" spans="2:5" x14ac:dyDescent="0.3">
      <c r="B4728" t="s">
        <v>7286</v>
      </c>
      <c r="C4728">
        <v>511147</v>
      </c>
      <c r="D4728" t="s">
        <v>496</v>
      </c>
      <c r="E4728" t="s">
        <v>513</v>
      </c>
    </row>
    <row r="4729" spans="2:5" x14ac:dyDescent="0.3">
      <c r="B4729" t="s">
        <v>7287</v>
      </c>
      <c r="C4729">
        <v>532053</v>
      </c>
      <c r="D4729" t="s">
        <v>496</v>
      </c>
      <c r="E4729" t="s">
        <v>479</v>
      </c>
    </row>
    <row r="4730" spans="2:5" x14ac:dyDescent="0.3">
      <c r="B4730" t="s">
        <v>7288</v>
      </c>
      <c r="C4730">
        <v>524212</v>
      </c>
      <c r="D4730" t="s">
        <v>7289</v>
      </c>
      <c r="E4730" t="s">
        <v>534</v>
      </c>
    </row>
    <row r="4731" spans="2:5" x14ac:dyDescent="0.3">
      <c r="B4731" t="s">
        <v>7290</v>
      </c>
      <c r="C4731">
        <v>511690</v>
      </c>
      <c r="D4731" t="s">
        <v>496</v>
      </c>
      <c r="E4731" t="s">
        <v>513</v>
      </c>
    </row>
    <row r="4732" spans="2:5" x14ac:dyDescent="0.3">
      <c r="B4732" t="s">
        <v>7291</v>
      </c>
      <c r="C4732">
        <v>508494</v>
      </c>
      <c r="D4732" t="s">
        <v>496</v>
      </c>
      <c r="E4732" t="s">
        <v>903</v>
      </c>
    </row>
    <row r="4733" spans="2:5" x14ac:dyDescent="0.3">
      <c r="B4733" t="s">
        <v>7292</v>
      </c>
      <c r="C4733">
        <v>523660</v>
      </c>
      <c r="D4733" t="s">
        <v>496</v>
      </c>
      <c r="E4733" t="s">
        <v>576</v>
      </c>
    </row>
    <row r="4734" spans="2:5" x14ac:dyDescent="0.3">
      <c r="B4734" t="s">
        <v>7293</v>
      </c>
      <c r="C4734" t="s">
        <v>496</v>
      </c>
      <c r="D4734" t="s">
        <v>7294</v>
      </c>
      <c r="E4734" t="s">
        <v>507</v>
      </c>
    </row>
    <row r="4735" spans="2:5" x14ac:dyDescent="0.3">
      <c r="B4735" t="s">
        <v>7295</v>
      </c>
      <c r="C4735">
        <v>780016</v>
      </c>
      <c r="D4735" t="s">
        <v>496</v>
      </c>
      <c r="E4735" t="s">
        <v>587</v>
      </c>
    </row>
    <row r="4736" spans="2:5" x14ac:dyDescent="0.3">
      <c r="B4736" t="s">
        <v>7296</v>
      </c>
      <c r="C4736">
        <v>517498</v>
      </c>
      <c r="D4736" t="s">
        <v>7297</v>
      </c>
      <c r="E4736" t="s">
        <v>794</v>
      </c>
    </row>
    <row r="4737" spans="2:5" x14ac:dyDescent="0.3">
      <c r="B4737" t="s">
        <v>7298</v>
      </c>
      <c r="C4737">
        <v>511074</v>
      </c>
      <c r="D4737" t="s">
        <v>496</v>
      </c>
      <c r="E4737" t="s">
        <v>513</v>
      </c>
    </row>
    <row r="4738" spans="2:5" x14ac:dyDescent="0.3">
      <c r="B4738" t="s">
        <v>7299</v>
      </c>
      <c r="C4738">
        <v>533452</v>
      </c>
      <c r="D4738" t="s">
        <v>7300</v>
      </c>
      <c r="E4738" t="s">
        <v>479</v>
      </c>
    </row>
    <row r="4739" spans="2:5" x14ac:dyDescent="0.3">
      <c r="B4739" t="s">
        <v>7301</v>
      </c>
      <c r="C4739">
        <v>523011</v>
      </c>
      <c r="D4739" t="s">
        <v>7302</v>
      </c>
      <c r="E4739" t="s">
        <v>518</v>
      </c>
    </row>
    <row r="4740" spans="2:5" x14ac:dyDescent="0.3">
      <c r="B4740" t="s">
        <v>7303</v>
      </c>
      <c r="C4740">
        <v>504988</v>
      </c>
      <c r="D4740" t="s">
        <v>496</v>
      </c>
      <c r="E4740" t="s">
        <v>1416</v>
      </c>
    </row>
    <row r="4741" spans="2:5" x14ac:dyDescent="0.3">
      <c r="B4741" t="s">
        <v>7304</v>
      </c>
      <c r="C4741">
        <v>524661</v>
      </c>
      <c r="D4741" t="s">
        <v>496</v>
      </c>
      <c r="E4741" t="s">
        <v>534</v>
      </c>
    </row>
    <row r="4742" spans="2:5" x14ac:dyDescent="0.3">
      <c r="B4742" t="s">
        <v>7305</v>
      </c>
      <c r="C4742">
        <v>532016</v>
      </c>
      <c r="D4742" t="s">
        <v>496</v>
      </c>
      <c r="E4742" t="s">
        <v>582</v>
      </c>
    </row>
    <row r="4743" spans="2:5" x14ac:dyDescent="0.3">
      <c r="B4743" t="s">
        <v>7306</v>
      </c>
      <c r="C4743">
        <v>531211</v>
      </c>
      <c r="D4743" t="s">
        <v>496</v>
      </c>
      <c r="E4743" t="s">
        <v>479</v>
      </c>
    </row>
    <row r="4744" spans="2:5" x14ac:dyDescent="0.3">
      <c r="B4744" t="s">
        <v>7307</v>
      </c>
      <c r="C4744">
        <v>514162</v>
      </c>
      <c r="D4744" t="s">
        <v>7308</v>
      </c>
      <c r="E4744" t="s">
        <v>511</v>
      </c>
    </row>
    <row r="4745" spans="2:5" x14ac:dyDescent="0.3">
      <c r="B4745" t="s">
        <v>7309</v>
      </c>
      <c r="C4745">
        <v>532144</v>
      </c>
      <c r="D4745" t="s">
        <v>7310</v>
      </c>
      <c r="E4745" t="s">
        <v>894</v>
      </c>
    </row>
    <row r="4746" spans="2:5" x14ac:dyDescent="0.3">
      <c r="B4746" t="s">
        <v>7311</v>
      </c>
      <c r="C4746">
        <v>532553</v>
      </c>
      <c r="D4746" t="s">
        <v>7312</v>
      </c>
      <c r="E4746" t="s">
        <v>894</v>
      </c>
    </row>
    <row r="4747" spans="2:5" x14ac:dyDescent="0.3">
      <c r="B4747" t="s">
        <v>7313</v>
      </c>
      <c r="C4747">
        <v>514162</v>
      </c>
      <c r="D4747" t="s">
        <v>7308</v>
      </c>
      <c r="E4747" t="s">
        <v>511</v>
      </c>
    </row>
    <row r="4748" spans="2:5" x14ac:dyDescent="0.3">
      <c r="B4748" t="s">
        <v>7314</v>
      </c>
      <c r="C4748">
        <v>533252</v>
      </c>
      <c r="D4748" t="s">
        <v>7315</v>
      </c>
      <c r="E4748" t="s">
        <v>479</v>
      </c>
    </row>
    <row r="4749" spans="2:5" x14ac:dyDescent="0.3">
      <c r="B4749" t="s">
        <v>7316</v>
      </c>
      <c r="C4749">
        <v>526431</v>
      </c>
      <c r="D4749" t="s">
        <v>496</v>
      </c>
      <c r="E4749" t="s">
        <v>922</v>
      </c>
    </row>
    <row r="4750" spans="2:5" x14ac:dyDescent="0.3">
      <c r="B4750" t="s">
        <v>7317</v>
      </c>
      <c r="C4750">
        <v>505412</v>
      </c>
      <c r="D4750" t="s">
        <v>7318</v>
      </c>
      <c r="E4750" t="s">
        <v>504</v>
      </c>
    </row>
    <row r="4751" spans="2:5" x14ac:dyDescent="0.3">
      <c r="B4751" t="s">
        <v>7319</v>
      </c>
      <c r="C4751">
        <v>505412</v>
      </c>
      <c r="D4751" t="s">
        <v>7318</v>
      </c>
      <c r="E4751" t="s">
        <v>504</v>
      </c>
    </row>
    <row r="4752" spans="2:5" x14ac:dyDescent="0.3">
      <c r="B4752" t="s">
        <v>7320</v>
      </c>
      <c r="C4752">
        <v>532373</v>
      </c>
      <c r="D4752" t="s">
        <v>496</v>
      </c>
      <c r="E4752" t="s">
        <v>518</v>
      </c>
    </row>
    <row r="4753" spans="2:5" x14ac:dyDescent="0.3">
      <c r="B4753" t="s">
        <v>7321</v>
      </c>
      <c r="C4753">
        <v>500444</v>
      </c>
      <c r="D4753" t="s">
        <v>7322</v>
      </c>
      <c r="E4753" t="s">
        <v>490</v>
      </c>
    </row>
    <row r="4754" spans="2:5" x14ac:dyDescent="0.3">
      <c r="B4754" t="s">
        <v>7323</v>
      </c>
      <c r="C4754">
        <v>538382</v>
      </c>
      <c r="D4754" t="s">
        <v>496</v>
      </c>
      <c r="E4754" t="s">
        <v>518</v>
      </c>
    </row>
    <row r="4755" spans="2:5" x14ac:dyDescent="0.3">
      <c r="B4755" t="s">
        <v>7324</v>
      </c>
      <c r="C4755">
        <v>504998</v>
      </c>
      <c r="D4755" t="s">
        <v>496</v>
      </c>
      <c r="E4755" t="s">
        <v>528</v>
      </c>
    </row>
    <row r="4756" spans="2:5" x14ac:dyDescent="0.3">
      <c r="B4756" t="s">
        <v>7325</v>
      </c>
      <c r="C4756">
        <v>505533</v>
      </c>
      <c r="D4756" t="s">
        <v>496</v>
      </c>
      <c r="E4756" t="s">
        <v>985</v>
      </c>
    </row>
    <row r="4757" spans="2:5" x14ac:dyDescent="0.3">
      <c r="B4757" t="s">
        <v>7326</v>
      </c>
      <c r="C4757">
        <v>590073</v>
      </c>
      <c r="D4757" t="s">
        <v>7327</v>
      </c>
      <c r="E4757" t="s">
        <v>851</v>
      </c>
    </row>
    <row r="4758" spans="2:5" x14ac:dyDescent="0.3">
      <c r="B4758" t="s">
        <v>7328</v>
      </c>
      <c r="C4758">
        <v>590073</v>
      </c>
      <c r="D4758" t="s">
        <v>7327</v>
      </c>
      <c r="E4758" t="s">
        <v>851</v>
      </c>
    </row>
    <row r="4759" spans="2:5" x14ac:dyDescent="0.3">
      <c r="B4759" t="s">
        <v>7329</v>
      </c>
      <c r="C4759">
        <v>500238</v>
      </c>
      <c r="D4759" t="s">
        <v>7330</v>
      </c>
      <c r="E4759" t="s">
        <v>865</v>
      </c>
    </row>
    <row r="4760" spans="2:5" x14ac:dyDescent="0.3">
      <c r="B4760" t="s">
        <v>7331</v>
      </c>
      <c r="C4760">
        <v>500238</v>
      </c>
      <c r="D4760" t="s">
        <v>7330</v>
      </c>
      <c r="E4760" t="s">
        <v>865</v>
      </c>
    </row>
    <row r="4761" spans="2:5" x14ac:dyDescent="0.3">
      <c r="B4761" t="s">
        <v>7332</v>
      </c>
      <c r="C4761">
        <v>513713</v>
      </c>
      <c r="D4761" t="s">
        <v>496</v>
      </c>
      <c r="E4761" t="s">
        <v>610</v>
      </c>
    </row>
    <row r="4762" spans="2:5" x14ac:dyDescent="0.3">
      <c r="B4762" t="s">
        <v>7333</v>
      </c>
      <c r="C4762">
        <v>542667</v>
      </c>
      <c r="D4762" t="s">
        <v>7334</v>
      </c>
      <c r="E4762" t="s">
        <v>862</v>
      </c>
    </row>
    <row r="4763" spans="2:5" x14ac:dyDescent="0.3">
      <c r="B4763" t="s">
        <v>7335</v>
      </c>
      <c r="C4763">
        <v>519214</v>
      </c>
      <c r="D4763" t="s">
        <v>496</v>
      </c>
      <c r="E4763" t="s">
        <v>513</v>
      </c>
    </row>
    <row r="4764" spans="2:5" x14ac:dyDescent="0.3">
      <c r="B4764" t="s">
        <v>7336</v>
      </c>
      <c r="C4764">
        <v>519224</v>
      </c>
      <c r="D4764" t="s">
        <v>7337</v>
      </c>
      <c r="E4764" t="s">
        <v>518</v>
      </c>
    </row>
    <row r="4765" spans="2:5" x14ac:dyDescent="0.3">
      <c r="B4765" t="s">
        <v>7338</v>
      </c>
      <c r="C4765">
        <v>526586</v>
      </c>
      <c r="D4765" t="s">
        <v>496</v>
      </c>
      <c r="E4765" t="s">
        <v>616</v>
      </c>
    </row>
    <row r="4766" spans="2:5" x14ac:dyDescent="0.3">
      <c r="B4766" t="s">
        <v>7339</v>
      </c>
      <c r="C4766">
        <v>522029</v>
      </c>
      <c r="D4766" t="s">
        <v>7340</v>
      </c>
      <c r="E4766" t="s">
        <v>504</v>
      </c>
    </row>
    <row r="4767" spans="2:5" x14ac:dyDescent="0.3">
      <c r="B4767" t="s">
        <v>7341</v>
      </c>
      <c r="C4767">
        <v>512022</v>
      </c>
      <c r="D4767" t="s">
        <v>496</v>
      </c>
      <c r="E4767" t="s">
        <v>479</v>
      </c>
    </row>
    <row r="4768" spans="2:5" x14ac:dyDescent="0.3">
      <c r="B4768" t="s">
        <v>7342</v>
      </c>
      <c r="C4768">
        <v>512022</v>
      </c>
      <c r="D4768" t="s">
        <v>496</v>
      </c>
      <c r="E4768" t="s">
        <v>479</v>
      </c>
    </row>
    <row r="4769" spans="2:5" x14ac:dyDescent="0.3">
      <c r="B4769" t="s">
        <v>7343</v>
      </c>
      <c r="C4769">
        <v>526471</v>
      </c>
      <c r="D4769" t="s">
        <v>496</v>
      </c>
      <c r="E4769" t="s">
        <v>1128</v>
      </c>
    </row>
    <row r="4770" spans="2:5" x14ac:dyDescent="0.3">
      <c r="B4770" t="s">
        <v>7344</v>
      </c>
      <c r="C4770">
        <v>514470</v>
      </c>
      <c r="D4770" t="s">
        <v>496</v>
      </c>
      <c r="E4770" t="s">
        <v>511</v>
      </c>
    </row>
    <row r="4771" spans="2:5" x14ac:dyDescent="0.3">
      <c r="B4771" t="s">
        <v>7345</v>
      </c>
      <c r="C4771">
        <v>514348</v>
      </c>
      <c r="D4771" t="s">
        <v>7346</v>
      </c>
      <c r="E4771" t="s">
        <v>511</v>
      </c>
    </row>
    <row r="4772" spans="2:5" x14ac:dyDescent="0.3">
      <c r="B4772" t="s">
        <v>7347</v>
      </c>
      <c r="C4772">
        <v>524758</v>
      </c>
      <c r="D4772" t="s">
        <v>496</v>
      </c>
      <c r="E4772" t="s">
        <v>534</v>
      </c>
    </row>
    <row r="4773" spans="2:5" x14ac:dyDescent="0.3">
      <c r="B4773" t="s">
        <v>7348</v>
      </c>
      <c r="C4773">
        <v>538873</v>
      </c>
      <c r="D4773" t="s">
        <v>496</v>
      </c>
      <c r="E4773" t="s">
        <v>513</v>
      </c>
    </row>
    <row r="4774" spans="2:5" x14ac:dyDescent="0.3">
      <c r="B4774" t="s">
        <v>7349</v>
      </c>
      <c r="C4774">
        <v>507685</v>
      </c>
      <c r="D4774" t="s">
        <v>7350</v>
      </c>
      <c r="E4774" t="s">
        <v>482</v>
      </c>
    </row>
    <row r="4775" spans="2:5" x14ac:dyDescent="0.3">
      <c r="B4775" t="s">
        <v>7351</v>
      </c>
      <c r="C4775">
        <v>507817</v>
      </c>
      <c r="D4775" t="s">
        <v>496</v>
      </c>
      <c r="E4775" t="s">
        <v>511</v>
      </c>
    </row>
    <row r="4776" spans="2:5" x14ac:dyDescent="0.3">
      <c r="B4776" t="s">
        <v>7352</v>
      </c>
      <c r="C4776">
        <v>511642</v>
      </c>
      <c r="D4776" t="s">
        <v>496</v>
      </c>
      <c r="E4776" t="s">
        <v>513</v>
      </c>
    </row>
    <row r="4777" spans="2:5" x14ac:dyDescent="0.3">
      <c r="B4777" t="s">
        <v>7353</v>
      </c>
      <c r="C4777">
        <v>532300</v>
      </c>
      <c r="D4777" t="s">
        <v>7354</v>
      </c>
      <c r="E4777" t="s">
        <v>534</v>
      </c>
    </row>
    <row r="4778" spans="2:5" x14ac:dyDescent="0.3">
      <c r="B4778" t="s">
        <v>7355</v>
      </c>
      <c r="C4778">
        <v>531396</v>
      </c>
      <c r="D4778" t="s">
        <v>496</v>
      </c>
      <c r="E4778" t="s">
        <v>589</v>
      </c>
    </row>
    <row r="4779" spans="2:5" x14ac:dyDescent="0.3">
      <c r="B4779" t="s">
        <v>7356</v>
      </c>
      <c r="C4779">
        <v>538128</v>
      </c>
      <c r="D4779" t="s">
        <v>496</v>
      </c>
      <c r="E4779" t="s">
        <v>610</v>
      </c>
    </row>
    <row r="4780" spans="2:5" x14ac:dyDescent="0.3">
      <c r="B4780" t="s">
        <v>7357</v>
      </c>
      <c r="C4780">
        <v>538268</v>
      </c>
      <c r="D4780" t="s">
        <v>7358</v>
      </c>
      <c r="E4780" t="s">
        <v>674</v>
      </c>
    </row>
    <row r="4781" spans="2:5" x14ac:dyDescent="0.3">
      <c r="B4781" t="s">
        <v>7359</v>
      </c>
      <c r="C4781">
        <v>526959</v>
      </c>
      <c r="D4781" t="s">
        <v>496</v>
      </c>
      <c r="E4781" t="s">
        <v>697</v>
      </c>
    </row>
    <row r="4782" spans="2:5" x14ac:dyDescent="0.3">
      <c r="B4782" t="s">
        <v>7360</v>
      </c>
      <c r="C4782">
        <v>526525</v>
      </c>
      <c r="D4782" t="s">
        <v>496</v>
      </c>
      <c r="E4782" t="s">
        <v>610</v>
      </c>
    </row>
    <row r="4783" spans="2:5" x14ac:dyDescent="0.3">
      <c r="B4783" t="s">
        <v>7361</v>
      </c>
      <c r="C4783">
        <v>538451</v>
      </c>
      <c r="D4783" t="s">
        <v>496</v>
      </c>
      <c r="E4783" t="s">
        <v>516</v>
      </c>
    </row>
    <row r="4784" spans="2:5" x14ac:dyDescent="0.3">
      <c r="B4784" t="s">
        <v>7362</v>
      </c>
      <c r="C4784" t="s">
        <v>496</v>
      </c>
      <c r="D4784" t="s">
        <v>7363</v>
      </c>
      <c r="E4784" t="s">
        <v>507</v>
      </c>
    </row>
    <row r="4785" spans="2:5" x14ac:dyDescent="0.3">
      <c r="B4785" t="s">
        <v>7364</v>
      </c>
      <c r="C4785">
        <v>505872</v>
      </c>
      <c r="D4785" t="s">
        <v>496</v>
      </c>
      <c r="E4785" t="s">
        <v>504</v>
      </c>
    </row>
    <row r="4786" spans="2:5" x14ac:dyDescent="0.3">
      <c r="B4786" t="s">
        <v>7365</v>
      </c>
      <c r="C4786">
        <v>532616</v>
      </c>
      <c r="D4786" t="s">
        <v>7366</v>
      </c>
      <c r="E4786" t="s">
        <v>826</v>
      </c>
    </row>
    <row r="4787" spans="2:5" x14ac:dyDescent="0.3">
      <c r="B4787" t="s">
        <v>7367</v>
      </c>
      <c r="C4787">
        <v>542367</v>
      </c>
      <c r="D4787" t="s">
        <v>7368</v>
      </c>
      <c r="E4787" t="s">
        <v>5620</v>
      </c>
    </row>
    <row r="4788" spans="2:5" x14ac:dyDescent="0.3">
      <c r="B4788" t="s">
        <v>7369</v>
      </c>
      <c r="C4788">
        <v>532788</v>
      </c>
      <c r="D4788" t="s">
        <v>7370</v>
      </c>
      <c r="E4788" t="s">
        <v>642</v>
      </c>
    </row>
    <row r="4789" spans="2:5" x14ac:dyDescent="0.3">
      <c r="B4789" t="s">
        <v>7371</v>
      </c>
      <c r="C4789">
        <v>590013</v>
      </c>
      <c r="D4789" t="s">
        <v>7372</v>
      </c>
      <c r="E4789" t="s">
        <v>544</v>
      </c>
    </row>
    <row r="4790" spans="2:5" x14ac:dyDescent="0.3">
      <c r="B4790" t="s">
        <v>7373</v>
      </c>
      <c r="C4790">
        <v>590013</v>
      </c>
      <c r="D4790" t="s">
        <v>7374</v>
      </c>
      <c r="E4790" t="s">
        <v>544</v>
      </c>
    </row>
    <row r="4791" spans="2:5" x14ac:dyDescent="0.3">
      <c r="B4791" t="s">
        <v>7375</v>
      </c>
      <c r="C4791">
        <v>511012</v>
      </c>
      <c r="D4791" t="s">
        <v>496</v>
      </c>
      <c r="E4791" t="s">
        <v>516</v>
      </c>
    </row>
    <row r="4792" spans="2:5" x14ac:dyDescent="0.3">
      <c r="B4792" t="s">
        <v>7376</v>
      </c>
      <c r="C4792">
        <v>514378</v>
      </c>
      <c r="D4792" t="s">
        <v>496</v>
      </c>
      <c r="E4792" t="s">
        <v>518</v>
      </c>
    </row>
    <row r="4793" spans="2:5" x14ac:dyDescent="0.3">
      <c r="B4793" t="s">
        <v>7377</v>
      </c>
      <c r="C4793">
        <v>539939</v>
      </c>
      <c r="D4793" t="s">
        <v>496</v>
      </c>
      <c r="E4793" t="s">
        <v>656</v>
      </c>
    </row>
    <row r="4794" spans="2:5" x14ac:dyDescent="0.3">
      <c r="B4794" t="s">
        <v>7378</v>
      </c>
      <c r="C4794">
        <v>511601</v>
      </c>
      <c r="D4794" t="s">
        <v>496</v>
      </c>
      <c r="E4794" t="s">
        <v>518</v>
      </c>
    </row>
    <row r="4795" spans="2:5" x14ac:dyDescent="0.3">
      <c r="B4795" t="s">
        <v>7379</v>
      </c>
      <c r="C4795">
        <v>516030</v>
      </c>
      <c r="D4795" t="s">
        <v>496</v>
      </c>
      <c r="E4795" t="s">
        <v>490</v>
      </c>
    </row>
    <row r="4796" spans="2:5" x14ac:dyDescent="0.3">
      <c r="B4796" t="s">
        <v>7380</v>
      </c>
      <c r="C4796">
        <v>541167</v>
      </c>
      <c r="D4796" t="s">
        <v>496</v>
      </c>
      <c r="E4796" t="s">
        <v>656</v>
      </c>
    </row>
    <row r="4797" spans="2:5" x14ac:dyDescent="0.3">
      <c r="B4797" t="s">
        <v>7381</v>
      </c>
      <c r="C4797">
        <v>530063</v>
      </c>
      <c r="D4797" t="s">
        <v>496</v>
      </c>
      <c r="E4797" t="s">
        <v>691</v>
      </c>
    </row>
    <row r="4798" spans="2:5" x14ac:dyDescent="0.3">
      <c r="B4798" t="s">
        <v>7382</v>
      </c>
      <c r="C4798">
        <v>532648</v>
      </c>
      <c r="D4798" t="s">
        <v>7383</v>
      </c>
      <c r="E4798" t="s">
        <v>814</v>
      </c>
    </row>
    <row r="4799" spans="2:5" x14ac:dyDescent="0.3">
      <c r="B4799" t="s">
        <v>7384</v>
      </c>
      <c r="C4799">
        <v>531260</v>
      </c>
      <c r="D4799" t="s">
        <v>496</v>
      </c>
      <c r="E4799" t="s">
        <v>556</v>
      </c>
    </row>
    <row r="4800" spans="2:5" x14ac:dyDescent="0.3">
      <c r="B4800" t="s">
        <v>7385</v>
      </c>
      <c r="C4800">
        <v>522209</v>
      </c>
      <c r="D4800" t="s">
        <v>496</v>
      </c>
      <c r="E4800" t="s">
        <v>479</v>
      </c>
    </row>
    <row r="4801" spans="2:5" x14ac:dyDescent="0.3">
      <c r="B4801" t="s">
        <v>7386</v>
      </c>
      <c r="C4801">
        <v>522209</v>
      </c>
      <c r="D4801" t="s">
        <v>496</v>
      </c>
      <c r="E4801" t="s">
        <v>479</v>
      </c>
    </row>
    <row r="4802" spans="2:5" x14ac:dyDescent="0.3">
      <c r="B4802" t="s">
        <v>7387</v>
      </c>
      <c r="C4802">
        <v>539097</v>
      </c>
      <c r="D4802" t="s">
        <v>496</v>
      </c>
      <c r="E4802" t="s">
        <v>518</v>
      </c>
    </row>
    <row r="4803" spans="2:5" x14ac:dyDescent="0.3">
      <c r="B4803" t="s">
        <v>7388</v>
      </c>
      <c r="C4803">
        <v>530675</v>
      </c>
      <c r="D4803" t="s">
        <v>496</v>
      </c>
      <c r="E4803" t="s">
        <v>610</v>
      </c>
    </row>
    <row r="4804" spans="2:5" x14ac:dyDescent="0.3">
      <c r="B4804" t="s">
        <v>7389</v>
      </c>
      <c r="C4804">
        <v>540550</v>
      </c>
      <c r="D4804" t="s">
        <v>496</v>
      </c>
      <c r="E4804" t="s">
        <v>656</v>
      </c>
    </row>
    <row r="4805" spans="2:5" x14ac:dyDescent="0.3">
      <c r="B4805" t="s">
        <v>7390</v>
      </c>
      <c r="C4805">
        <v>522108</v>
      </c>
      <c r="D4805" t="s">
        <v>496</v>
      </c>
      <c r="E4805" t="s">
        <v>851</v>
      </c>
    </row>
    <row r="4806" spans="2:5" x14ac:dyDescent="0.3">
      <c r="B4806" t="s">
        <v>7391</v>
      </c>
      <c r="C4806">
        <v>522108</v>
      </c>
      <c r="D4806" t="s">
        <v>496</v>
      </c>
      <c r="E4806" t="s">
        <v>851</v>
      </c>
    </row>
    <row r="4807" spans="2:5" x14ac:dyDescent="0.3">
      <c r="B4807" t="s">
        <v>7392</v>
      </c>
      <c r="C4807">
        <v>536846</v>
      </c>
      <c r="D4807" t="s">
        <v>496</v>
      </c>
      <c r="E4807" t="s">
        <v>894</v>
      </c>
    </row>
    <row r="4808" spans="2:5" x14ac:dyDescent="0.3">
      <c r="B4808" t="s">
        <v>7393</v>
      </c>
      <c r="C4808">
        <v>531663</v>
      </c>
      <c r="D4808" t="s">
        <v>7394</v>
      </c>
      <c r="E4808" t="s">
        <v>2315</v>
      </c>
    </row>
    <row r="4809" spans="2:5" x14ac:dyDescent="0.3">
      <c r="B4809" t="s">
        <v>7395</v>
      </c>
      <c r="C4809">
        <v>505163</v>
      </c>
      <c r="D4809" t="s">
        <v>496</v>
      </c>
      <c r="E4809" t="s">
        <v>851</v>
      </c>
    </row>
    <row r="4810" spans="2:5" x14ac:dyDescent="0.3">
      <c r="B4810" t="s">
        <v>7396</v>
      </c>
      <c r="C4810">
        <v>505163</v>
      </c>
      <c r="D4810" t="s">
        <v>496</v>
      </c>
      <c r="E4810" t="s">
        <v>851</v>
      </c>
    </row>
    <row r="4811" spans="2:5" x14ac:dyDescent="0.3">
      <c r="B4811" t="s">
        <v>7397</v>
      </c>
      <c r="C4811">
        <v>539963</v>
      </c>
      <c r="D4811" t="s">
        <v>496</v>
      </c>
      <c r="E4811" t="s">
        <v>576</v>
      </c>
    </row>
    <row r="4812" spans="2:5" x14ac:dyDescent="0.3">
      <c r="B4812" t="s">
        <v>7398</v>
      </c>
      <c r="C4812">
        <v>505537</v>
      </c>
      <c r="D4812" t="s">
        <v>7399</v>
      </c>
      <c r="E4812" t="s">
        <v>1235</v>
      </c>
    </row>
    <row r="4813" spans="2:5" x14ac:dyDescent="0.3">
      <c r="B4813" t="s">
        <v>7400</v>
      </c>
      <c r="C4813">
        <v>533287</v>
      </c>
      <c r="D4813" t="s">
        <v>7401</v>
      </c>
      <c r="E4813" t="s">
        <v>601</v>
      </c>
    </row>
    <row r="4814" spans="2:5" x14ac:dyDescent="0.3">
      <c r="B4814" t="s">
        <v>7402</v>
      </c>
      <c r="C4814">
        <v>532794</v>
      </c>
      <c r="D4814" t="s">
        <v>7403</v>
      </c>
      <c r="E4814" t="s">
        <v>1235</v>
      </c>
    </row>
    <row r="4815" spans="2:5" x14ac:dyDescent="0.3">
      <c r="B4815" t="s">
        <v>7404</v>
      </c>
      <c r="C4815">
        <v>533339</v>
      </c>
      <c r="D4815" t="s">
        <v>7405</v>
      </c>
      <c r="E4815" t="s">
        <v>589</v>
      </c>
    </row>
    <row r="4816" spans="2:5" x14ac:dyDescent="0.3">
      <c r="B4816" t="s">
        <v>7406</v>
      </c>
      <c r="C4816">
        <v>531845</v>
      </c>
      <c r="D4816" t="s">
        <v>7407</v>
      </c>
      <c r="E4816" t="s">
        <v>894</v>
      </c>
    </row>
    <row r="4817" spans="2:5" x14ac:dyDescent="0.3">
      <c r="B4817" t="s">
        <v>7408</v>
      </c>
      <c r="C4817">
        <v>531845</v>
      </c>
      <c r="D4817" t="s">
        <v>7407</v>
      </c>
      <c r="E4817" t="s">
        <v>894</v>
      </c>
    </row>
    <row r="4818" spans="2:5" x14ac:dyDescent="0.3">
      <c r="B4818" t="s">
        <v>7409</v>
      </c>
      <c r="C4818">
        <v>512553</v>
      </c>
      <c r="D4818" t="s">
        <v>7410</v>
      </c>
      <c r="E4818" t="s">
        <v>511</v>
      </c>
    </row>
    <row r="4819" spans="2:5" x14ac:dyDescent="0.3">
      <c r="B4819" t="s">
        <v>7411</v>
      </c>
      <c r="C4819">
        <v>514266</v>
      </c>
      <c r="D4819" t="s">
        <v>496</v>
      </c>
      <c r="E4819" t="s">
        <v>511</v>
      </c>
    </row>
    <row r="4820" spans="2:5" x14ac:dyDescent="0.3">
      <c r="B4820" t="s">
        <v>7412</v>
      </c>
      <c r="C4820">
        <v>530665</v>
      </c>
      <c r="D4820" t="s">
        <v>496</v>
      </c>
      <c r="E4820" t="s">
        <v>534</v>
      </c>
    </row>
    <row r="4821" spans="2:5" x14ac:dyDescent="0.3">
      <c r="B4821" t="s">
        <v>7413</v>
      </c>
      <c r="C4821">
        <v>530697</v>
      </c>
      <c r="D4821" t="s">
        <v>496</v>
      </c>
      <c r="E4821" t="s">
        <v>917</v>
      </c>
    </row>
    <row r="4822" spans="2:5" x14ac:dyDescent="0.3">
      <c r="B4822" t="s">
        <v>7414</v>
      </c>
      <c r="C4822">
        <v>532039</v>
      </c>
      <c r="D4822" t="s">
        <v>496</v>
      </c>
      <c r="E4822" t="s">
        <v>534</v>
      </c>
    </row>
    <row r="4823" spans="2:5" x14ac:dyDescent="0.3">
      <c r="B4823" t="s">
        <v>7415</v>
      </c>
      <c r="C4823">
        <v>504067</v>
      </c>
      <c r="D4823" t="s">
        <v>7416</v>
      </c>
      <c r="E4823" t="s">
        <v>482</v>
      </c>
    </row>
    <row r="4824" spans="2:5" x14ac:dyDescent="0.3">
      <c r="B4824" t="s">
        <v>7417</v>
      </c>
      <c r="C4824">
        <v>531404</v>
      </c>
      <c r="D4824" t="s">
        <v>7418</v>
      </c>
      <c r="E4824" t="s">
        <v>1038</v>
      </c>
    </row>
    <row r="4825" spans="2:5" x14ac:dyDescent="0.3">
      <c r="B4825" t="s">
        <v>7419</v>
      </c>
      <c r="C4825">
        <v>541400</v>
      </c>
      <c r="D4825" t="s">
        <v>496</v>
      </c>
      <c r="E4825" t="s">
        <v>534</v>
      </c>
    </row>
    <row r="4826" spans="2:5" x14ac:dyDescent="0.3">
      <c r="B4826" t="s">
        <v>7420</v>
      </c>
      <c r="C4826">
        <v>521163</v>
      </c>
      <c r="D4826" t="s">
        <v>7421</v>
      </c>
      <c r="E4826" t="s">
        <v>610</v>
      </c>
    </row>
    <row r="4827" spans="2:5" x14ac:dyDescent="0.3">
      <c r="B4827" t="s">
        <v>7422</v>
      </c>
      <c r="C4827" t="s">
        <v>496</v>
      </c>
      <c r="D4827" t="s">
        <v>7423</v>
      </c>
      <c r="E4827" t="s">
        <v>507</v>
      </c>
    </row>
    <row r="4828" spans="2:5" x14ac:dyDescent="0.3">
      <c r="B4828" t="s">
        <v>7424</v>
      </c>
      <c r="C4828">
        <v>512587</v>
      </c>
      <c r="D4828" t="s">
        <v>7425</v>
      </c>
      <c r="E4828" t="s">
        <v>610</v>
      </c>
    </row>
    <row r="4829" spans="2:5" x14ac:dyDescent="0.3">
      <c r="B4829" t="s">
        <v>7426</v>
      </c>
      <c r="C4829">
        <v>503641</v>
      </c>
      <c r="D4829" t="s">
        <v>7427</v>
      </c>
      <c r="E4829" t="s">
        <v>580</v>
      </c>
    </row>
    <row r="4830" spans="2:5" x14ac:dyDescent="0.3">
      <c r="B4830" t="s">
        <v>7428</v>
      </c>
      <c r="C4830" t="s">
        <v>496</v>
      </c>
      <c r="D4830" t="s">
        <v>7429</v>
      </c>
      <c r="E4830" t="s">
        <v>507</v>
      </c>
    </row>
    <row r="4831" spans="2:5" x14ac:dyDescent="0.3">
      <c r="B4831" t="s">
        <v>7430</v>
      </c>
      <c r="C4831">
        <v>534742</v>
      </c>
      <c r="D4831" t="s">
        <v>7431</v>
      </c>
      <c r="E4831" t="s">
        <v>1004</v>
      </c>
    </row>
    <row r="4832" spans="2:5" x14ac:dyDescent="0.3">
      <c r="B4832" t="s">
        <v>7432</v>
      </c>
      <c r="C4832">
        <v>500780</v>
      </c>
      <c r="D4832" t="s">
        <v>7433</v>
      </c>
      <c r="E4832" t="s">
        <v>1004</v>
      </c>
    </row>
    <row r="4833" spans="2:5" x14ac:dyDescent="0.3">
      <c r="B4833" t="s">
        <v>7434</v>
      </c>
      <c r="C4833">
        <v>531335</v>
      </c>
      <c r="D4833" t="s">
        <v>7435</v>
      </c>
      <c r="E4833" t="s">
        <v>556</v>
      </c>
    </row>
    <row r="4834" spans="2:5" x14ac:dyDescent="0.3">
      <c r="B4834" t="s">
        <v>7436</v>
      </c>
      <c r="C4834">
        <v>532883</v>
      </c>
      <c r="D4834" t="s">
        <v>7437</v>
      </c>
      <c r="E4834" t="s">
        <v>589</v>
      </c>
    </row>
    <row r="4835" spans="2:5" x14ac:dyDescent="0.3">
      <c r="B4835" t="s">
        <v>7438</v>
      </c>
      <c r="C4835">
        <v>500202</v>
      </c>
      <c r="D4835" t="s">
        <v>7439</v>
      </c>
      <c r="E4835" t="s">
        <v>513</v>
      </c>
    </row>
    <row r="4836" spans="2:5" x14ac:dyDescent="0.3">
      <c r="B4836" t="s">
        <v>7440</v>
      </c>
      <c r="C4836">
        <v>500458</v>
      </c>
      <c r="D4836" t="s">
        <v>7441</v>
      </c>
      <c r="E4836" t="s">
        <v>576</v>
      </c>
    </row>
    <row r="4837" spans="2:5" x14ac:dyDescent="0.3">
      <c r="B4837" t="s">
        <v>7442</v>
      </c>
      <c r="C4837">
        <v>501111</v>
      </c>
      <c r="D4837" t="s">
        <v>7443</v>
      </c>
      <c r="E4837" t="s">
        <v>518</v>
      </c>
    </row>
    <row r="4838" spans="2:5" x14ac:dyDescent="0.3">
      <c r="B4838" t="s">
        <v>7444</v>
      </c>
      <c r="C4838">
        <v>501151</v>
      </c>
      <c r="D4838" t="s">
        <v>7445</v>
      </c>
      <c r="E4838" t="s">
        <v>479</v>
      </c>
    </row>
    <row r="4839" spans="2:5" x14ac:dyDescent="0.3">
      <c r="B4839" t="s">
        <v>7446</v>
      </c>
      <c r="C4839">
        <v>501311</v>
      </c>
      <c r="D4839" t="s">
        <v>7447</v>
      </c>
      <c r="E4839" t="s">
        <v>513</v>
      </c>
    </row>
    <row r="4840" spans="2:5" x14ac:dyDescent="0.3">
      <c r="B4840" t="s">
        <v>7448</v>
      </c>
      <c r="C4840">
        <v>501622</v>
      </c>
      <c r="D4840" t="s">
        <v>7449</v>
      </c>
      <c r="E4840" t="s">
        <v>7450</v>
      </c>
    </row>
    <row r="4841" spans="2:5" x14ac:dyDescent="0.3">
      <c r="B4841" t="s">
        <v>7451</v>
      </c>
      <c r="C4841">
        <v>502850</v>
      </c>
      <c r="D4841" t="s">
        <v>7452</v>
      </c>
      <c r="E4841" t="s">
        <v>511</v>
      </c>
    </row>
    <row r="4842" spans="2:5" x14ac:dyDescent="0.3">
      <c r="B4842" t="s">
        <v>7453</v>
      </c>
      <c r="C4842">
        <v>503669</v>
      </c>
      <c r="D4842" t="s">
        <v>7454</v>
      </c>
      <c r="E4842" t="s">
        <v>7450</v>
      </c>
    </row>
    <row r="4843" spans="2:5" x14ac:dyDescent="0.3">
      <c r="B4843" t="s">
        <v>7455</v>
      </c>
      <c r="C4843">
        <v>506975</v>
      </c>
      <c r="D4843" t="s">
        <v>7456</v>
      </c>
      <c r="E4843" t="s">
        <v>511</v>
      </c>
    </row>
    <row r="4844" spans="2:5" x14ac:dyDescent="0.3">
      <c r="B4844" t="s">
        <v>7457</v>
      </c>
      <c r="C4844">
        <v>508924</v>
      </c>
      <c r="D4844" t="s">
        <v>7458</v>
      </c>
      <c r="E4844" t="s">
        <v>7450</v>
      </c>
    </row>
    <row r="4845" spans="2:5" x14ac:dyDescent="0.3">
      <c r="B4845" t="s">
        <v>7459</v>
      </c>
      <c r="C4845">
        <v>511260</v>
      </c>
      <c r="D4845" t="s">
        <v>7460</v>
      </c>
      <c r="E4845" t="s">
        <v>479</v>
      </c>
    </row>
    <row r="4846" spans="2:5" x14ac:dyDescent="0.3">
      <c r="B4846" t="s">
        <v>7461</v>
      </c>
      <c r="C4846">
        <v>511730</v>
      </c>
      <c r="D4846" t="s">
        <v>7462</v>
      </c>
      <c r="E4846" t="s">
        <v>513</v>
      </c>
    </row>
    <row r="4847" spans="2:5" x14ac:dyDescent="0.3">
      <c r="B4847" t="s">
        <v>7463</v>
      </c>
      <c r="C4847">
        <v>512221</v>
      </c>
      <c r="D4847" t="s">
        <v>7464</v>
      </c>
      <c r="E4847" t="s">
        <v>513</v>
      </c>
    </row>
    <row r="4848" spans="2:5" x14ac:dyDescent="0.3">
      <c r="B4848" t="s">
        <v>7465</v>
      </c>
      <c r="C4848">
        <v>512344</v>
      </c>
      <c r="D4848" t="s">
        <v>7466</v>
      </c>
      <c r="E4848" t="s">
        <v>518</v>
      </c>
    </row>
    <row r="4849" spans="2:5" x14ac:dyDescent="0.3">
      <c r="B4849" t="s">
        <v>7467</v>
      </c>
      <c r="C4849">
        <v>512345</v>
      </c>
      <c r="D4849" t="s">
        <v>7468</v>
      </c>
      <c r="E4849" t="s">
        <v>479</v>
      </c>
    </row>
    <row r="4850" spans="2:5" x14ac:dyDescent="0.3">
      <c r="B4850" t="s">
        <v>7469</v>
      </c>
      <c r="C4850">
        <v>512479</v>
      </c>
      <c r="D4850" t="s">
        <v>7470</v>
      </c>
      <c r="E4850" t="s">
        <v>582</v>
      </c>
    </row>
    <row r="4851" spans="2:5" x14ac:dyDescent="0.3">
      <c r="B4851" t="s">
        <v>7471</v>
      </c>
      <c r="C4851">
        <v>513343</v>
      </c>
      <c r="D4851" t="s">
        <v>7472</v>
      </c>
      <c r="E4851" t="s">
        <v>819</v>
      </c>
    </row>
    <row r="4852" spans="2:5" x14ac:dyDescent="0.3">
      <c r="B4852" t="s">
        <v>7473</v>
      </c>
      <c r="C4852">
        <v>513418</v>
      </c>
      <c r="D4852" t="s">
        <v>7474</v>
      </c>
      <c r="E4852" t="s">
        <v>1416</v>
      </c>
    </row>
    <row r="4853" spans="2:5" x14ac:dyDescent="0.3">
      <c r="B4853" t="s">
        <v>7475</v>
      </c>
      <c r="C4853">
        <v>515008</v>
      </c>
      <c r="D4853" t="s">
        <v>7476</v>
      </c>
      <c r="E4853" t="s">
        <v>794</v>
      </c>
    </row>
    <row r="4854" spans="2:5" x14ac:dyDescent="0.3">
      <c r="B4854" t="s">
        <v>7477</v>
      </c>
      <c r="C4854">
        <v>517273</v>
      </c>
      <c r="D4854" t="s">
        <v>7478</v>
      </c>
      <c r="E4854" t="s">
        <v>794</v>
      </c>
    </row>
    <row r="4855" spans="2:5" x14ac:dyDescent="0.3">
      <c r="B4855" t="s">
        <v>7479</v>
      </c>
      <c r="C4855">
        <v>517360</v>
      </c>
      <c r="D4855" t="s">
        <v>7480</v>
      </c>
      <c r="E4855" t="s">
        <v>518</v>
      </c>
    </row>
    <row r="4856" spans="2:5" x14ac:dyDescent="0.3">
      <c r="B4856" t="s">
        <v>7481</v>
      </c>
      <c r="C4856">
        <v>517393</v>
      </c>
      <c r="D4856" t="s">
        <v>7482</v>
      </c>
      <c r="E4856" t="s">
        <v>821</v>
      </c>
    </row>
    <row r="4857" spans="2:5" x14ac:dyDescent="0.3">
      <c r="B4857" t="s">
        <v>7483</v>
      </c>
      <c r="C4857">
        <v>519397</v>
      </c>
      <c r="D4857" t="s">
        <v>7484</v>
      </c>
      <c r="E4857" t="s">
        <v>556</v>
      </c>
    </row>
    <row r="4858" spans="2:5" x14ac:dyDescent="0.3">
      <c r="B4858" t="s">
        <v>7485</v>
      </c>
      <c r="C4858">
        <v>519500</v>
      </c>
      <c r="D4858" t="s">
        <v>7486</v>
      </c>
      <c r="E4858" t="s">
        <v>556</v>
      </c>
    </row>
    <row r="4859" spans="2:5" x14ac:dyDescent="0.3">
      <c r="B4859" t="s">
        <v>7487</v>
      </c>
      <c r="C4859">
        <v>522171</v>
      </c>
      <c r="D4859" t="s">
        <v>7488</v>
      </c>
      <c r="E4859" t="s">
        <v>504</v>
      </c>
    </row>
    <row r="4860" spans="2:5" x14ac:dyDescent="0.3">
      <c r="B4860" t="s">
        <v>7489</v>
      </c>
      <c r="C4860">
        <v>524572</v>
      </c>
      <c r="D4860" t="s">
        <v>7490</v>
      </c>
      <c r="E4860" t="s">
        <v>534</v>
      </c>
    </row>
    <row r="4861" spans="2:5" x14ac:dyDescent="0.3">
      <c r="B4861" t="s">
        <v>7491</v>
      </c>
      <c r="C4861">
        <v>526211</v>
      </c>
      <c r="D4861" t="s">
        <v>7492</v>
      </c>
      <c r="E4861" t="s">
        <v>745</v>
      </c>
    </row>
    <row r="4862" spans="2:5" x14ac:dyDescent="0.3">
      <c r="B4862" t="s">
        <v>7493</v>
      </c>
      <c r="C4862">
        <v>526638</v>
      </c>
      <c r="D4862" t="s">
        <v>7494</v>
      </c>
      <c r="E4862" t="s">
        <v>616</v>
      </c>
    </row>
    <row r="4863" spans="2:5" x14ac:dyDescent="0.3">
      <c r="B4863" t="s">
        <v>7495</v>
      </c>
      <c r="C4863">
        <v>530291</v>
      </c>
      <c r="D4863" t="s">
        <v>7496</v>
      </c>
      <c r="E4863" t="s">
        <v>745</v>
      </c>
    </row>
    <row r="4864" spans="2:5" x14ac:dyDescent="0.3">
      <c r="B4864" t="s">
        <v>7497</v>
      </c>
      <c r="C4864">
        <v>530439</v>
      </c>
      <c r="D4864" t="s">
        <v>7498</v>
      </c>
      <c r="E4864" t="s">
        <v>513</v>
      </c>
    </row>
    <row r="4865" spans="2:5" x14ac:dyDescent="0.3">
      <c r="B4865" t="s">
        <v>7499</v>
      </c>
      <c r="C4865">
        <v>530443</v>
      </c>
      <c r="D4865" t="s">
        <v>7500</v>
      </c>
      <c r="E4865" t="s">
        <v>511</v>
      </c>
    </row>
    <row r="4866" spans="2:5" x14ac:dyDescent="0.3">
      <c r="B4866" t="s">
        <v>7501</v>
      </c>
      <c r="C4866">
        <v>531205</v>
      </c>
      <c r="D4866" t="s">
        <v>7502</v>
      </c>
      <c r="E4866" t="s">
        <v>518</v>
      </c>
    </row>
    <row r="4867" spans="2:5" x14ac:dyDescent="0.3">
      <c r="B4867" t="s">
        <v>7503</v>
      </c>
      <c r="C4867">
        <v>531225</v>
      </c>
      <c r="D4867" t="s">
        <v>7504</v>
      </c>
      <c r="E4867" t="s">
        <v>589</v>
      </c>
    </row>
    <row r="4868" spans="2:5" x14ac:dyDescent="0.3">
      <c r="B4868" t="s">
        <v>7505</v>
      </c>
      <c r="C4868">
        <v>531436</v>
      </c>
      <c r="D4868" t="s">
        <v>7506</v>
      </c>
      <c r="E4868" t="s">
        <v>490</v>
      </c>
    </row>
    <row r="4869" spans="2:5" x14ac:dyDescent="0.3">
      <c r="B4869" t="s">
        <v>7507</v>
      </c>
      <c r="C4869">
        <v>531621</v>
      </c>
      <c r="D4869" t="s">
        <v>7508</v>
      </c>
      <c r="E4869" t="s">
        <v>502</v>
      </c>
    </row>
    <row r="4870" spans="2:5" x14ac:dyDescent="0.3">
      <c r="B4870" t="s">
        <v>7509</v>
      </c>
      <c r="C4870">
        <v>531944</v>
      </c>
      <c r="D4870" t="s">
        <v>7510</v>
      </c>
      <c r="E4870" t="s">
        <v>504</v>
      </c>
    </row>
    <row r="4871" spans="2:5" x14ac:dyDescent="0.3">
      <c r="B4871" t="s">
        <v>7511</v>
      </c>
      <c r="C4871">
        <v>532138</v>
      </c>
      <c r="D4871" t="s">
        <v>7512</v>
      </c>
      <c r="E4871" t="s">
        <v>513</v>
      </c>
    </row>
    <row r="4872" spans="2:5" x14ac:dyDescent="0.3">
      <c r="B4872" t="s">
        <v>7513</v>
      </c>
      <c r="C4872">
        <v>533093</v>
      </c>
      <c r="D4872" t="s">
        <v>7514</v>
      </c>
      <c r="E4872" t="s">
        <v>745</v>
      </c>
    </row>
    <row r="4873" spans="2:5" x14ac:dyDescent="0.3">
      <c r="B4873" t="s">
        <v>7515</v>
      </c>
      <c r="C4873">
        <v>533570</v>
      </c>
      <c r="D4873" t="s">
        <v>7516</v>
      </c>
      <c r="E4873" t="s">
        <v>411</v>
      </c>
    </row>
    <row r="4874" spans="2:5" x14ac:dyDescent="0.3">
      <c r="B4874" t="s">
        <v>7517</v>
      </c>
      <c r="C4874">
        <v>533719</v>
      </c>
      <c r="D4874" t="s">
        <v>7518</v>
      </c>
      <c r="E4874" t="s">
        <v>411</v>
      </c>
    </row>
    <row r="4875" spans="2:5" x14ac:dyDescent="0.3">
      <c r="B4875" t="s">
        <v>7519</v>
      </c>
      <c r="C4875">
        <v>535276</v>
      </c>
      <c r="D4875" t="s">
        <v>7520</v>
      </c>
      <c r="E4875" t="s">
        <v>411</v>
      </c>
    </row>
    <row r="4876" spans="2:5" x14ac:dyDescent="0.3">
      <c r="B4876" t="s">
        <v>7521</v>
      </c>
      <c r="C4876">
        <v>536960</v>
      </c>
      <c r="D4876" t="s">
        <v>7522</v>
      </c>
      <c r="E4876" t="s">
        <v>411</v>
      </c>
    </row>
    <row r="4877" spans="2:5" x14ac:dyDescent="0.3">
      <c r="B4877" t="s">
        <v>7523</v>
      </c>
      <c r="C4877">
        <v>537007</v>
      </c>
      <c r="D4877" t="s">
        <v>7524</v>
      </c>
      <c r="E4877" t="s">
        <v>411</v>
      </c>
    </row>
    <row r="4878" spans="2:5" x14ac:dyDescent="0.3">
      <c r="B4878" t="s">
        <v>7525</v>
      </c>
      <c r="C4878">
        <v>537008</v>
      </c>
      <c r="D4878" t="s">
        <v>7526</v>
      </c>
      <c r="E4878" t="s">
        <v>411</v>
      </c>
    </row>
    <row r="4879" spans="2:5" x14ac:dyDescent="0.3">
      <c r="B4879" t="s">
        <v>7527</v>
      </c>
      <c r="C4879">
        <v>537483</v>
      </c>
      <c r="D4879" t="s">
        <v>7528</v>
      </c>
      <c r="E4879" t="s">
        <v>411</v>
      </c>
    </row>
    <row r="4880" spans="2:5" x14ac:dyDescent="0.3">
      <c r="B4880" t="s">
        <v>7529</v>
      </c>
      <c r="C4880">
        <v>537708</v>
      </c>
      <c r="D4880" t="s">
        <v>7530</v>
      </c>
      <c r="E4880" t="s">
        <v>411</v>
      </c>
    </row>
    <row r="4881" spans="2:5" x14ac:dyDescent="0.3">
      <c r="B4881" t="s">
        <v>7531</v>
      </c>
      <c r="C4881">
        <v>538057</v>
      </c>
      <c r="D4881" t="s">
        <v>7532</v>
      </c>
      <c r="E4881" t="s">
        <v>411</v>
      </c>
    </row>
    <row r="4882" spans="2:5" x14ac:dyDescent="0.3">
      <c r="B4882" t="s">
        <v>7533</v>
      </c>
      <c r="C4882">
        <v>538273</v>
      </c>
      <c r="D4882" t="s">
        <v>7534</v>
      </c>
      <c r="E4882" t="s">
        <v>589</v>
      </c>
    </row>
    <row r="4883" spans="2:5" x14ac:dyDescent="0.3">
      <c r="B4883" t="s">
        <v>7535</v>
      </c>
      <c r="C4883">
        <v>538452</v>
      </c>
      <c r="D4883" t="s">
        <v>7536</v>
      </c>
      <c r="E4883" t="s">
        <v>518</v>
      </c>
    </row>
    <row r="4884" spans="2:5" x14ac:dyDescent="0.3">
      <c r="B4884" t="s">
        <v>7537</v>
      </c>
      <c r="C4884">
        <v>538501</v>
      </c>
      <c r="D4884" t="s">
        <v>7538</v>
      </c>
      <c r="E4884" t="s">
        <v>411</v>
      </c>
    </row>
    <row r="4885" spans="2:5" x14ac:dyDescent="0.3">
      <c r="B4885" t="s">
        <v>7539</v>
      </c>
      <c r="C4885">
        <v>538502</v>
      </c>
      <c r="D4885" t="s">
        <v>7540</v>
      </c>
      <c r="E4885" t="s">
        <v>411</v>
      </c>
    </row>
    <row r="4886" spans="2:5" x14ac:dyDescent="0.3">
      <c r="B4886" t="s">
        <v>7541</v>
      </c>
      <c r="C4886">
        <v>538577</v>
      </c>
      <c r="D4886" t="s">
        <v>7542</v>
      </c>
      <c r="E4886" t="s">
        <v>411</v>
      </c>
    </row>
    <row r="4887" spans="2:5" x14ac:dyDescent="0.3">
      <c r="B4887" t="s">
        <v>7543</v>
      </c>
      <c r="C4887">
        <v>538578</v>
      </c>
      <c r="D4887" t="s">
        <v>7544</v>
      </c>
      <c r="E4887" t="s">
        <v>411</v>
      </c>
    </row>
    <row r="4888" spans="2:5" x14ac:dyDescent="0.3">
      <c r="B4888" t="s">
        <v>7545</v>
      </c>
      <c r="C4888">
        <v>538646</v>
      </c>
      <c r="D4888" t="s">
        <v>7546</v>
      </c>
      <c r="E4888" t="s">
        <v>513</v>
      </c>
    </row>
    <row r="4889" spans="2:5" x14ac:dyDescent="0.3">
      <c r="B4889" t="s">
        <v>7547</v>
      </c>
      <c r="C4889">
        <v>538683</v>
      </c>
      <c r="D4889" t="s">
        <v>7548</v>
      </c>
      <c r="E4889" t="s">
        <v>411</v>
      </c>
    </row>
    <row r="4890" spans="2:5" x14ac:dyDescent="0.3">
      <c r="B4890" t="s">
        <v>7549</v>
      </c>
      <c r="C4890">
        <v>538728</v>
      </c>
      <c r="D4890" t="s">
        <v>7550</v>
      </c>
      <c r="E4890" t="s">
        <v>411</v>
      </c>
    </row>
    <row r="4891" spans="2:5" x14ac:dyDescent="0.3">
      <c r="B4891" t="s">
        <v>7551</v>
      </c>
      <c r="C4891">
        <v>538729</v>
      </c>
      <c r="D4891" t="s">
        <v>7552</v>
      </c>
      <c r="E4891" t="s">
        <v>411</v>
      </c>
    </row>
    <row r="4892" spans="2:5" x14ac:dyDescent="0.3">
      <c r="B4892" t="s">
        <v>7553</v>
      </c>
      <c r="C4892">
        <v>538808</v>
      </c>
      <c r="D4892" t="s">
        <v>7554</v>
      </c>
      <c r="E4892" t="s">
        <v>411</v>
      </c>
    </row>
    <row r="4893" spans="2:5" x14ac:dyDescent="0.3">
      <c r="B4893" t="s">
        <v>7555</v>
      </c>
      <c r="C4893">
        <v>538809</v>
      </c>
      <c r="D4893" t="s">
        <v>7556</v>
      </c>
      <c r="E4893" t="s">
        <v>411</v>
      </c>
    </row>
    <row r="4894" spans="2:5" x14ac:dyDescent="0.3">
      <c r="B4894" t="s">
        <v>7557</v>
      </c>
      <c r="C4894">
        <v>538810</v>
      </c>
      <c r="D4894" t="s">
        <v>7558</v>
      </c>
      <c r="E4894" t="s">
        <v>411</v>
      </c>
    </row>
    <row r="4895" spans="2:5" x14ac:dyDescent="0.3">
      <c r="B4895" t="s">
        <v>7559</v>
      </c>
      <c r="C4895">
        <v>538811</v>
      </c>
      <c r="D4895" t="s">
        <v>7560</v>
      </c>
      <c r="E4895" t="s">
        <v>411</v>
      </c>
    </row>
    <row r="4896" spans="2:5" x14ac:dyDescent="0.3">
      <c r="B4896" t="s">
        <v>7561</v>
      </c>
      <c r="C4896">
        <v>539031</v>
      </c>
      <c r="D4896" t="s">
        <v>7562</v>
      </c>
      <c r="E4896" t="s">
        <v>411</v>
      </c>
    </row>
    <row r="4897" spans="2:5" x14ac:dyDescent="0.3">
      <c r="B4897" t="s">
        <v>7563</v>
      </c>
      <c r="C4897">
        <v>539090</v>
      </c>
      <c r="D4897" t="s">
        <v>7564</v>
      </c>
      <c r="E4897" t="s">
        <v>513</v>
      </c>
    </row>
    <row r="4898" spans="2:5" x14ac:dyDescent="0.3">
      <c r="B4898" t="s">
        <v>7565</v>
      </c>
      <c r="C4898">
        <v>539142</v>
      </c>
      <c r="D4898" t="s">
        <v>7566</v>
      </c>
      <c r="E4898" t="s">
        <v>411</v>
      </c>
    </row>
    <row r="4899" spans="2:5" x14ac:dyDescent="0.3">
      <c r="B4899" t="s">
        <v>7567</v>
      </c>
      <c r="C4899">
        <v>539274</v>
      </c>
      <c r="D4899" t="s">
        <v>7568</v>
      </c>
      <c r="E4899" t="s">
        <v>513</v>
      </c>
    </row>
    <row r="4900" spans="2:5" x14ac:dyDescent="0.3">
      <c r="B4900" t="s">
        <v>7569</v>
      </c>
      <c r="C4900">
        <v>539312</v>
      </c>
      <c r="D4900" t="s">
        <v>7570</v>
      </c>
      <c r="E4900" t="s">
        <v>411</v>
      </c>
    </row>
    <row r="4901" spans="2:5" x14ac:dyDescent="0.3">
      <c r="B4901" t="s">
        <v>7571</v>
      </c>
      <c r="C4901">
        <v>539313</v>
      </c>
      <c r="D4901" t="s">
        <v>7572</v>
      </c>
      <c r="E4901" t="s">
        <v>411</v>
      </c>
    </row>
    <row r="4902" spans="2:5" x14ac:dyDescent="0.3">
      <c r="B4902" t="s">
        <v>7573</v>
      </c>
      <c r="C4902">
        <v>539480</v>
      </c>
      <c r="D4902" t="s">
        <v>7574</v>
      </c>
      <c r="E4902" t="s">
        <v>411</v>
      </c>
    </row>
    <row r="4903" spans="2:5" x14ac:dyDescent="0.3">
      <c r="B4903" t="s">
        <v>7575</v>
      </c>
      <c r="C4903">
        <v>539487</v>
      </c>
      <c r="D4903" t="s">
        <v>7576</v>
      </c>
      <c r="E4903" t="s">
        <v>411</v>
      </c>
    </row>
    <row r="4904" spans="2:5" x14ac:dyDescent="0.3">
      <c r="B4904" t="s">
        <v>7577</v>
      </c>
      <c r="C4904">
        <v>539516</v>
      </c>
      <c r="D4904" t="s">
        <v>7578</v>
      </c>
      <c r="E4904" t="s">
        <v>411</v>
      </c>
    </row>
    <row r="4905" spans="2:5" x14ac:dyDescent="0.3">
      <c r="B4905" t="s">
        <v>7579</v>
      </c>
      <c r="C4905">
        <v>539517</v>
      </c>
      <c r="D4905" t="s">
        <v>7580</v>
      </c>
      <c r="E4905" t="s">
        <v>411</v>
      </c>
    </row>
    <row r="4906" spans="2:5" x14ac:dyDescent="0.3">
      <c r="B4906" t="s">
        <v>7581</v>
      </c>
      <c r="C4906">
        <v>539561</v>
      </c>
      <c r="D4906" t="s">
        <v>7582</v>
      </c>
      <c r="E4906" t="s">
        <v>518</v>
      </c>
    </row>
    <row r="4907" spans="2:5" x14ac:dyDescent="0.3">
      <c r="B4907" t="s">
        <v>7583</v>
      </c>
      <c r="C4907">
        <v>539784</v>
      </c>
      <c r="D4907" t="s">
        <v>7584</v>
      </c>
      <c r="E4907" t="s">
        <v>411</v>
      </c>
    </row>
    <row r="4908" spans="2:5" x14ac:dyDescent="0.3">
      <c r="B4908" t="s">
        <v>7585</v>
      </c>
      <c r="C4908">
        <v>539945</v>
      </c>
      <c r="D4908" t="s">
        <v>7586</v>
      </c>
      <c r="E4908" t="s">
        <v>411</v>
      </c>
    </row>
    <row r="4909" spans="2:5" x14ac:dyDescent="0.3">
      <c r="B4909" t="s">
        <v>7587</v>
      </c>
      <c r="C4909">
        <v>539980</v>
      </c>
      <c r="D4909" t="s">
        <v>7588</v>
      </c>
      <c r="E4909" t="s">
        <v>411</v>
      </c>
    </row>
    <row r="4910" spans="2:5" x14ac:dyDescent="0.3">
      <c r="B4910" t="s">
        <v>7589</v>
      </c>
      <c r="C4910">
        <v>540008</v>
      </c>
      <c r="D4910" t="s">
        <v>7590</v>
      </c>
      <c r="E4910" t="s">
        <v>411</v>
      </c>
    </row>
    <row r="4911" spans="2:5" x14ac:dyDescent="0.3">
      <c r="B4911" t="s">
        <v>7591</v>
      </c>
      <c r="C4911">
        <v>540154</v>
      </c>
      <c r="D4911" t="s">
        <v>7592</v>
      </c>
      <c r="E4911" t="s">
        <v>411</v>
      </c>
    </row>
    <row r="4912" spans="2:5" x14ac:dyDescent="0.3">
      <c r="B4912" t="s">
        <v>7593</v>
      </c>
      <c r="C4912">
        <v>540333</v>
      </c>
      <c r="D4912" t="s">
        <v>7594</v>
      </c>
      <c r="E4912" t="s">
        <v>411</v>
      </c>
    </row>
    <row r="4913" spans="2:5" x14ac:dyDescent="0.3">
      <c r="B4913" t="s">
        <v>7595</v>
      </c>
      <c r="C4913">
        <v>540334</v>
      </c>
      <c r="D4913" t="s">
        <v>7596</v>
      </c>
      <c r="E4913" t="s">
        <v>411</v>
      </c>
    </row>
    <row r="4914" spans="2:5" x14ac:dyDescent="0.3">
      <c r="B4914" t="s">
        <v>7597</v>
      </c>
      <c r="C4914">
        <v>540335</v>
      </c>
      <c r="D4914" t="s">
        <v>7598</v>
      </c>
      <c r="E4914" t="s">
        <v>411</v>
      </c>
    </row>
    <row r="4915" spans="2:5" x14ac:dyDescent="0.3">
      <c r="B4915" t="s">
        <v>7599</v>
      </c>
      <c r="C4915">
        <v>540336</v>
      </c>
      <c r="D4915" t="s">
        <v>7600</v>
      </c>
      <c r="E4915" t="s">
        <v>411</v>
      </c>
    </row>
    <row r="4916" spans="2:5" x14ac:dyDescent="0.3">
      <c r="B4916" t="s">
        <v>7601</v>
      </c>
      <c r="C4916">
        <v>540469</v>
      </c>
      <c r="D4916" t="s">
        <v>7602</v>
      </c>
      <c r="E4916" t="s">
        <v>411</v>
      </c>
    </row>
    <row r="4917" spans="2:5" x14ac:dyDescent="0.3">
      <c r="B4917" t="s">
        <v>7603</v>
      </c>
      <c r="C4917">
        <v>540470</v>
      </c>
      <c r="D4917" t="s">
        <v>7604</v>
      </c>
      <c r="E4917" t="s">
        <v>411</v>
      </c>
    </row>
    <row r="4918" spans="2:5" x14ac:dyDescent="0.3">
      <c r="B4918" t="s">
        <v>7605</v>
      </c>
      <c r="C4918">
        <v>540538</v>
      </c>
      <c r="D4918" t="s">
        <v>7606</v>
      </c>
      <c r="E4918" t="s">
        <v>411</v>
      </c>
    </row>
    <row r="4919" spans="2:5" x14ac:dyDescent="0.3">
      <c r="B4919" t="s">
        <v>7607</v>
      </c>
      <c r="C4919">
        <v>540539</v>
      </c>
      <c r="D4919" t="s">
        <v>7608</v>
      </c>
      <c r="E4919" t="s">
        <v>411</v>
      </c>
    </row>
    <row r="4920" spans="2:5" x14ac:dyDescent="0.3">
      <c r="B4920" t="s">
        <v>7609</v>
      </c>
      <c r="C4920">
        <v>540551</v>
      </c>
      <c r="D4920" t="s">
        <v>7610</v>
      </c>
      <c r="E4920" t="s">
        <v>411</v>
      </c>
    </row>
    <row r="4921" spans="2:5" x14ac:dyDescent="0.3">
      <c r="B4921" t="s">
        <v>7611</v>
      </c>
      <c r="C4921">
        <v>540552</v>
      </c>
      <c r="D4921" t="s">
        <v>7612</v>
      </c>
      <c r="E4921" t="s">
        <v>411</v>
      </c>
    </row>
    <row r="4922" spans="2:5" x14ac:dyDescent="0.3">
      <c r="B4922" t="s">
        <v>7613</v>
      </c>
      <c r="C4922">
        <v>540586</v>
      </c>
      <c r="D4922" t="s">
        <v>7614</v>
      </c>
      <c r="E4922" t="s">
        <v>411</v>
      </c>
    </row>
    <row r="4923" spans="2:5" x14ac:dyDescent="0.3">
      <c r="B4923" t="s">
        <v>7615</v>
      </c>
      <c r="C4923">
        <v>540587</v>
      </c>
      <c r="D4923" t="s">
        <v>7616</v>
      </c>
      <c r="E4923" t="s">
        <v>411</v>
      </c>
    </row>
    <row r="4924" spans="2:5" x14ac:dyDescent="0.3">
      <c r="B4924" t="s">
        <v>7617</v>
      </c>
      <c r="C4924">
        <v>540588</v>
      </c>
      <c r="D4924" t="s">
        <v>7618</v>
      </c>
      <c r="E4924" t="s">
        <v>411</v>
      </c>
    </row>
    <row r="4925" spans="2:5" x14ac:dyDescent="0.3">
      <c r="B4925" t="s">
        <v>7619</v>
      </c>
      <c r="C4925">
        <v>540589</v>
      </c>
      <c r="D4925" t="s">
        <v>7620</v>
      </c>
      <c r="E4925" t="s">
        <v>411</v>
      </c>
    </row>
    <row r="4926" spans="2:5" x14ac:dyDescent="0.3">
      <c r="B4926" t="s">
        <v>7621</v>
      </c>
      <c r="C4926">
        <v>540591</v>
      </c>
      <c r="D4926" t="s">
        <v>7622</v>
      </c>
      <c r="E4926" t="s">
        <v>411</v>
      </c>
    </row>
    <row r="4927" spans="2:5" x14ac:dyDescent="0.3">
      <c r="B4927" t="s">
        <v>7623</v>
      </c>
      <c r="C4927">
        <v>540592</v>
      </c>
      <c r="D4927" t="s">
        <v>7624</v>
      </c>
      <c r="E4927" t="s">
        <v>411</v>
      </c>
    </row>
    <row r="4928" spans="2:5" x14ac:dyDescent="0.3">
      <c r="B4928" t="s">
        <v>7625</v>
      </c>
      <c r="C4928">
        <v>540593</v>
      </c>
      <c r="D4928" t="s">
        <v>7626</v>
      </c>
      <c r="E4928" t="s">
        <v>411</v>
      </c>
    </row>
    <row r="4929" spans="2:5" x14ac:dyDescent="0.3">
      <c r="B4929" t="s">
        <v>7627</v>
      </c>
      <c r="C4929">
        <v>540594</v>
      </c>
      <c r="D4929" t="s">
        <v>7628</v>
      </c>
      <c r="E4929" t="s">
        <v>411</v>
      </c>
    </row>
    <row r="4930" spans="2:5" x14ac:dyDescent="0.3">
      <c r="B4930" t="s">
        <v>7629</v>
      </c>
      <c r="C4930">
        <v>540612</v>
      </c>
      <c r="D4930" t="s">
        <v>7630</v>
      </c>
      <c r="E4930" t="s">
        <v>411</v>
      </c>
    </row>
    <row r="4931" spans="2:5" x14ac:dyDescent="0.3">
      <c r="B4931" t="s">
        <v>7631</v>
      </c>
      <c r="C4931">
        <v>540617</v>
      </c>
      <c r="D4931" t="s">
        <v>7632</v>
      </c>
      <c r="E4931" t="s">
        <v>411</v>
      </c>
    </row>
    <row r="4932" spans="2:5" x14ac:dyDescent="0.3">
      <c r="B4932" t="s">
        <v>7633</v>
      </c>
      <c r="C4932">
        <v>540618</v>
      </c>
      <c r="D4932" t="s">
        <v>7634</v>
      </c>
      <c r="E4932" t="s">
        <v>411</v>
      </c>
    </row>
    <row r="4933" spans="2:5" x14ac:dyDescent="0.3">
      <c r="B4933" t="s">
        <v>7635</v>
      </c>
      <c r="C4933">
        <v>540619</v>
      </c>
      <c r="D4933" t="s">
        <v>7636</v>
      </c>
      <c r="E4933" t="s">
        <v>411</v>
      </c>
    </row>
    <row r="4934" spans="2:5" x14ac:dyDescent="0.3">
      <c r="B4934" t="s">
        <v>7637</v>
      </c>
      <c r="C4934">
        <v>540620</v>
      </c>
      <c r="D4934" t="s">
        <v>7638</v>
      </c>
      <c r="E4934" t="s">
        <v>411</v>
      </c>
    </row>
    <row r="4935" spans="2:5" x14ac:dyDescent="0.3">
      <c r="B4935" t="s">
        <v>7639</v>
      </c>
      <c r="C4935">
        <v>540626</v>
      </c>
      <c r="D4935" t="s">
        <v>7640</v>
      </c>
      <c r="E4935" t="s">
        <v>411</v>
      </c>
    </row>
    <row r="4936" spans="2:5" x14ac:dyDescent="0.3">
      <c r="B4936" t="s">
        <v>7641</v>
      </c>
      <c r="C4936">
        <v>540627</v>
      </c>
      <c r="D4936" t="s">
        <v>7642</v>
      </c>
      <c r="E4936" t="s">
        <v>411</v>
      </c>
    </row>
    <row r="4937" spans="2:5" x14ac:dyDescent="0.3">
      <c r="B4937" t="s">
        <v>7643</v>
      </c>
      <c r="C4937">
        <v>540629</v>
      </c>
      <c r="D4937" t="s">
        <v>7644</v>
      </c>
      <c r="E4937" t="s">
        <v>411</v>
      </c>
    </row>
    <row r="4938" spans="2:5" x14ac:dyDescent="0.3">
      <c r="B4938" t="s">
        <v>7645</v>
      </c>
      <c r="C4938">
        <v>540631</v>
      </c>
      <c r="D4938" t="s">
        <v>7646</v>
      </c>
      <c r="E4938" t="s">
        <v>411</v>
      </c>
    </row>
    <row r="4939" spans="2:5" x14ac:dyDescent="0.3">
      <c r="B4939" t="s">
        <v>7647</v>
      </c>
      <c r="C4939">
        <v>540634</v>
      </c>
      <c r="D4939" t="s">
        <v>7648</v>
      </c>
      <c r="E4939" t="s">
        <v>411</v>
      </c>
    </row>
    <row r="4940" spans="2:5" x14ac:dyDescent="0.3">
      <c r="B4940" t="s">
        <v>7649</v>
      </c>
      <c r="C4940">
        <v>540635</v>
      </c>
      <c r="D4940" t="s">
        <v>7650</v>
      </c>
      <c r="E4940" t="s">
        <v>411</v>
      </c>
    </row>
    <row r="4941" spans="2:5" x14ac:dyDescent="0.3">
      <c r="B4941" t="s">
        <v>7651</v>
      </c>
      <c r="C4941">
        <v>540636</v>
      </c>
      <c r="D4941" t="s">
        <v>7652</v>
      </c>
      <c r="E4941" t="s">
        <v>411</v>
      </c>
    </row>
    <row r="4942" spans="2:5" x14ac:dyDescent="0.3">
      <c r="B4942" t="s">
        <v>7653</v>
      </c>
      <c r="C4942">
        <v>540637</v>
      </c>
      <c r="D4942" t="s">
        <v>7654</v>
      </c>
      <c r="E4942" t="s">
        <v>411</v>
      </c>
    </row>
    <row r="4943" spans="2:5" x14ac:dyDescent="0.3">
      <c r="B4943" t="s">
        <v>7655</v>
      </c>
      <c r="C4943">
        <v>540669</v>
      </c>
      <c r="D4943" t="s">
        <v>7656</v>
      </c>
      <c r="E4943" t="s">
        <v>411</v>
      </c>
    </row>
    <row r="4944" spans="2:5" x14ac:dyDescent="0.3">
      <c r="B4944" t="s">
        <v>7657</v>
      </c>
      <c r="C4944">
        <v>540671</v>
      </c>
      <c r="D4944" t="s">
        <v>7658</v>
      </c>
      <c r="E4944" t="s">
        <v>411</v>
      </c>
    </row>
    <row r="4945" spans="2:5" x14ac:dyDescent="0.3">
      <c r="B4945" t="s">
        <v>7659</v>
      </c>
      <c r="C4945">
        <v>540672</v>
      </c>
      <c r="D4945" t="s">
        <v>7660</v>
      </c>
      <c r="E4945" t="s">
        <v>411</v>
      </c>
    </row>
    <row r="4946" spans="2:5" x14ac:dyDescent="0.3">
      <c r="B4946" t="s">
        <v>7661</v>
      </c>
      <c r="C4946">
        <v>540682</v>
      </c>
      <c r="D4946" t="s">
        <v>7662</v>
      </c>
      <c r="E4946" t="s">
        <v>411</v>
      </c>
    </row>
    <row r="4947" spans="2:5" x14ac:dyDescent="0.3">
      <c r="B4947" t="s">
        <v>7663</v>
      </c>
      <c r="C4947">
        <v>540683</v>
      </c>
      <c r="D4947" t="s">
        <v>7664</v>
      </c>
      <c r="E4947" t="s">
        <v>411</v>
      </c>
    </row>
    <row r="4948" spans="2:5" x14ac:dyDescent="0.3">
      <c r="B4948" t="s">
        <v>7665</v>
      </c>
      <c r="C4948">
        <v>540684</v>
      </c>
      <c r="D4948" t="s">
        <v>7666</v>
      </c>
      <c r="E4948" t="s">
        <v>411</v>
      </c>
    </row>
    <row r="4949" spans="2:5" x14ac:dyDescent="0.3">
      <c r="B4949" t="s">
        <v>7667</v>
      </c>
      <c r="C4949">
        <v>540685</v>
      </c>
      <c r="D4949" t="s">
        <v>7668</v>
      </c>
      <c r="E4949" t="s">
        <v>411</v>
      </c>
    </row>
    <row r="4950" spans="2:5" x14ac:dyDescent="0.3">
      <c r="B4950" t="s">
        <v>7669</v>
      </c>
      <c r="C4950">
        <v>540711</v>
      </c>
      <c r="D4950" t="s">
        <v>7670</v>
      </c>
      <c r="E4950" t="s">
        <v>411</v>
      </c>
    </row>
    <row r="4951" spans="2:5" x14ac:dyDescent="0.3">
      <c r="B4951" t="s">
        <v>7671</v>
      </c>
      <c r="C4951">
        <v>540712</v>
      </c>
      <c r="D4951" t="s">
        <v>7672</v>
      </c>
      <c r="E4951" t="s">
        <v>411</v>
      </c>
    </row>
    <row r="4952" spans="2:5" x14ac:dyDescent="0.3">
      <c r="B4952" t="s">
        <v>7673</v>
      </c>
      <c r="C4952">
        <v>540713</v>
      </c>
      <c r="D4952" t="s">
        <v>7674</v>
      </c>
      <c r="E4952" t="s">
        <v>411</v>
      </c>
    </row>
    <row r="4953" spans="2:5" x14ac:dyDescent="0.3">
      <c r="B4953" t="s">
        <v>7675</v>
      </c>
      <c r="C4953">
        <v>540714</v>
      </c>
      <c r="D4953" t="s">
        <v>7676</v>
      </c>
      <c r="E4953" t="s">
        <v>411</v>
      </c>
    </row>
    <row r="4954" spans="2:5" x14ac:dyDescent="0.3">
      <c r="B4954" t="s">
        <v>7677</v>
      </c>
      <c r="C4954">
        <v>540739</v>
      </c>
      <c r="D4954" t="s">
        <v>7678</v>
      </c>
      <c r="E4954" t="s">
        <v>411</v>
      </c>
    </row>
    <row r="4955" spans="2:5" x14ac:dyDescent="0.3">
      <c r="B4955" t="s">
        <v>7679</v>
      </c>
      <c r="C4955">
        <v>540740</v>
      </c>
      <c r="D4955" t="s">
        <v>7680</v>
      </c>
      <c r="E4955" t="s">
        <v>411</v>
      </c>
    </row>
    <row r="4956" spans="2:5" x14ac:dyDescent="0.3">
      <c r="B4956" t="s">
        <v>7681</v>
      </c>
      <c r="C4956">
        <v>540741</v>
      </c>
      <c r="D4956" t="s">
        <v>7682</v>
      </c>
      <c r="E4956" t="s">
        <v>411</v>
      </c>
    </row>
    <row r="4957" spans="2:5" x14ac:dyDescent="0.3">
      <c r="B4957" t="s">
        <v>7683</v>
      </c>
      <c r="C4957">
        <v>540742</v>
      </c>
      <c r="D4957" t="s">
        <v>7684</v>
      </c>
      <c r="E4957" t="s">
        <v>411</v>
      </c>
    </row>
    <row r="4958" spans="2:5" x14ac:dyDescent="0.3">
      <c r="B4958" t="s">
        <v>7685</v>
      </c>
      <c r="C4958">
        <v>540763</v>
      </c>
      <c r="D4958" t="s">
        <v>7686</v>
      </c>
      <c r="E4958" t="s">
        <v>411</v>
      </c>
    </row>
    <row r="4959" spans="2:5" x14ac:dyDescent="0.3">
      <c r="B4959" t="s">
        <v>7687</v>
      </c>
      <c r="C4959">
        <v>540764</v>
      </c>
      <c r="D4959" t="s">
        <v>7688</v>
      </c>
      <c r="E4959" t="s">
        <v>411</v>
      </c>
    </row>
    <row r="4960" spans="2:5" x14ac:dyDescent="0.3">
      <c r="B4960" t="s">
        <v>7689</v>
      </c>
      <c r="C4960">
        <v>540765</v>
      </c>
      <c r="D4960" t="s">
        <v>7690</v>
      </c>
      <c r="E4960" t="s">
        <v>411</v>
      </c>
    </row>
    <row r="4961" spans="2:5" x14ac:dyDescent="0.3">
      <c r="B4961" t="s">
        <v>7691</v>
      </c>
      <c r="C4961">
        <v>540766</v>
      </c>
      <c r="D4961" t="s">
        <v>7692</v>
      </c>
      <c r="E4961" t="s">
        <v>411</v>
      </c>
    </row>
    <row r="4962" spans="2:5" x14ac:dyDescent="0.3">
      <c r="B4962" t="s">
        <v>7693</v>
      </c>
      <c r="C4962">
        <v>540778</v>
      </c>
      <c r="D4962" t="s">
        <v>7694</v>
      </c>
      <c r="E4962" t="s">
        <v>411</v>
      </c>
    </row>
    <row r="4963" spans="2:5" x14ac:dyDescent="0.3">
      <c r="B4963" t="s">
        <v>7695</v>
      </c>
      <c r="C4963">
        <v>540779</v>
      </c>
      <c r="D4963" t="s">
        <v>7696</v>
      </c>
      <c r="E4963" t="s">
        <v>411</v>
      </c>
    </row>
    <row r="4964" spans="2:5" x14ac:dyDescent="0.3">
      <c r="B4964" t="s">
        <v>7697</v>
      </c>
      <c r="C4964">
        <v>540780</v>
      </c>
      <c r="D4964" t="s">
        <v>7698</v>
      </c>
      <c r="E4964" t="s">
        <v>411</v>
      </c>
    </row>
    <row r="4965" spans="2:5" x14ac:dyDescent="0.3">
      <c r="B4965" t="s">
        <v>7699</v>
      </c>
      <c r="C4965">
        <v>540781</v>
      </c>
      <c r="D4965" t="s">
        <v>7700</v>
      </c>
      <c r="E4965" t="s">
        <v>411</v>
      </c>
    </row>
    <row r="4966" spans="2:5" x14ac:dyDescent="0.3">
      <c r="B4966" t="s">
        <v>7701</v>
      </c>
      <c r="C4966">
        <v>540787</v>
      </c>
      <c r="D4966" t="s">
        <v>7702</v>
      </c>
      <c r="E4966" t="s">
        <v>411</v>
      </c>
    </row>
    <row r="4967" spans="2:5" x14ac:dyDescent="0.3">
      <c r="B4967" t="s">
        <v>7703</v>
      </c>
      <c r="C4967">
        <v>540791</v>
      </c>
      <c r="D4967" t="s">
        <v>7704</v>
      </c>
      <c r="E4967" t="s">
        <v>411</v>
      </c>
    </row>
    <row r="4968" spans="2:5" x14ac:dyDescent="0.3">
      <c r="B4968" t="s">
        <v>7705</v>
      </c>
      <c r="C4968">
        <v>540792</v>
      </c>
      <c r="D4968" t="s">
        <v>7706</v>
      </c>
      <c r="E4968" t="s">
        <v>411</v>
      </c>
    </row>
    <row r="4969" spans="2:5" x14ac:dyDescent="0.3">
      <c r="B4969" t="s">
        <v>7707</v>
      </c>
      <c r="C4969">
        <v>540793</v>
      </c>
      <c r="D4969" t="s">
        <v>7708</v>
      </c>
      <c r="E4969" t="s">
        <v>411</v>
      </c>
    </row>
    <row r="4970" spans="2:5" x14ac:dyDescent="0.3">
      <c r="B4970" t="s">
        <v>7709</v>
      </c>
      <c r="C4970">
        <v>540794</v>
      </c>
      <c r="D4970" t="s">
        <v>7710</v>
      </c>
      <c r="E4970" t="s">
        <v>411</v>
      </c>
    </row>
    <row r="4971" spans="2:5" x14ac:dyDescent="0.3">
      <c r="B4971" t="s">
        <v>7711</v>
      </c>
      <c r="C4971">
        <v>540799</v>
      </c>
      <c r="D4971" t="s">
        <v>7712</v>
      </c>
      <c r="E4971" t="s">
        <v>411</v>
      </c>
    </row>
    <row r="4972" spans="2:5" x14ac:dyDescent="0.3">
      <c r="B4972" t="s">
        <v>7713</v>
      </c>
      <c r="C4972">
        <v>540800</v>
      </c>
      <c r="D4972" t="s">
        <v>7714</v>
      </c>
      <c r="E4972" t="s">
        <v>411</v>
      </c>
    </row>
    <row r="4973" spans="2:5" x14ac:dyDescent="0.3">
      <c r="B4973" t="s">
        <v>7715</v>
      </c>
      <c r="C4973">
        <v>540801</v>
      </c>
      <c r="D4973" t="s">
        <v>7716</v>
      </c>
      <c r="E4973" t="s">
        <v>411</v>
      </c>
    </row>
    <row r="4974" spans="2:5" x14ac:dyDescent="0.3">
      <c r="B4974" t="s">
        <v>7717</v>
      </c>
      <c r="C4974">
        <v>540802</v>
      </c>
      <c r="D4974" t="s">
        <v>7718</v>
      </c>
      <c r="E4974" t="s">
        <v>411</v>
      </c>
    </row>
    <row r="4975" spans="2:5" x14ac:dyDescent="0.3">
      <c r="B4975" t="s">
        <v>7719</v>
      </c>
      <c r="C4975">
        <v>540825</v>
      </c>
      <c r="D4975" t="s">
        <v>7720</v>
      </c>
      <c r="E4975" t="s">
        <v>411</v>
      </c>
    </row>
    <row r="4976" spans="2:5" x14ac:dyDescent="0.3">
      <c r="B4976" t="s">
        <v>7721</v>
      </c>
      <c r="C4976">
        <v>540826</v>
      </c>
      <c r="D4976" t="s">
        <v>7722</v>
      </c>
      <c r="E4976" t="s">
        <v>411</v>
      </c>
    </row>
    <row r="4977" spans="2:5" x14ac:dyDescent="0.3">
      <c r="B4977" t="s">
        <v>7723</v>
      </c>
      <c r="C4977">
        <v>540827</v>
      </c>
      <c r="D4977" t="s">
        <v>7724</v>
      </c>
      <c r="E4977" t="s">
        <v>411</v>
      </c>
    </row>
    <row r="4978" spans="2:5" x14ac:dyDescent="0.3">
      <c r="B4978" t="s">
        <v>7725</v>
      </c>
      <c r="C4978">
        <v>540828</v>
      </c>
      <c r="D4978" t="s">
        <v>7726</v>
      </c>
      <c r="E4978" t="s">
        <v>411</v>
      </c>
    </row>
    <row r="4979" spans="2:5" x14ac:dyDescent="0.3">
      <c r="B4979" t="s">
        <v>7727</v>
      </c>
      <c r="C4979">
        <v>540861</v>
      </c>
      <c r="D4979" t="s">
        <v>7728</v>
      </c>
      <c r="E4979" t="s">
        <v>411</v>
      </c>
    </row>
    <row r="4980" spans="2:5" x14ac:dyDescent="0.3">
      <c r="B4980" t="s">
        <v>7729</v>
      </c>
      <c r="C4980">
        <v>540862</v>
      </c>
      <c r="D4980" t="s">
        <v>7730</v>
      </c>
      <c r="E4980" t="s">
        <v>411</v>
      </c>
    </row>
    <row r="4981" spans="2:5" x14ac:dyDescent="0.3">
      <c r="B4981" t="s">
        <v>7731</v>
      </c>
      <c r="C4981">
        <v>540863</v>
      </c>
      <c r="D4981" t="s">
        <v>7732</v>
      </c>
      <c r="E4981" t="s">
        <v>411</v>
      </c>
    </row>
    <row r="4982" spans="2:5" x14ac:dyDescent="0.3">
      <c r="B4982" t="s">
        <v>7733</v>
      </c>
      <c r="C4982">
        <v>540864</v>
      </c>
      <c r="D4982" t="s">
        <v>7734</v>
      </c>
      <c r="E4982" t="s">
        <v>411</v>
      </c>
    </row>
    <row r="4983" spans="2:5" x14ac:dyDescent="0.3">
      <c r="B4983" t="s">
        <v>7735</v>
      </c>
      <c r="C4983">
        <v>540896</v>
      </c>
      <c r="D4983" t="s">
        <v>7736</v>
      </c>
      <c r="E4983" t="s">
        <v>411</v>
      </c>
    </row>
    <row r="4984" spans="2:5" x14ac:dyDescent="0.3">
      <c r="B4984" t="s">
        <v>7737</v>
      </c>
      <c r="C4984">
        <v>540897</v>
      </c>
      <c r="D4984" t="s">
        <v>7738</v>
      </c>
      <c r="E4984" t="s">
        <v>411</v>
      </c>
    </row>
    <row r="4985" spans="2:5" x14ac:dyDescent="0.3">
      <c r="B4985" t="s">
        <v>7739</v>
      </c>
      <c r="C4985">
        <v>540898</v>
      </c>
      <c r="D4985" t="s">
        <v>7740</v>
      </c>
      <c r="E4985" t="s">
        <v>411</v>
      </c>
    </row>
    <row r="4986" spans="2:5" x14ac:dyDescent="0.3">
      <c r="B4986" t="s">
        <v>7741</v>
      </c>
      <c r="C4986">
        <v>540899</v>
      </c>
      <c r="D4986" t="s">
        <v>7742</v>
      </c>
      <c r="E4986" t="s">
        <v>411</v>
      </c>
    </row>
    <row r="4987" spans="2:5" x14ac:dyDescent="0.3">
      <c r="B4987" t="s">
        <v>7743</v>
      </c>
      <c r="C4987">
        <v>540947</v>
      </c>
      <c r="D4987" t="s">
        <v>7744</v>
      </c>
      <c r="E4987" t="s">
        <v>411</v>
      </c>
    </row>
    <row r="4988" spans="2:5" x14ac:dyDescent="0.3">
      <c r="B4988" t="s">
        <v>7745</v>
      </c>
      <c r="C4988">
        <v>540949</v>
      </c>
      <c r="D4988" t="s">
        <v>7746</v>
      </c>
      <c r="E4988" t="s">
        <v>411</v>
      </c>
    </row>
    <row r="4989" spans="2:5" x14ac:dyDescent="0.3">
      <c r="B4989" t="s">
        <v>7747</v>
      </c>
      <c r="C4989">
        <v>540950</v>
      </c>
      <c r="D4989" t="s">
        <v>7748</v>
      </c>
      <c r="E4989" t="s">
        <v>411</v>
      </c>
    </row>
    <row r="4990" spans="2:5" x14ac:dyDescent="0.3">
      <c r="B4990" t="s">
        <v>7749</v>
      </c>
      <c r="C4990">
        <v>540951</v>
      </c>
      <c r="D4990" t="s">
        <v>7750</v>
      </c>
      <c r="E4990" t="s">
        <v>411</v>
      </c>
    </row>
    <row r="4991" spans="2:5" x14ac:dyDescent="0.3">
      <c r="B4991" t="s">
        <v>7751</v>
      </c>
      <c r="C4991">
        <v>540981</v>
      </c>
      <c r="D4991" t="s">
        <v>7752</v>
      </c>
      <c r="E4991" t="s">
        <v>411</v>
      </c>
    </row>
    <row r="4992" spans="2:5" x14ac:dyDescent="0.3">
      <c r="B4992" t="s">
        <v>7753</v>
      </c>
      <c r="C4992">
        <v>540982</v>
      </c>
      <c r="D4992" t="s">
        <v>7754</v>
      </c>
      <c r="E4992" t="s">
        <v>411</v>
      </c>
    </row>
    <row r="4993" spans="2:5" x14ac:dyDescent="0.3">
      <c r="B4993" t="s">
        <v>7755</v>
      </c>
      <c r="C4993">
        <v>540983</v>
      </c>
      <c r="D4993" t="s">
        <v>7756</v>
      </c>
      <c r="E4993" t="s">
        <v>411</v>
      </c>
    </row>
    <row r="4994" spans="2:5" x14ac:dyDescent="0.3">
      <c r="B4994" t="s">
        <v>7757</v>
      </c>
      <c r="C4994">
        <v>540984</v>
      </c>
      <c r="D4994" t="s">
        <v>7758</v>
      </c>
      <c r="E4994" t="s">
        <v>411</v>
      </c>
    </row>
    <row r="4995" spans="2:5" x14ac:dyDescent="0.3">
      <c r="B4995" t="s">
        <v>7759</v>
      </c>
      <c r="C4995">
        <v>541068</v>
      </c>
      <c r="D4995" t="s">
        <v>7760</v>
      </c>
      <c r="E4995" t="s">
        <v>411</v>
      </c>
    </row>
    <row r="4996" spans="2:5" x14ac:dyDescent="0.3">
      <c r="B4996" t="s">
        <v>7761</v>
      </c>
      <c r="C4996">
        <v>541069</v>
      </c>
      <c r="D4996" t="s">
        <v>7762</v>
      </c>
      <c r="E4996" t="s">
        <v>411</v>
      </c>
    </row>
    <row r="4997" spans="2:5" x14ac:dyDescent="0.3">
      <c r="B4997" t="s">
        <v>7763</v>
      </c>
      <c r="C4997">
        <v>541070</v>
      </c>
      <c r="D4997" t="s">
        <v>7764</v>
      </c>
      <c r="E4997" t="s">
        <v>411</v>
      </c>
    </row>
    <row r="4998" spans="2:5" x14ac:dyDescent="0.3">
      <c r="B4998" t="s">
        <v>7765</v>
      </c>
      <c r="C4998">
        <v>541071</v>
      </c>
      <c r="D4998" t="s">
        <v>7766</v>
      </c>
      <c r="E4998" t="s">
        <v>411</v>
      </c>
    </row>
    <row r="4999" spans="2:5" x14ac:dyDescent="0.3">
      <c r="B4999" t="s">
        <v>7767</v>
      </c>
      <c r="C4999">
        <v>541084</v>
      </c>
      <c r="D4999" t="s">
        <v>7768</v>
      </c>
      <c r="E4999" t="s">
        <v>411</v>
      </c>
    </row>
    <row r="5000" spans="2:5" x14ac:dyDescent="0.3">
      <c r="B5000" t="s">
        <v>7769</v>
      </c>
      <c r="C5000">
        <v>541085</v>
      </c>
      <c r="D5000" t="s">
        <v>7770</v>
      </c>
      <c r="E5000" t="s">
        <v>411</v>
      </c>
    </row>
    <row r="5001" spans="2:5" x14ac:dyDescent="0.3">
      <c r="B5001" t="s">
        <v>7771</v>
      </c>
      <c r="C5001">
        <v>541086</v>
      </c>
      <c r="D5001" t="s">
        <v>7772</v>
      </c>
      <c r="E5001" t="s">
        <v>411</v>
      </c>
    </row>
    <row r="5002" spans="2:5" x14ac:dyDescent="0.3">
      <c r="B5002" t="s">
        <v>7773</v>
      </c>
      <c r="C5002">
        <v>541087</v>
      </c>
      <c r="D5002" t="s">
        <v>7774</v>
      </c>
      <c r="E5002" t="s">
        <v>411</v>
      </c>
    </row>
    <row r="5003" spans="2:5" x14ac:dyDescent="0.3">
      <c r="B5003" t="s">
        <v>7775</v>
      </c>
      <c r="C5003">
        <v>541092</v>
      </c>
      <c r="D5003" t="s">
        <v>7776</v>
      </c>
      <c r="E5003" t="s">
        <v>411</v>
      </c>
    </row>
    <row r="5004" spans="2:5" x14ac:dyDescent="0.3">
      <c r="B5004" t="s">
        <v>7777</v>
      </c>
      <c r="C5004">
        <v>541093</v>
      </c>
      <c r="D5004" t="s">
        <v>7778</v>
      </c>
      <c r="E5004" t="s">
        <v>411</v>
      </c>
    </row>
    <row r="5005" spans="2:5" x14ac:dyDescent="0.3">
      <c r="B5005" t="s">
        <v>7779</v>
      </c>
      <c r="C5005">
        <v>541094</v>
      </c>
      <c r="D5005" t="s">
        <v>7780</v>
      </c>
      <c r="E5005" t="s">
        <v>411</v>
      </c>
    </row>
    <row r="5006" spans="2:5" x14ac:dyDescent="0.3">
      <c r="B5006" t="s">
        <v>7781</v>
      </c>
      <c r="C5006">
        <v>541095</v>
      </c>
      <c r="D5006" t="s">
        <v>7782</v>
      </c>
      <c r="E5006" t="s">
        <v>411</v>
      </c>
    </row>
    <row r="5007" spans="2:5" x14ac:dyDescent="0.3">
      <c r="B5007" t="s">
        <v>7783</v>
      </c>
      <c r="C5007">
        <v>541252</v>
      </c>
      <c r="D5007" t="s">
        <v>7784</v>
      </c>
      <c r="E5007" t="s">
        <v>411</v>
      </c>
    </row>
    <row r="5008" spans="2:5" x14ac:dyDescent="0.3">
      <c r="B5008" t="s">
        <v>7785</v>
      </c>
      <c r="C5008">
        <v>541253</v>
      </c>
      <c r="D5008" t="s">
        <v>7786</v>
      </c>
      <c r="E5008" t="s">
        <v>411</v>
      </c>
    </row>
    <row r="5009" spans="2:5" x14ac:dyDescent="0.3">
      <c r="B5009" t="s">
        <v>7787</v>
      </c>
      <c r="C5009">
        <v>541254</v>
      </c>
      <c r="D5009" t="s">
        <v>7788</v>
      </c>
      <c r="E5009" t="s">
        <v>411</v>
      </c>
    </row>
    <row r="5010" spans="2:5" x14ac:dyDescent="0.3">
      <c r="B5010" t="s">
        <v>7789</v>
      </c>
      <c r="C5010">
        <v>541255</v>
      </c>
      <c r="D5010" t="s">
        <v>7790</v>
      </c>
      <c r="E5010" t="s">
        <v>411</v>
      </c>
    </row>
    <row r="5011" spans="2:5" x14ac:dyDescent="0.3">
      <c r="B5011" t="s">
        <v>7791</v>
      </c>
      <c r="C5011">
        <v>541300</v>
      </c>
      <c r="D5011" t="s">
        <v>7792</v>
      </c>
      <c r="E5011" t="s">
        <v>411</v>
      </c>
    </row>
    <row r="5012" spans="2:5" x14ac:dyDescent="0.3">
      <c r="B5012" t="s">
        <v>7793</v>
      </c>
      <c r="C5012">
        <v>541309</v>
      </c>
      <c r="D5012" t="s">
        <v>7794</v>
      </c>
      <c r="E5012" t="s">
        <v>411</v>
      </c>
    </row>
    <row r="5013" spans="2:5" x14ac:dyDescent="0.3">
      <c r="B5013" t="s">
        <v>7795</v>
      </c>
      <c r="C5013">
        <v>541310</v>
      </c>
      <c r="D5013" t="s">
        <v>7796</v>
      </c>
      <c r="E5013" t="s">
        <v>411</v>
      </c>
    </row>
    <row r="5014" spans="2:5" x14ac:dyDescent="0.3">
      <c r="B5014" t="s">
        <v>7797</v>
      </c>
      <c r="C5014">
        <v>541311</v>
      </c>
      <c r="D5014" t="s">
        <v>7798</v>
      </c>
      <c r="E5014" t="s">
        <v>411</v>
      </c>
    </row>
    <row r="5015" spans="2:5" x14ac:dyDescent="0.3">
      <c r="B5015" t="s">
        <v>7799</v>
      </c>
      <c r="C5015">
        <v>541312</v>
      </c>
      <c r="D5015" t="s">
        <v>7800</v>
      </c>
      <c r="E5015" t="s">
        <v>411</v>
      </c>
    </row>
    <row r="5016" spans="2:5" x14ac:dyDescent="0.3">
      <c r="B5016" t="s">
        <v>7801</v>
      </c>
      <c r="C5016">
        <v>541313</v>
      </c>
      <c r="D5016" t="s">
        <v>7802</v>
      </c>
      <c r="E5016" t="s">
        <v>411</v>
      </c>
    </row>
    <row r="5017" spans="2:5" x14ac:dyDescent="0.3">
      <c r="B5017" t="s">
        <v>7803</v>
      </c>
      <c r="C5017">
        <v>541341</v>
      </c>
      <c r="D5017" t="s">
        <v>7804</v>
      </c>
      <c r="E5017" t="s">
        <v>411</v>
      </c>
    </row>
    <row r="5018" spans="2:5" x14ac:dyDescent="0.3">
      <c r="B5018" t="s">
        <v>7805</v>
      </c>
      <c r="C5018">
        <v>541343</v>
      </c>
      <c r="D5018" t="s">
        <v>7806</v>
      </c>
      <c r="E5018" t="s">
        <v>411</v>
      </c>
    </row>
    <row r="5019" spans="2:5" x14ac:dyDescent="0.3">
      <c r="B5019" t="s">
        <v>7807</v>
      </c>
      <c r="C5019">
        <v>541345</v>
      </c>
      <c r="D5019" t="s">
        <v>7808</v>
      </c>
      <c r="E5019" t="s">
        <v>411</v>
      </c>
    </row>
    <row r="5020" spans="2:5" x14ac:dyDescent="0.3">
      <c r="B5020" t="s">
        <v>7809</v>
      </c>
      <c r="C5020">
        <v>541346</v>
      </c>
      <c r="D5020" t="s">
        <v>7810</v>
      </c>
      <c r="E5020" t="s">
        <v>411</v>
      </c>
    </row>
    <row r="5021" spans="2:5" x14ac:dyDescent="0.3">
      <c r="B5021" t="s">
        <v>7811</v>
      </c>
      <c r="C5021">
        <v>541672</v>
      </c>
      <c r="D5021" t="s">
        <v>7812</v>
      </c>
      <c r="E5021" t="s">
        <v>411</v>
      </c>
    </row>
    <row r="5022" spans="2:5" x14ac:dyDescent="0.3">
      <c r="B5022" t="s">
        <v>7813</v>
      </c>
      <c r="C5022">
        <v>541673</v>
      </c>
      <c r="D5022" t="s">
        <v>7814</v>
      </c>
      <c r="E5022" t="s">
        <v>411</v>
      </c>
    </row>
    <row r="5023" spans="2:5" x14ac:dyDescent="0.3">
      <c r="B5023" t="s">
        <v>7815</v>
      </c>
      <c r="C5023">
        <v>541674</v>
      </c>
      <c r="D5023" t="s">
        <v>7816</v>
      </c>
      <c r="E5023" t="s">
        <v>411</v>
      </c>
    </row>
    <row r="5024" spans="2:5" x14ac:dyDescent="0.3">
      <c r="B5024" t="s">
        <v>7817</v>
      </c>
      <c r="C5024">
        <v>541675</v>
      </c>
      <c r="D5024" t="s">
        <v>7818</v>
      </c>
      <c r="E5024" t="s">
        <v>411</v>
      </c>
    </row>
    <row r="5025" spans="2:5" x14ac:dyDescent="0.3">
      <c r="B5025" t="s">
        <v>7819</v>
      </c>
      <c r="C5025">
        <v>541676</v>
      </c>
      <c r="D5025" t="s">
        <v>7820</v>
      </c>
      <c r="E5025" t="s">
        <v>411</v>
      </c>
    </row>
    <row r="5026" spans="2:5" x14ac:dyDescent="0.3">
      <c r="B5026" t="s">
        <v>7821</v>
      </c>
      <c r="C5026">
        <v>541677</v>
      </c>
      <c r="D5026" t="s">
        <v>7822</v>
      </c>
      <c r="E5026" t="s">
        <v>411</v>
      </c>
    </row>
    <row r="5027" spans="2:5" x14ac:dyDescent="0.3">
      <c r="B5027" t="s">
        <v>7823</v>
      </c>
      <c r="C5027">
        <v>541678</v>
      </c>
      <c r="D5027" t="s">
        <v>7824</v>
      </c>
      <c r="E5027" t="s">
        <v>411</v>
      </c>
    </row>
    <row r="5028" spans="2:5" x14ac:dyDescent="0.3">
      <c r="B5028" t="s">
        <v>7825</v>
      </c>
      <c r="C5028">
        <v>541679</v>
      </c>
      <c r="D5028" t="s">
        <v>7826</v>
      </c>
      <c r="E5028" t="s">
        <v>411</v>
      </c>
    </row>
    <row r="5029" spans="2:5" x14ac:dyDescent="0.3">
      <c r="B5029" t="s">
        <v>7827</v>
      </c>
      <c r="C5029">
        <v>541725</v>
      </c>
      <c r="D5029" t="s">
        <v>7828</v>
      </c>
      <c r="E5029" t="s">
        <v>411</v>
      </c>
    </row>
    <row r="5030" spans="2:5" x14ac:dyDescent="0.3">
      <c r="B5030" t="s">
        <v>7829</v>
      </c>
      <c r="C5030">
        <v>541726</v>
      </c>
      <c r="D5030" t="s">
        <v>7830</v>
      </c>
      <c r="E5030" t="s">
        <v>411</v>
      </c>
    </row>
    <row r="5031" spans="2:5" x14ac:dyDescent="0.3">
      <c r="B5031" t="s">
        <v>7831</v>
      </c>
      <c r="C5031">
        <v>541727</v>
      </c>
      <c r="D5031" t="s">
        <v>7832</v>
      </c>
      <c r="E5031" t="s">
        <v>411</v>
      </c>
    </row>
    <row r="5032" spans="2:5" x14ac:dyDescent="0.3">
      <c r="B5032" t="s">
        <v>7833</v>
      </c>
      <c r="C5032">
        <v>541728</v>
      </c>
      <c r="D5032" t="s">
        <v>7834</v>
      </c>
      <c r="E5032" t="s">
        <v>411</v>
      </c>
    </row>
    <row r="5033" spans="2:5" x14ac:dyDescent="0.3">
      <c r="B5033" t="s">
        <v>7835</v>
      </c>
      <c r="C5033">
        <v>541742</v>
      </c>
      <c r="D5033" t="s">
        <v>7836</v>
      </c>
      <c r="E5033" t="s">
        <v>411</v>
      </c>
    </row>
    <row r="5034" spans="2:5" x14ac:dyDescent="0.3">
      <c r="B5034" t="s">
        <v>7837</v>
      </c>
      <c r="C5034">
        <v>541743</v>
      </c>
      <c r="D5034" t="s">
        <v>7838</v>
      </c>
      <c r="E5034" t="s">
        <v>411</v>
      </c>
    </row>
    <row r="5035" spans="2:5" x14ac:dyDescent="0.3">
      <c r="B5035" t="s">
        <v>7839</v>
      </c>
      <c r="C5035">
        <v>541744</v>
      </c>
      <c r="D5035" t="s">
        <v>7840</v>
      </c>
      <c r="E5035" t="s">
        <v>411</v>
      </c>
    </row>
    <row r="5036" spans="2:5" x14ac:dyDescent="0.3">
      <c r="B5036" t="s">
        <v>7841</v>
      </c>
      <c r="C5036">
        <v>541745</v>
      </c>
      <c r="D5036" t="s">
        <v>7842</v>
      </c>
      <c r="E5036" t="s">
        <v>411</v>
      </c>
    </row>
    <row r="5037" spans="2:5" x14ac:dyDescent="0.3">
      <c r="B5037" t="s">
        <v>7843</v>
      </c>
      <c r="C5037">
        <v>541804</v>
      </c>
      <c r="D5037" t="s">
        <v>7844</v>
      </c>
      <c r="E5037" t="s">
        <v>411</v>
      </c>
    </row>
    <row r="5038" spans="2:5" x14ac:dyDescent="0.3">
      <c r="B5038" t="s">
        <v>7845</v>
      </c>
      <c r="C5038">
        <v>541805</v>
      </c>
      <c r="D5038" t="s">
        <v>7846</v>
      </c>
      <c r="E5038" t="s">
        <v>411</v>
      </c>
    </row>
    <row r="5039" spans="2:5" x14ac:dyDescent="0.3">
      <c r="B5039" t="s">
        <v>7847</v>
      </c>
      <c r="C5039">
        <v>541806</v>
      </c>
      <c r="D5039" t="s">
        <v>7848</v>
      </c>
      <c r="E5039" t="s">
        <v>411</v>
      </c>
    </row>
    <row r="5040" spans="2:5" x14ac:dyDescent="0.3">
      <c r="B5040" t="s">
        <v>7849</v>
      </c>
      <c r="C5040">
        <v>541807</v>
      </c>
      <c r="D5040" t="s">
        <v>7850</v>
      </c>
      <c r="E5040" t="s">
        <v>411</v>
      </c>
    </row>
    <row r="5041" spans="2:5" x14ac:dyDescent="0.3">
      <c r="B5041" t="s">
        <v>7851</v>
      </c>
      <c r="C5041">
        <v>541809</v>
      </c>
      <c r="D5041" t="s">
        <v>7852</v>
      </c>
      <c r="E5041" t="s">
        <v>411</v>
      </c>
    </row>
    <row r="5042" spans="2:5" x14ac:dyDescent="0.3">
      <c r="B5042" t="s">
        <v>7853</v>
      </c>
      <c r="C5042">
        <v>541879</v>
      </c>
      <c r="D5042" t="s">
        <v>7854</v>
      </c>
      <c r="E5042" t="s">
        <v>411</v>
      </c>
    </row>
    <row r="5043" spans="2:5" x14ac:dyDescent="0.3">
      <c r="B5043" t="s">
        <v>7855</v>
      </c>
      <c r="C5043">
        <v>541881</v>
      </c>
      <c r="D5043" t="s">
        <v>7856</v>
      </c>
      <c r="E5043" t="s">
        <v>411</v>
      </c>
    </row>
    <row r="5044" spans="2:5" x14ac:dyDescent="0.3">
      <c r="B5044" t="s">
        <v>7857</v>
      </c>
      <c r="C5044">
        <v>541882</v>
      </c>
      <c r="D5044" t="s">
        <v>7858</v>
      </c>
      <c r="E5044" t="s">
        <v>411</v>
      </c>
    </row>
    <row r="5045" spans="2:5" x14ac:dyDescent="0.3">
      <c r="B5045" t="s">
        <v>7859</v>
      </c>
      <c r="C5045">
        <v>541884</v>
      </c>
      <c r="D5045" t="s">
        <v>7860</v>
      </c>
      <c r="E5045" t="s">
        <v>411</v>
      </c>
    </row>
    <row r="5046" spans="2:5" x14ac:dyDescent="0.3">
      <c r="B5046" t="s">
        <v>7861</v>
      </c>
      <c r="C5046">
        <v>541972</v>
      </c>
      <c r="D5046" t="s">
        <v>7862</v>
      </c>
      <c r="E5046" t="s">
        <v>411</v>
      </c>
    </row>
    <row r="5047" spans="2:5" x14ac:dyDescent="0.3">
      <c r="B5047" t="s">
        <v>7863</v>
      </c>
      <c r="C5047">
        <v>541984</v>
      </c>
      <c r="D5047" t="s">
        <v>7864</v>
      </c>
      <c r="E5047" t="s">
        <v>411</v>
      </c>
    </row>
    <row r="5048" spans="2:5" x14ac:dyDescent="0.3">
      <c r="B5048" t="s">
        <v>7865</v>
      </c>
      <c r="C5048">
        <v>541985</v>
      </c>
      <c r="D5048" t="s">
        <v>7866</v>
      </c>
      <c r="E5048" t="s">
        <v>411</v>
      </c>
    </row>
    <row r="5049" spans="2:5" x14ac:dyDescent="0.3">
      <c r="B5049" t="s">
        <v>7867</v>
      </c>
      <c r="C5049">
        <v>541986</v>
      </c>
      <c r="D5049" t="s">
        <v>7868</v>
      </c>
      <c r="E5049" t="s">
        <v>411</v>
      </c>
    </row>
    <row r="5050" spans="2:5" x14ac:dyDescent="0.3">
      <c r="B5050" t="s">
        <v>7869</v>
      </c>
      <c r="C5050">
        <v>541987</v>
      </c>
      <c r="D5050" t="s">
        <v>7870</v>
      </c>
      <c r="E5050" t="s">
        <v>411</v>
      </c>
    </row>
    <row r="5051" spans="2:5" x14ac:dyDescent="0.3">
      <c r="B5051" t="s">
        <v>7871</v>
      </c>
      <c r="C5051">
        <v>542131</v>
      </c>
      <c r="D5051" t="s">
        <v>7872</v>
      </c>
      <c r="E5051" t="s">
        <v>411</v>
      </c>
    </row>
    <row r="5052" spans="2:5" x14ac:dyDescent="0.3">
      <c r="B5052" t="s">
        <v>7873</v>
      </c>
      <c r="C5052">
        <v>542156</v>
      </c>
      <c r="D5052" t="s">
        <v>7874</v>
      </c>
      <c r="E5052" t="s">
        <v>411</v>
      </c>
    </row>
    <row r="5053" spans="2:5" x14ac:dyDescent="0.3">
      <c r="B5053" t="s">
        <v>7875</v>
      </c>
      <c r="C5053">
        <v>542158</v>
      </c>
      <c r="D5053" t="s">
        <v>7876</v>
      </c>
      <c r="E5053" t="s">
        <v>411</v>
      </c>
    </row>
    <row r="5054" spans="2:5" x14ac:dyDescent="0.3">
      <c r="B5054" t="s">
        <v>7877</v>
      </c>
      <c r="C5054">
        <v>542160</v>
      </c>
      <c r="D5054" t="s">
        <v>7878</v>
      </c>
      <c r="E5054" t="s">
        <v>411</v>
      </c>
    </row>
    <row r="5055" spans="2:5" x14ac:dyDescent="0.3">
      <c r="B5055" t="s">
        <v>7879</v>
      </c>
      <c r="C5055">
        <v>542163</v>
      </c>
      <c r="D5055" t="s">
        <v>7880</v>
      </c>
      <c r="E5055" t="s">
        <v>411</v>
      </c>
    </row>
    <row r="5056" spans="2:5" x14ac:dyDescent="0.3">
      <c r="B5056" t="s">
        <v>7881</v>
      </c>
      <c r="C5056">
        <v>542230</v>
      </c>
      <c r="D5056" t="s">
        <v>7882</v>
      </c>
      <c r="E5056" t="s">
        <v>411</v>
      </c>
    </row>
    <row r="5057" spans="2:5" x14ac:dyDescent="0.3">
      <c r="B5057" t="s">
        <v>7883</v>
      </c>
      <c r="C5057">
        <v>542244</v>
      </c>
      <c r="D5057" t="s">
        <v>7884</v>
      </c>
      <c r="E5057" t="s">
        <v>411</v>
      </c>
    </row>
    <row r="5058" spans="2:5" x14ac:dyDescent="0.3">
      <c r="B5058" t="s">
        <v>7885</v>
      </c>
      <c r="C5058">
        <v>542245</v>
      </c>
      <c r="D5058" t="s">
        <v>7886</v>
      </c>
      <c r="E5058" t="s">
        <v>411</v>
      </c>
    </row>
    <row r="5059" spans="2:5" x14ac:dyDescent="0.3">
      <c r="B5059" t="s">
        <v>7887</v>
      </c>
      <c r="C5059">
        <v>542246</v>
      </c>
      <c r="D5059" t="s">
        <v>7888</v>
      </c>
      <c r="E5059" t="s">
        <v>411</v>
      </c>
    </row>
    <row r="5060" spans="2:5" x14ac:dyDescent="0.3">
      <c r="B5060" t="s">
        <v>7889</v>
      </c>
      <c r="C5060">
        <v>542247</v>
      </c>
      <c r="D5060" t="s">
        <v>7890</v>
      </c>
      <c r="E5060" t="s">
        <v>411</v>
      </c>
    </row>
    <row r="5061" spans="2:5" x14ac:dyDescent="0.3">
      <c r="B5061" t="s">
        <v>7891</v>
      </c>
      <c r="C5061">
        <v>542513</v>
      </c>
      <c r="D5061" t="s">
        <v>7892</v>
      </c>
      <c r="E5061" t="s">
        <v>411</v>
      </c>
    </row>
    <row r="5062" spans="2:5" x14ac:dyDescent="0.3">
      <c r="B5062" t="s">
        <v>7893</v>
      </c>
      <c r="C5062">
        <v>542543</v>
      </c>
      <c r="D5062" t="s">
        <v>7894</v>
      </c>
      <c r="E5062" t="s">
        <v>411</v>
      </c>
    </row>
    <row r="5063" spans="2:5" x14ac:dyDescent="0.3">
      <c r="B5063" t="s">
        <v>7895</v>
      </c>
      <c r="C5063">
        <v>542694</v>
      </c>
      <c r="D5063" t="s">
        <v>7896</v>
      </c>
      <c r="E5063" t="s">
        <v>518</v>
      </c>
    </row>
    <row r="5064" spans="2:5" x14ac:dyDescent="0.3">
      <c r="B5064" t="s">
        <v>7897</v>
      </c>
      <c r="C5064">
        <v>542721</v>
      </c>
      <c r="D5064" t="s">
        <v>7898</v>
      </c>
      <c r="E5064" t="s">
        <v>518</v>
      </c>
    </row>
    <row r="5065" spans="2:5" x14ac:dyDescent="0.3">
      <c r="B5065" t="s">
        <v>7899</v>
      </c>
      <c r="C5065">
        <v>542724</v>
      </c>
      <c r="D5065" t="s">
        <v>7900</v>
      </c>
      <c r="E5065" t="s">
        <v>534</v>
      </c>
    </row>
    <row r="5066" spans="2:5" x14ac:dyDescent="0.3">
      <c r="B5066" t="s">
        <v>7901</v>
      </c>
      <c r="C5066">
        <v>542725</v>
      </c>
      <c r="D5066" t="s">
        <v>7902</v>
      </c>
      <c r="E5066" t="s">
        <v>610</v>
      </c>
    </row>
    <row r="5067" spans="2:5" x14ac:dyDescent="0.3">
      <c r="B5067" t="s">
        <v>7903</v>
      </c>
      <c r="C5067">
        <v>542726</v>
      </c>
      <c r="D5067" t="s">
        <v>7904</v>
      </c>
      <c r="E5067" t="s">
        <v>502</v>
      </c>
    </row>
    <row r="5068" spans="2:5" x14ac:dyDescent="0.3">
      <c r="B5068" t="s">
        <v>7905</v>
      </c>
      <c r="C5068">
        <v>542727</v>
      </c>
      <c r="D5068" t="s">
        <v>7906</v>
      </c>
      <c r="E5068" t="s">
        <v>497</v>
      </c>
    </row>
    <row r="5069" spans="2:5" x14ac:dyDescent="0.3">
      <c r="B5069" t="s">
        <v>7907</v>
      </c>
      <c r="C5069">
        <v>542728</v>
      </c>
      <c r="D5069" t="s">
        <v>7908</v>
      </c>
      <c r="E5069" t="s">
        <v>610</v>
      </c>
    </row>
    <row r="5070" spans="2:5" x14ac:dyDescent="0.3">
      <c r="B5070" t="s">
        <v>7909</v>
      </c>
      <c r="C5070">
        <v>542729</v>
      </c>
      <c r="D5070" t="s">
        <v>7910</v>
      </c>
      <c r="E5070" t="s">
        <v>511</v>
      </c>
    </row>
    <row r="5071" spans="2:5" x14ac:dyDescent="0.3">
      <c r="B5071" t="s">
        <v>7911</v>
      </c>
      <c r="C5071">
        <v>542730</v>
      </c>
      <c r="D5071" t="s">
        <v>7912</v>
      </c>
      <c r="E5071" t="s">
        <v>411</v>
      </c>
    </row>
    <row r="5072" spans="2:5" x14ac:dyDescent="0.3">
      <c r="B5072" t="s">
        <v>7913</v>
      </c>
      <c r="C5072">
        <v>542747</v>
      </c>
      <c r="D5072" t="s">
        <v>7914</v>
      </c>
      <c r="E5072" t="s">
        <v>411</v>
      </c>
    </row>
    <row r="5073" spans="2:5" x14ac:dyDescent="0.3">
      <c r="B5073" t="s">
        <v>7915</v>
      </c>
      <c r="C5073">
        <v>542752</v>
      </c>
      <c r="D5073" t="s">
        <v>7916</v>
      </c>
      <c r="E5073" t="s">
        <v>2099</v>
      </c>
    </row>
    <row r="5074" spans="2:5" x14ac:dyDescent="0.3">
      <c r="B5074" t="s">
        <v>7917</v>
      </c>
      <c r="C5074">
        <v>542753</v>
      </c>
      <c r="D5074" t="s">
        <v>7918</v>
      </c>
      <c r="E5074" t="s">
        <v>530</v>
      </c>
    </row>
    <row r="5075" spans="2:5" x14ac:dyDescent="0.3">
      <c r="B5075" t="s">
        <v>7919</v>
      </c>
      <c r="C5075">
        <v>542758</v>
      </c>
      <c r="D5075" t="s">
        <v>7920</v>
      </c>
      <c r="E5075" t="s">
        <v>411</v>
      </c>
    </row>
    <row r="5076" spans="2:5" x14ac:dyDescent="0.3">
      <c r="B5076" t="s">
        <v>7921</v>
      </c>
      <c r="C5076">
        <v>542759</v>
      </c>
      <c r="D5076" t="s">
        <v>7922</v>
      </c>
      <c r="E5076" t="s">
        <v>513</v>
      </c>
    </row>
    <row r="5077" spans="2:5" x14ac:dyDescent="0.3">
      <c r="B5077" t="s">
        <v>7923</v>
      </c>
      <c r="C5077">
        <v>542760</v>
      </c>
      <c r="D5077" t="s">
        <v>7924</v>
      </c>
      <c r="E5077" t="s">
        <v>539</v>
      </c>
    </row>
    <row r="5078" spans="2:5" x14ac:dyDescent="0.3">
      <c r="B5078" t="s">
        <v>7925</v>
      </c>
      <c r="C5078">
        <v>542765</v>
      </c>
      <c r="D5078" t="s">
        <v>7926</v>
      </c>
      <c r="E5078" t="s">
        <v>1663</v>
      </c>
    </row>
    <row r="5079" spans="2:5" x14ac:dyDescent="0.3">
      <c r="B5079" t="s">
        <v>7927</v>
      </c>
      <c r="C5079">
        <v>542770</v>
      </c>
      <c r="D5079" t="s">
        <v>7928</v>
      </c>
      <c r="E5079" t="s">
        <v>482</v>
      </c>
    </row>
    <row r="5080" spans="2:5" x14ac:dyDescent="0.3">
      <c r="B5080" t="s">
        <v>7929</v>
      </c>
      <c r="C5080">
        <v>542771</v>
      </c>
      <c r="D5080" t="s">
        <v>7930</v>
      </c>
      <c r="E5080" t="s">
        <v>678</v>
      </c>
    </row>
    <row r="5081" spans="2:5" x14ac:dyDescent="0.3">
      <c r="B5081" t="s">
        <v>7931</v>
      </c>
      <c r="C5081">
        <v>542772</v>
      </c>
      <c r="D5081" t="s">
        <v>7932</v>
      </c>
      <c r="E5081" t="s">
        <v>479</v>
      </c>
    </row>
    <row r="5082" spans="2:5" x14ac:dyDescent="0.3">
      <c r="B5082" t="s">
        <v>7933</v>
      </c>
      <c r="C5082">
        <v>542773</v>
      </c>
      <c r="D5082" t="s">
        <v>7934</v>
      </c>
      <c r="E5082" t="s">
        <v>479</v>
      </c>
    </row>
    <row r="5083" spans="2:5" x14ac:dyDescent="0.3">
      <c r="B5083" t="s">
        <v>7935</v>
      </c>
      <c r="C5083">
        <v>542774</v>
      </c>
      <c r="D5083" t="s">
        <v>7936</v>
      </c>
      <c r="E5083" t="s">
        <v>513</v>
      </c>
    </row>
    <row r="5084" spans="2:5" x14ac:dyDescent="0.3">
      <c r="B5084" t="s">
        <v>7937</v>
      </c>
      <c r="C5084">
        <v>542801</v>
      </c>
      <c r="D5084" t="s">
        <v>7938</v>
      </c>
      <c r="E5084" t="s">
        <v>504</v>
      </c>
    </row>
    <row r="5085" spans="2:5" x14ac:dyDescent="0.3">
      <c r="B5085" t="s">
        <v>7939</v>
      </c>
      <c r="C5085">
        <v>542802</v>
      </c>
      <c r="D5085" t="s">
        <v>7940</v>
      </c>
      <c r="E5085" t="s">
        <v>479</v>
      </c>
    </row>
    <row r="5086" spans="2:5" x14ac:dyDescent="0.3">
      <c r="B5086" t="s">
        <v>7941</v>
      </c>
      <c r="C5086">
        <v>542803</v>
      </c>
      <c r="D5086" t="s">
        <v>7942</v>
      </c>
      <c r="E5086" t="s">
        <v>518</v>
      </c>
    </row>
    <row r="5087" spans="2:5" x14ac:dyDescent="0.3">
      <c r="B5087" t="s">
        <v>7943</v>
      </c>
      <c r="C5087">
        <v>542804</v>
      </c>
      <c r="D5087" t="s">
        <v>7944</v>
      </c>
      <c r="E5087" t="s">
        <v>411</v>
      </c>
    </row>
    <row r="5088" spans="2:5" x14ac:dyDescent="0.3">
      <c r="B5088" t="s">
        <v>7945</v>
      </c>
      <c r="C5088">
        <v>542805</v>
      </c>
      <c r="D5088" t="s">
        <v>7946</v>
      </c>
      <c r="E5088" t="s">
        <v>411</v>
      </c>
    </row>
    <row r="5089" spans="2:5" x14ac:dyDescent="0.3">
      <c r="B5089" t="s">
        <v>7947</v>
      </c>
      <c r="C5089">
        <v>542806</v>
      </c>
      <c r="D5089" t="s">
        <v>7948</v>
      </c>
      <c r="E5089" t="s">
        <v>411</v>
      </c>
    </row>
    <row r="5090" spans="2:5" x14ac:dyDescent="0.3">
      <c r="B5090" t="s">
        <v>7949</v>
      </c>
      <c r="C5090">
        <v>542807</v>
      </c>
      <c r="D5090" t="s">
        <v>7950</v>
      </c>
      <c r="E5090" t="s">
        <v>411</v>
      </c>
    </row>
    <row r="5091" spans="2:5" x14ac:dyDescent="0.3">
      <c r="B5091" t="s">
        <v>7951</v>
      </c>
      <c r="C5091">
        <v>542808</v>
      </c>
      <c r="D5091" t="s">
        <v>7952</v>
      </c>
      <c r="E5091" t="s">
        <v>411</v>
      </c>
    </row>
    <row r="5092" spans="2:5" x14ac:dyDescent="0.3">
      <c r="B5092" t="s">
        <v>7953</v>
      </c>
      <c r="C5092">
        <v>542809</v>
      </c>
      <c r="D5092" t="s">
        <v>7954</v>
      </c>
      <c r="E5092" t="s">
        <v>411</v>
      </c>
    </row>
    <row r="5093" spans="2:5" x14ac:dyDescent="0.3">
      <c r="B5093" t="s">
        <v>7955</v>
      </c>
      <c r="C5093">
        <v>542810</v>
      </c>
      <c r="D5093" t="s">
        <v>7956</v>
      </c>
      <c r="E5093" t="s">
        <v>411</v>
      </c>
    </row>
    <row r="5094" spans="2:5" x14ac:dyDescent="0.3">
      <c r="B5094" t="s">
        <v>7957</v>
      </c>
      <c r="C5094">
        <v>542811</v>
      </c>
      <c r="D5094" t="s">
        <v>7958</v>
      </c>
      <c r="E5094" t="s">
        <v>411</v>
      </c>
    </row>
    <row r="5095" spans="2:5" x14ac:dyDescent="0.3">
      <c r="B5095" t="s">
        <v>7959</v>
      </c>
      <c r="C5095">
        <v>542812</v>
      </c>
      <c r="D5095" t="s">
        <v>7960</v>
      </c>
      <c r="E5095" t="s">
        <v>656</v>
      </c>
    </row>
    <row r="5096" spans="2:5" x14ac:dyDescent="0.3">
      <c r="B5096" t="s">
        <v>7961</v>
      </c>
      <c r="C5096">
        <v>542813</v>
      </c>
      <c r="D5096" t="s">
        <v>7962</v>
      </c>
      <c r="E5096" t="s">
        <v>411</v>
      </c>
    </row>
    <row r="5097" spans="2:5" x14ac:dyDescent="0.3">
      <c r="B5097" t="s">
        <v>7963</v>
      </c>
      <c r="C5097">
        <v>542814</v>
      </c>
      <c r="D5097" t="s">
        <v>7964</v>
      </c>
      <c r="E5097" t="s">
        <v>411</v>
      </c>
    </row>
    <row r="5098" spans="2:5" x14ac:dyDescent="0.3">
      <c r="B5098" t="s">
        <v>7965</v>
      </c>
      <c r="C5098">
        <v>542815</v>
      </c>
      <c r="D5098" t="s">
        <v>7966</v>
      </c>
      <c r="E5098" t="s">
        <v>411</v>
      </c>
    </row>
    <row r="5099" spans="2:5" x14ac:dyDescent="0.3">
      <c r="B5099" t="s">
        <v>7967</v>
      </c>
      <c r="C5099">
        <v>542816</v>
      </c>
      <c r="D5099" t="s">
        <v>7968</v>
      </c>
      <c r="E5099" t="s">
        <v>411</v>
      </c>
    </row>
    <row r="5100" spans="2:5" x14ac:dyDescent="0.3">
      <c r="B5100" t="s">
        <v>7969</v>
      </c>
      <c r="C5100">
        <v>542817</v>
      </c>
      <c r="D5100" t="s">
        <v>7970</v>
      </c>
      <c r="E5100" t="s">
        <v>411</v>
      </c>
    </row>
    <row r="5101" spans="2:5" x14ac:dyDescent="0.3">
      <c r="B5101" t="s">
        <v>7971</v>
      </c>
      <c r="C5101">
        <v>542818</v>
      </c>
      <c r="D5101" t="s">
        <v>7972</v>
      </c>
      <c r="E5101" t="s">
        <v>411</v>
      </c>
    </row>
    <row r="5102" spans="2:5" x14ac:dyDescent="0.3">
      <c r="B5102" t="s">
        <v>7973</v>
      </c>
      <c r="C5102">
        <v>542819</v>
      </c>
      <c r="D5102" t="s">
        <v>7974</v>
      </c>
      <c r="E5102" t="s">
        <v>411</v>
      </c>
    </row>
    <row r="5103" spans="2:5" x14ac:dyDescent="0.3">
      <c r="B5103" t="s">
        <v>7975</v>
      </c>
      <c r="C5103">
        <v>542820</v>
      </c>
      <c r="D5103" t="s">
        <v>7976</v>
      </c>
      <c r="E5103" t="s">
        <v>411</v>
      </c>
    </row>
    <row r="5104" spans="2:5" x14ac:dyDescent="0.3">
      <c r="B5104" t="s">
        <v>7977</v>
      </c>
      <c r="C5104">
        <v>542830</v>
      </c>
      <c r="D5104" t="s">
        <v>7978</v>
      </c>
      <c r="E5104" t="s">
        <v>1499</v>
      </c>
    </row>
    <row r="5105" spans="2:5" x14ac:dyDescent="0.3">
      <c r="B5105" t="s">
        <v>7979</v>
      </c>
      <c r="C5105">
        <v>542836</v>
      </c>
      <c r="D5105" t="s">
        <v>7980</v>
      </c>
      <c r="E5105" t="s">
        <v>411</v>
      </c>
    </row>
    <row r="5106" spans="2:5" x14ac:dyDescent="0.3">
      <c r="B5106" t="s">
        <v>7981</v>
      </c>
      <c r="C5106">
        <v>542837</v>
      </c>
      <c r="D5106" t="s">
        <v>7982</v>
      </c>
      <c r="E5106" t="s">
        <v>411</v>
      </c>
    </row>
    <row r="5107" spans="2:5" x14ac:dyDescent="0.3">
      <c r="B5107" t="s">
        <v>7983</v>
      </c>
      <c r="C5107">
        <v>542838</v>
      </c>
      <c r="D5107" t="s">
        <v>7984</v>
      </c>
      <c r="E5107" t="s">
        <v>411</v>
      </c>
    </row>
    <row r="5108" spans="2:5" x14ac:dyDescent="0.3">
      <c r="B5108" t="s">
        <v>7985</v>
      </c>
      <c r="C5108">
        <v>542839</v>
      </c>
      <c r="D5108" t="s">
        <v>7986</v>
      </c>
      <c r="E5108" t="s">
        <v>411</v>
      </c>
    </row>
    <row r="5109" spans="2:5" x14ac:dyDescent="0.3">
      <c r="B5109" t="s">
        <v>7987</v>
      </c>
      <c r="C5109">
        <v>542840</v>
      </c>
      <c r="D5109" t="s">
        <v>7988</v>
      </c>
      <c r="E5109" t="s">
        <v>411</v>
      </c>
    </row>
    <row r="5110" spans="2:5" x14ac:dyDescent="0.3">
      <c r="B5110" t="s">
        <v>7989</v>
      </c>
      <c r="C5110">
        <v>542841</v>
      </c>
      <c r="D5110" t="s">
        <v>7990</v>
      </c>
      <c r="E5110" t="s">
        <v>411</v>
      </c>
    </row>
    <row r="5111" spans="2:5" x14ac:dyDescent="0.3">
      <c r="B5111" t="s">
        <v>7991</v>
      </c>
      <c r="C5111">
        <v>542842</v>
      </c>
      <c r="D5111" t="s">
        <v>7992</v>
      </c>
      <c r="E5111" t="s">
        <v>411</v>
      </c>
    </row>
    <row r="5112" spans="2:5" x14ac:dyDescent="0.3">
      <c r="B5112" t="s">
        <v>7993</v>
      </c>
      <c r="C5112">
        <v>542843</v>
      </c>
      <c r="D5112" t="s">
        <v>7994</v>
      </c>
      <c r="E5112" t="s">
        <v>411</v>
      </c>
    </row>
    <row r="5113" spans="2:5" x14ac:dyDescent="0.3">
      <c r="B5113" t="s">
        <v>7995</v>
      </c>
      <c r="C5113">
        <v>542844</v>
      </c>
      <c r="D5113" t="s">
        <v>7996</v>
      </c>
      <c r="E5113" t="s">
        <v>411</v>
      </c>
    </row>
    <row r="5114" spans="2:5" x14ac:dyDescent="0.3">
      <c r="B5114" t="s">
        <v>7997</v>
      </c>
      <c r="C5114">
        <v>542845</v>
      </c>
      <c r="D5114" t="s">
        <v>7998</v>
      </c>
      <c r="E5114" t="s">
        <v>411</v>
      </c>
    </row>
    <row r="5115" spans="2:5" x14ac:dyDescent="0.3">
      <c r="B5115" t="s">
        <v>7999</v>
      </c>
      <c r="C5115">
        <v>542846</v>
      </c>
      <c r="D5115" t="s">
        <v>8000</v>
      </c>
      <c r="E5115" t="s">
        <v>411</v>
      </c>
    </row>
    <row r="5116" spans="2:5" x14ac:dyDescent="0.3">
      <c r="B5116" t="s">
        <v>8001</v>
      </c>
      <c r="C5116">
        <v>542847</v>
      </c>
      <c r="D5116" t="s">
        <v>8002</v>
      </c>
      <c r="E5116" t="s">
        <v>411</v>
      </c>
    </row>
    <row r="5117" spans="2:5" x14ac:dyDescent="0.3">
      <c r="B5117" t="s">
        <v>8003</v>
      </c>
      <c r="C5117">
        <v>542848</v>
      </c>
      <c r="D5117" t="s">
        <v>8004</v>
      </c>
      <c r="E5117" t="s">
        <v>411</v>
      </c>
    </row>
    <row r="5118" spans="2:5" x14ac:dyDescent="0.3">
      <c r="B5118" t="s">
        <v>8005</v>
      </c>
      <c r="C5118">
        <v>542849</v>
      </c>
      <c r="D5118" t="s">
        <v>8006</v>
      </c>
      <c r="E5118" t="s">
        <v>411</v>
      </c>
    </row>
    <row r="5119" spans="2:5" x14ac:dyDescent="0.3">
      <c r="B5119" t="s">
        <v>8007</v>
      </c>
      <c r="C5119">
        <v>542850</v>
      </c>
      <c r="D5119" t="s">
        <v>8008</v>
      </c>
      <c r="E5119" t="s">
        <v>610</v>
      </c>
    </row>
    <row r="5120" spans="2:5" x14ac:dyDescent="0.3">
      <c r="B5120" t="s">
        <v>8009</v>
      </c>
      <c r="C5120">
        <v>542851</v>
      </c>
      <c r="D5120" t="s">
        <v>8010</v>
      </c>
      <c r="E5120" t="s">
        <v>580</v>
      </c>
    </row>
    <row r="5121" spans="2:5" x14ac:dyDescent="0.3">
      <c r="B5121" t="s">
        <v>8011</v>
      </c>
      <c r="C5121">
        <v>542852</v>
      </c>
      <c r="D5121" t="s">
        <v>8012</v>
      </c>
      <c r="E5121" t="s">
        <v>1195</v>
      </c>
    </row>
    <row r="5122" spans="2:5" x14ac:dyDescent="0.3">
      <c r="B5122" t="s">
        <v>8013</v>
      </c>
      <c r="C5122">
        <v>542857</v>
      </c>
      <c r="D5122" t="s">
        <v>8014</v>
      </c>
      <c r="E5122" t="s">
        <v>991</v>
      </c>
    </row>
    <row r="5123" spans="2:5" x14ac:dyDescent="0.3">
      <c r="B5123" t="s">
        <v>8015</v>
      </c>
      <c r="C5123">
        <v>542862</v>
      </c>
      <c r="D5123" t="s">
        <v>8016</v>
      </c>
      <c r="E5123" t="s">
        <v>511</v>
      </c>
    </row>
    <row r="5124" spans="2:5" x14ac:dyDescent="0.3">
      <c r="B5124" t="s">
        <v>8017</v>
      </c>
      <c r="C5124">
        <v>542863</v>
      </c>
      <c r="D5124" t="s">
        <v>8018</v>
      </c>
      <c r="E5124" t="s">
        <v>411</v>
      </c>
    </row>
    <row r="5125" spans="2:5" x14ac:dyDescent="0.3">
      <c r="B5125" t="s">
        <v>8019</v>
      </c>
      <c r="C5125">
        <v>542864</v>
      </c>
      <c r="D5125" t="s">
        <v>8020</v>
      </c>
      <c r="E5125" t="s">
        <v>582</v>
      </c>
    </row>
    <row r="5126" spans="2:5" x14ac:dyDescent="0.3">
      <c r="B5126" t="s">
        <v>8021</v>
      </c>
      <c r="C5126">
        <v>542865</v>
      </c>
      <c r="D5126" t="s">
        <v>8022</v>
      </c>
      <c r="E5126" t="s">
        <v>691</v>
      </c>
    </row>
    <row r="5127" spans="2:5" x14ac:dyDescent="0.3">
      <c r="B5127" t="s">
        <v>8023</v>
      </c>
      <c r="C5127">
        <v>542866</v>
      </c>
      <c r="D5127" t="s">
        <v>8024</v>
      </c>
      <c r="E5127" t="s">
        <v>479</v>
      </c>
    </row>
    <row r="5128" spans="2:5" x14ac:dyDescent="0.3">
      <c r="B5128" t="s">
        <v>8025</v>
      </c>
      <c r="C5128">
        <v>542867</v>
      </c>
      <c r="D5128" t="s">
        <v>8026</v>
      </c>
      <c r="E5128" t="s">
        <v>814</v>
      </c>
    </row>
    <row r="5129" spans="2:5" x14ac:dyDescent="0.3">
      <c r="B5129" t="s">
        <v>8027</v>
      </c>
      <c r="C5129">
        <v>542904</v>
      </c>
      <c r="D5129" t="s">
        <v>8028</v>
      </c>
      <c r="E5129" t="s">
        <v>814</v>
      </c>
    </row>
    <row r="5130" spans="2:5" x14ac:dyDescent="0.3">
      <c r="B5130" t="s">
        <v>8029</v>
      </c>
      <c r="C5130">
        <v>542905</v>
      </c>
      <c r="D5130" t="s">
        <v>8030</v>
      </c>
      <c r="E5130" t="s">
        <v>794</v>
      </c>
    </row>
    <row r="5131" spans="2:5" x14ac:dyDescent="0.3">
      <c r="B5131" t="s">
        <v>8031</v>
      </c>
      <c r="C5131">
        <v>542906</v>
      </c>
      <c r="D5131" t="s">
        <v>8032</v>
      </c>
      <c r="E5131" t="s">
        <v>513</v>
      </c>
    </row>
    <row r="5132" spans="2:5" x14ac:dyDescent="0.3">
      <c r="B5132" t="s">
        <v>8033</v>
      </c>
      <c r="C5132">
        <v>542907</v>
      </c>
      <c r="D5132" t="s">
        <v>8034</v>
      </c>
      <c r="E5132" t="s">
        <v>616</v>
      </c>
    </row>
    <row r="5133" spans="2:5" x14ac:dyDescent="0.3">
      <c r="B5133" t="s">
        <v>8035</v>
      </c>
      <c r="C5133">
        <v>542910</v>
      </c>
      <c r="D5133" t="s">
        <v>8036</v>
      </c>
      <c r="E5133" t="s">
        <v>931</v>
      </c>
    </row>
    <row r="5134" spans="2:5" x14ac:dyDescent="0.3">
      <c r="B5134" t="s">
        <v>8037</v>
      </c>
      <c r="C5134">
        <v>542911</v>
      </c>
      <c r="D5134" t="s">
        <v>8038</v>
      </c>
      <c r="E5134" t="s">
        <v>513</v>
      </c>
    </row>
    <row r="5135" spans="2:5" x14ac:dyDescent="0.3">
      <c r="B5135" t="s">
        <v>8039</v>
      </c>
      <c r="C5135">
        <v>542918</v>
      </c>
      <c r="D5135" t="s">
        <v>8040</v>
      </c>
      <c r="E5135" t="s">
        <v>685</v>
      </c>
    </row>
    <row r="5136" spans="2:5" x14ac:dyDescent="0.3">
      <c r="B5136" t="s">
        <v>8041</v>
      </c>
      <c r="C5136">
        <v>542919</v>
      </c>
      <c r="D5136" t="s">
        <v>8042</v>
      </c>
      <c r="E5136" t="s">
        <v>685</v>
      </c>
    </row>
    <row r="5137" spans="2:5" x14ac:dyDescent="0.3">
      <c r="B5137" t="s">
        <v>8043</v>
      </c>
      <c r="C5137">
        <v>542920</v>
      </c>
      <c r="D5137" t="s">
        <v>8044</v>
      </c>
      <c r="E5137" t="s">
        <v>640</v>
      </c>
    </row>
    <row r="5138" spans="2:5" x14ac:dyDescent="0.3">
      <c r="B5138" t="s">
        <v>8045</v>
      </c>
      <c r="C5138">
        <v>542921</v>
      </c>
      <c r="D5138" t="s">
        <v>8046</v>
      </c>
      <c r="E5138" t="s">
        <v>411</v>
      </c>
    </row>
    <row r="5139" spans="2:5" x14ac:dyDescent="0.3">
      <c r="B5139" t="s">
        <v>8047</v>
      </c>
      <c r="C5139">
        <v>542922</v>
      </c>
      <c r="D5139" t="s">
        <v>8048</v>
      </c>
      <c r="E5139" t="s">
        <v>411</v>
      </c>
    </row>
    <row r="5140" spans="2:5" x14ac:dyDescent="0.3">
      <c r="B5140" t="s">
        <v>8049</v>
      </c>
      <c r="C5140">
        <v>542923</v>
      </c>
      <c r="D5140" t="s">
        <v>8050</v>
      </c>
      <c r="E5140" t="s">
        <v>482</v>
      </c>
    </row>
    <row r="5141" spans="2:5" x14ac:dyDescent="0.3">
      <c r="B5141" t="s">
        <v>8051</v>
      </c>
      <c r="C5141">
        <v>542924</v>
      </c>
      <c r="D5141" t="s">
        <v>8052</v>
      </c>
      <c r="E5141" t="s">
        <v>485</v>
      </c>
    </row>
    <row r="5142" spans="2:5" x14ac:dyDescent="0.3">
      <c r="B5142" t="s">
        <v>8053</v>
      </c>
      <c r="C5142">
        <v>542931</v>
      </c>
      <c r="D5142" t="s">
        <v>8054</v>
      </c>
      <c r="E5142" t="s">
        <v>513</v>
      </c>
    </row>
    <row r="5143" spans="2:5" x14ac:dyDescent="0.3">
      <c r="B5143" t="s">
        <v>8055</v>
      </c>
      <c r="C5143">
        <v>542932</v>
      </c>
      <c r="D5143" t="s">
        <v>8056</v>
      </c>
      <c r="E5143" t="s">
        <v>976</v>
      </c>
    </row>
    <row r="5144" spans="2:5" x14ac:dyDescent="0.3">
      <c r="B5144" t="s">
        <v>8057</v>
      </c>
      <c r="C5144">
        <v>542933</v>
      </c>
      <c r="D5144" t="s">
        <v>8058</v>
      </c>
      <c r="E5144" t="s">
        <v>1735</v>
      </c>
    </row>
    <row r="5145" spans="2:5" x14ac:dyDescent="0.3">
      <c r="B5145" t="s">
        <v>8059</v>
      </c>
      <c r="C5145">
        <v>542934</v>
      </c>
      <c r="D5145" t="s">
        <v>8060</v>
      </c>
      <c r="E5145" t="s">
        <v>534</v>
      </c>
    </row>
    <row r="5146" spans="2:5" x14ac:dyDescent="0.3">
      <c r="B5146" t="s">
        <v>8061</v>
      </c>
      <c r="C5146">
        <v>542935</v>
      </c>
      <c r="D5146" t="s">
        <v>8062</v>
      </c>
      <c r="E5146" t="s">
        <v>556</v>
      </c>
    </row>
    <row r="5147" spans="2:5" x14ac:dyDescent="0.3">
      <c r="B5147" t="s">
        <v>8063</v>
      </c>
      <c r="C5147">
        <v>542938</v>
      </c>
      <c r="D5147" t="s">
        <v>8064</v>
      </c>
      <c r="E5147" t="s">
        <v>903</v>
      </c>
    </row>
    <row r="5148" spans="2:5" x14ac:dyDescent="0.3">
      <c r="B5148" t="s">
        <v>8065</v>
      </c>
      <c r="C5148">
        <v>543064</v>
      </c>
      <c r="D5148" t="s">
        <v>8066</v>
      </c>
      <c r="E5148" t="s">
        <v>534</v>
      </c>
    </row>
    <row r="5149" spans="2:5" x14ac:dyDescent="0.3">
      <c r="B5149" t="s">
        <v>8067</v>
      </c>
      <c r="C5149">
        <v>543065</v>
      </c>
      <c r="D5149" t="s">
        <v>8068</v>
      </c>
      <c r="E5149" t="s">
        <v>681</v>
      </c>
    </row>
    <row r="5150" spans="2:5" x14ac:dyDescent="0.3">
      <c r="B5150" t="s">
        <v>8069</v>
      </c>
      <c r="C5150">
        <v>543066</v>
      </c>
      <c r="D5150" t="s">
        <v>8070</v>
      </c>
      <c r="E5150" t="s">
        <v>513</v>
      </c>
    </row>
    <row r="5151" spans="2:5" x14ac:dyDescent="0.3">
      <c r="B5151" t="s">
        <v>8071</v>
      </c>
      <c r="C5151">
        <v>543144</v>
      </c>
      <c r="D5151" t="s">
        <v>8072</v>
      </c>
      <c r="E5151" t="s">
        <v>411</v>
      </c>
    </row>
    <row r="5152" spans="2:5" x14ac:dyDescent="0.3">
      <c r="B5152" t="s">
        <v>8073</v>
      </c>
      <c r="C5152">
        <v>543145</v>
      </c>
      <c r="D5152" t="s">
        <v>8074</v>
      </c>
      <c r="E5152" t="s">
        <v>411</v>
      </c>
    </row>
    <row r="5153" spans="2:5" x14ac:dyDescent="0.3">
      <c r="B5153" t="s">
        <v>8071</v>
      </c>
      <c r="C5153">
        <v>543146</v>
      </c>
      <c r="D5153" t="s">
        <v>8075</v>
      </c>
      <c r="E5153" t="s">
        <v>411</v>
      </c>
    </row>
    <row r="5154" spans="2:5" x14ac:dyDescent="0.3">
      <c r="B5154" t="s">
        <v>8076</v>
      </c>
      <c r="C5154">
        <v>543147</v>
      </c>
      <c r="D5154" t="s">
        <v>8077</v>
      </c>
      <c r="E5154" t="s">
        <v>411</v>
      </c>
    </row>
    <row r="5155" spans="2:5" x14ac:dyDescent="0.3">
      <c r="B5155" t="s">
        <v>8076</v>
      </c>
      <c r="C5155">
        <v>543148</v>
      </c>
      <c r="D5155" t="s">
        <v>8078</v>
      </c>
      <c r="E5155" t="s">
        <v>411</v>
      </c>
    </row>
    <row r="5156" spans="2:5" x14ac:dyDescent="0.3">
      <c r="B5156" t="s">
        <v>8079</v>
      </c>
      <c r="C5156">
        <v>543149</v>
      </c>
      <c r="D5156" t="s">
        <v>8080</v>
      </c>
      <c r="E5156" t="s">
        <v>411</v>
      </c>
    </row>
    <row r="5157" spans="2:5" x14ac:dyDescent="0.3">
      <c r="B5157" t="s">
        <v>8081</v>
      </c>
      <c r="C5157">
        <v>543150</v>
      </c>
      <c r="D5157" t="s">
        <v>8082</v>
      </c>
      <c r="E5157" t="s">
        <v>411</v>
      </c>
    </row>
    <row r="5158" spans="2:5" x14ac:dyDescent="0.3">
      <c r="B5158" t="s">
        <v>8083</v>
      </c>
      <c r="C5158">
        <v>543151</v>
      </c>
      <c r="D5158" t="s">
        <v>8084</v>
      </c>
      <c r="E5158" t="s">
        <v>411</v>
      </c>
    </row>
    <row r="5159" spans="2:5" x14ac:dyDescent="0.3">
      <c r="B5159" t="s">
        <v>8085</v>
      </c>
      <c r="C5159">
        <v>543152</v>
      </c>
      <c r="D5159" t="s">
        <v>8086</v>
      </c>
      <c r="E5159" t="s">
        <v>411</v>
      </c>
    </row>
    <row r="5160" spans="2:5" x14ac:dyDescent="0.3">
      <c r="B5160" t="s">
        <v>8087</v>
      </c>
      <c r="C5160">
        <v>543153</v>
      </c>
      <c r="D5160" t="s">
        <v>8088</v>
      </c>
      <c r="E5160" t="s">
        <v>411</v>
      </c>
    </row>
    <row r="5161" spans="2:5" x14ac:dyDescent="0.3">
      <c r="B5161" t="s">
        <v>8085</v>
      </c>
      <c r="C5161">
        <v>543154</v>
      </c>
      <c r="D5161" t="s">
        <v>8089</v>
      </c>
      <c r="E5161" t="s">
        <v>411</v>
      </c>
    </row>
    <row r="5162" spans="2:5" x14ac:dyDescent="0.3">
      <c r="B5162" t="s">
        <v>8090</v>
      </c>
      <c r="C5162">
        <v>543155</v>
      </c>
      <c r="D5162" t="s">
        <v>8091</v>
      </c>
      <c r="E5162" t="s">
        <v>411</v>
      </c>
    </row>
    <row r="5163" spans="2:5" x14ac:dyDescent="0.3">
      <c r="B5163" t="s">
        <v>8092</v>
      </c>
      <c r="C5163">
        <v>543156</v>
      </c>
      <c r="D5163" t="s">
        <v>8093</v>
      </c>
      <c r="E5163" t="s">
        <v>411</v>
      </c>
    </row>
    <row r="5164" spans="2:5" x14ac:dyDescent="0.3">
      <c r="B5164" t="s">
        <v>8090</v>
      </c>
      <c r="C5164">
        <v>543168</v>
      </c>
      <c r="D5164" t="s">
        <v>8094</v>
      </c>
      <c r="E5164" t="s">
        <v>411</v>
      </c>
    </row>
    <row r="5165" spans="2:5" x14ac:dyDescent="0.3">
      <c r="B5165" t="s">
        <v>8092</v>
      </c>
      <c r="C5165">
        <v>543169</v>
      </c>
      <c r="D5165" t="s">
        <v>8095</v>
      </c>
      <c r="E5165" t="s">
        <v>411</v>
      </c>
    </row>
    <row r="5166" spans="2:5" x14ac:dyDescent="0.3">
      <c r="B5166" t="s">
        <v>8073</v>
      </c>
      <c r="C5166">
        <v>543170</v>
      </c>
      <c r="D5166" t="s">
        <v>8096</v>
      </c>
      <c r="E5166" t="s">
        <v>411</v>
      </c>
    </row>
    <row r="5167" spans="2:5" x14ac:dyDescent="0.3">
      <c r="B5167" t="s">
        <v>8097</v>
      </c>
      <c r="C5167">
        <v>543171</v>
      </c>
      <c r="D5167" t="s">
        <v>8098</v>
      </c>
      <c r="E5167" t="s">
        <v>610</v>
      </c>
    </row>
    <row r="5168" spans="2:5" x14ac:dyDescent="0.3">
      <c r="B5168" t="s">
        <v>8099</v>
      </c>
      <c r="C5168">
        <v>543172</v>
      </c>
      <c r="D5168" t="s">
        <v>8100</v>
      </c>
      <c r="E5168" t="s">
        <v>504</v>
      </c>
    </row>
    <row r="5169" spans="2:5" x14ac:dyDescent="0.3">
      <c r="B5169" t="s">
        <v>8101</v>
      </c>
      <c r="C5169">
        <v>543173</v>
      </c>
      <c r="D5169" t="s">
        <v>8102</v>
      </c>
      <c r="E5169" t="s">
        <v>411</v>
      </c>
    </row>
    <row r="5170" spans="2:5" x14ac:dyDescent="0.3">
      <c r="B5170" t="s">
        <v>8103</v>
      </c>
      <c r="C5170">
        <v>543174</v>
      </c>
      <c r="D5170" t="s">
        <v>8104</v>
      </c>
      <c r="E5170" t="s">
        <v>411</v>
      </c>
    </row>
    <row r="5171" spans="2:5" x14ac:dyDescent="0.3">
      <c r="B5171" t="s">
        <v>8105</v>
      </c>
      <c r="C5171">
        <v>543175</v>
      </c>
      <c r="D5171" t="s">
        <v>8106</v>
      </c>
      <c r="E5171" t="s">
        <v>411</v>
      </c>
    </row>
    <row r="5172" spans="2:5" x14ac:dyDescent="0.3">
      <c r="B5172" t="s">
        <v>8107</v>
      </c>
      <c r="C5172">
        <v>543176</v>
      </c>
      <c r="D5172" t="s">
        <v>8108</v>
      </c>
      <c r="E5172" t="s">
        <v>411</v>
      </c>
    </row>
    <row r="5173" spans="2:5" x14ac:dyDescent="0.3">
      <c r="B5173" t="s">
        <v>8109</v>
      </c>
      <c r="C5173">
        <v>543177</v>
      </c>
      <c r="D5173" t="s">
        <v>8110</v>
      </c>
      <c r="E5173" t="s">
        <v>411</v>
      </c>
    </row>
    <row r="5174" spans="2:5" x14ac:dyDescent="0.3">
      <c r="B5174" t="s">
        <v>8111</v>
      </c>
      <c r="C5174">
        <v>543178</v>
      </c>
      <c r="D5174" t="s">
        <v>8112</v>
      </c>
      <c r="E5174" t="s">
        <v>411</v>
      </c>
    </row>
    <row r="5175" spans="2:5" x14ac:dyDescent="0.3">
      <c r="B5175" t="s">
        <v>8113</v>
      </c>
      <c r="C5175">
        <v>543179</v>
      </c>
      <c r="D5175" t="s">
        <v>8114</v>
      </c>
      <c r="E5175" t="s">
        <v>411</v>
      </c>
    </row>
    <row r="5176" spans="2:5" x14ac:dyDescent="0.3">
      <c r="B5176" t="s">
        <v>8115</v>
      </c>
      <c r="C5176">
        <v>543180</v>
      </c>
      <c r="D5176" t="s">
        <v>8116</v>
      </c>
      <c r="E5176" t="s">
        <v>411</v>
      </c>
    </row>
    <row r="5177" spans="2:5" x14ac:dyDescent="0.3">
      <c r="B5177" t="s">
        <v>8117</v>
      </c>
      <c r="C5177">
        <v>543181</v>
      </c>
      <c r="D5177" t="s">
        <v>8118</v>
      </c>
      <c r="E5177" t="s">
        <v>411</v>
      </c>
    </row>
    <row r="5178" spans="2:5" x14ac:dyDescent="0.3">
      <c r="B5178" t="s">
        <v>8119</v>
      </c>
      <c r="C5178">
        <v>543182</v>
      </c>
      <c r="D5178" t="s">
        <v>8120</v>
      </c>
      <c r="E5178" t="s">
        <v>411</v>
      </c>
    </row>
    <row r="5179" spans="2:5" x14ac:dyDescent="0.3">
      <c r="B5179" t="s">
        <v>8121</v>
      </c>
      <c r="C5179">
        <v>543183</v>
      </c>
      <c r="D5179" t="s">
        <v>8122</v>
      </c>
      <c r="E5179" t="s">
        <v>411</v>
      </c>
    </row>
    <row r="5180" spans="2:5" x14ac:dyDescent="0.3">
      <c r="B5180" t="s">
        <v>8123</v>
      </c>
      <c r="C5180">
        <v>543184</v>
      </c>
      <c r="D5180" t="s">
        <v>8124</v>
      </c>
      <c r="E5180" t="s">
        <v>411</v>
      </c>
    </row>
    <row r="5181" spans="2:5" x14ac:dyDescent="0.3">
      <c r="B5181" t="s">
        <v>8125</v>
      </c>
      <c r="C5181">
        <v>543185</v>
      </c>
      <c r="D5181" t="s">
        <v>8126</v>
      </c>
      <c r="E5181" t="s">
        <v>411</v>
      </c>
    </row>
    <row r="5182" spans="2:5" x14ac:dyDescent="0.3">
      <c r="B5182" t="s">
        <v>8127</v>
      </c>
      <c r="C5182">
        <v>543186</v>
      </c>
      <c r="D5182" t="s">
        <v>8128</v>
      </c>
      <c r="E5182" t="s">
        <v>411</v>
      </c>
    </row>
    <row r="5183" spans="2:5" x14ac:dyDescent="0.3">
      <c r="B5183" t="s">
        <v>8129</v>
      </c>
      <c r="C5183">
        <v>543187</v>
      </c>
      <c r="D5183" t="s">
        <v>8130</v>
      </c>
      <c r="E5183" t="s">
        <v>539</v>
      </c>
    </row>
    <row r="5184" spans="2:5" x14ac:dyDescent="0.3">
      <c r="B5184" t="s">
        <v>8131</v>
      </c>
      <c r="C5184">
        <v>543193</v>
      </c>
      <c r="D5184" t="s">
        <v>8132</v>
      </c>
      <c r="E5184" t="s">
        <v>817</v>
      </c>
    </row>
    <row r="5185" spans="2:5" x14ac:dyDescent="0.3">
      <c r="B5185" t="s">
        <v>8133</v>
      </c>
      <c r="C5185">
        <v>543194</v>
      </c>
      <c r="D5185" t="s">
        <v>8134</v>
      </c>
      <c r="E5185" t="s">
        <v>7450</v>
      </c>
    </row>
    <row r="5186" spans="2:5" x14ac:dyDescent="0.3">
      <c r="B5186" t="s">
        <v>8135</v>
      </c>
      <c r="C5186">
        <v>543207</v>
      </c>
      <c r="D5186" t="s">
        <v>8136</v>
      </c>
      <c r="E5186" t="s">
        <v>640</v>
      </c>
    </row>
    <row r="5187" spans="2:5" x14ac:dyDescent="0.3">
      <c r="B5187" t="s">
        <v>8137</v>
      </c>
      <c r="C5187">
        <v>543208</v>
      </c>
      <c r="D5187" t="s">
        <v>8138</v>
      </c>
      <c r="E5187" t="s">
        <v>513</v>
      </c>
    </row>
    <row r="5188" spans="2:5" x14ac:dyDescent="0.3">
      <c r="B5188" t="s">
        <v>8139</v>
      </c>
      <c r="C5188">
        <v>543209</v>
      </c>
      <c r="D5188" t="s">
        <v>8140</v>
      </c>
      <c r="E5188" t="s">
        <v>485</v>
      </c>
    </row>
    <row r="5189" spans="2:5" x14ac:dyDescent="0.3">
      <c r="B5189" t="s">
        <v>8141</v>
      </c>
      <c r="C5189">
        <v>543210</v>
      </c>
      <c r="D5189" t="s">
        <v>8142</v>
      </c>
      <c r="E5189" t="s">
        <v>656</v>
      </c>
    </row>
    <row r="5190" spans="2:5" x14ac:dyDescent="0.3">
      <c r="B5190" t="s">
        <v>8143</v>
      </c>
      <c r="C5190">
        <v>543211</v>
      </c>
      <c r="D5190" t="s">
        <v>8144</v>
      </c>
      <c r="E5190" t="s">
        <v>1416</v>
      </c>
    </row>
    <row r="5191" spans="2:5" x14ac:dyDescent="0.3">
      <c r="B5191" t="s">
        <v>8145</v>
      </c>
      <c r="C5191">
        <v>543212</v>
      </c>
      <c r="D5191" t="s">
        <v>8146</v>
      </c>
      <c r="E5191" t="s">
        <v>1542</v>
      </c>
    </row>
    <row r="5192" spans="2:5" x14ac:dyDescent="0.3">
      <c r="B5192" t="s">
        <v>8147</v>
      </c>
      <c r="C5192">
        <v>543213</v>
      </c>
      <c r="D5192" t="s">
        <v>8148</v>
      </c>
      <c r="E5192" t="s">
        <v>656</v>
      </c>
    </row>
    <row r="5193" spans="2:5" x14ac:dyDescent="0.3">
      <c r="B5193" t="s">
        <v>8149</v>
      </c>
      <c r="C5193">
        <v>543214</v>
      </c>
      <c r="D5193" t="s">
        <v>8150</v>
      </c>
      <c r="E5193" t="s">
        <v>851</v>
      </c>
    </row>
    <row r="5194" spans="2:5" x14ac:dyDescent="0.3">
      <c r="B5194" t="s">
        <v>8151</v>
      </c>
      <c r="C5194">
        <v>543217</v>
      </c>
      <c r="D5194" t="s">
        <v>8152</v>
      </c>
      <c r="E5194" t="s">
        <v>411</v>
      </c>
    </row>
    <row r="5195" spans="2:5" x14ac:dyDescent="0.3">
      <c r="B5195" t="s">
        <v>8153</v>
      </c>
      <c r="C5195">
        <v>543218</v>
      </c>
      <c r="D5195" t="s">
        <v>8154</v>
      </c>
      <c r="E5195" t="s">
        <v>582</v>
      </c>
    </row>
    <row r="5196" spans="2:5" x14ac:dyDescent="0.3">
      <c r="B5196" t="s">
        <v>8155</v>
      </c>
      <c r="C5196">
        <v>543219</v>
      </c>
      <c r="D5196" t="s">
        <v>8156</v>
      </c>
      <c r="E5196" t="s">
        <v>411</v>
      </c>
    </row>
    <row r="5197" spans="2:5" x14ac:dyDescent="0.3">
      <c r="B5197" t="s">
        <v>8157</v>
      </c>
      <c r="C5197">
        <v>543220</v>
      </c>
      <c r="D5197" t="s">
        <v>8158</v>
      </c>
      <c r="E5197" t="s">
        <v>966</v>
      </c>
    </row>
    <row r="5198" spans="2:5" x14ac:dyDescent="0.3">
      <c r="B5198" t="s">
        <v>8159</v>
      </c>
      <c r="C5198">
        <v>543221</v>
      </c>
      <c r="D5198" t="s">
        <v>8160</v>
      </c>
      <c r="E5198" t="s">
        <v>411</v>
      </c>
    </row>
    <row r="5199" spans="2:5" x14ac:dyDescent="0.3">
      <c r="B5199" t="s">
        <v>8161</v>
      </c>
      <c r="C5199">
        <v>543222</v>
      </c>
      <c r="D5199" t="s">
        <v>8162</v>
      </c>
      <c r="E5199" t="s">
        <v>619</v>
      </c>
    </row>
    <row r="5200" spans="2:5" x14ac:dyDescent="0.3">
      <c r="B5200" t="s">
        <v>8163</v>
      </c>
      <c r="C5200">
        <v>543223</v>
      </c>
      <c r="D5200" t="s">
        <v>4216</v>
      </c>
      <c r="E5200" t="s">
        <v>662</v>
      </c>
    </row>
    <row r="5201" spans="2:5" x14ac:dyDescent="0.3">
      <c r="B5201" t="s">
        <v>8164</v>
      </c>
      <c r="C5201">
        <v>543224</v>
      </c>
      <c r="D5201" t="s">
        <v>8165</v>
      </c>
      <c r="E5201" t="s">
        <v>411</v>
      </c>
    </row>
    <row r="5202" spans="2:5" x14ac:dyDescent="0.3">
      <c r="B5202" t="s">
        <v>8166</v>
      </c>
      <c r="C5202">
        <v>543225</v>
      </c>
      <c r="D5202" t="s">
        <v>8167</v>
      </c>
      <c r="E5202" t="s">
        <v>411</v>
      </c>
    </row>
    <row r="5203" spans="2:5" x14ac:dyDescent="0.3">
      <c r="B5203" t="s">
        <v>8168</v>
      </c>
      <c r="C5203">
        <v>543226</v>
      </c>
      <c r="D5203" t="s">
        <v>8169</v>
      </c>
      <c r="E5203" t="s">
        <v>411</v>
      </c>
    </row>
    <row r="5204" spans="2:5" x14ac:dyDescent="0.3">
      <c r="B5204" t="s">
        <v>8170</v>
      </c>
      <c r="C5204">
        <v>543227</v>
      </c>
      <c r="D5204" t="s">
        <v>8171</v>
      </c>
      <c r="E5204" t="s">
        <v>482</v>
      </c>
    </row>
    <row r="5205" spans="2:5" x14ac:dyDescent="0.3">
      <c r="B5205" t="s">
        <v>8172</v>
      </c>
      <c r="C5205">
        <v>543228</v>
      </c>
      <c r="D5205" t="s">
        <v>8173</v>
      </c>
      <c r="E5205" t="s">
        <v>502</v>
      </c>
    </row>
    <row r="5206" spans="2:5" x14ac:dyDescent="0.3">
      <c r="B5206" t="s">
        <v>8174</v>
      </c>
      <c r="C5206">
        <v>543230</v>
      </c>
      <c r="D5206" t="s">
        <v>8175</v>
      </c>
      <c r="E5206" t="s">
        <v>794</v>
      </c>
    </row>
    <row r="5207" spans="2:5" x14ac:dyDescent="0.3">
      <c r="B5207" t="s">
        <v>8176</v>
      </c>
      <c r="C5207">
        <v>543231</v>
      </c>
      <c r="D5207" t="s">
        <v>8177</v>
      </c>
      <c r="E5207" t="s">
        <v>991</v>
      </c>
    </row>
    <row r="5208" spans="2:5" x14ac:dyDescent="0.3">
      <c r="B5208" t="s">
        <v>8178</v>
      </c>
      <c r="C5208">
        <v>543232</v>
      </c>
      <c r="D5208" t="s">
        <v>8179</v>
      </c>
      <c r="E5208" t="s">
        <v>479</v>
      </c>
    </row>
    <row r="5209" spans="2:5" x14ac:dyDescent="0.3">
      <c r="B5209" t="s">
        <v>8180</v>
      </c>
      <c r="C5209">
        <v>543233</v>
      </c>
      <c r="D5209" t="s">
        <v>8181</v>
      </c>
      <c r="E5209" t="s">
        <v>656</v>
      </c>
    </row>
    <row r="5210" spans="2:5" x14ac:dyDescent="0.3">
      <c r="B5210" t="s">
        <v>8182</v>
      </c>
      <c r="C5210">
        <v>543234</v>
      </c>
      <c r="D5210" t="s">
        <v>8183</v>
      </c>
      <c r="E5210" t="s">
        <v>482</v>
      </c>
    </row>
    <row r="5211" spans="2:5" x14ac:dyDescent="0.3">
      <c r="B5211" t="s">
        <v>8184</v>
      </c>
      <c r="C5211">
        <v>543235</v>
      </c>
      <c r="D5211" t="s">
        <v>8185</v>
      </c>
      <c r="E5211" t="s">
        <v>479</v>
      </c>
    </row>
    <row r="5212" spans="2:5" x14ac:dyDescent="0.3">
      <c r="B5212" t="s">
        <v>8186</v>
      </c>
      <c r="C5212">
        <v>543236</v>
      </c>
      <c r="D5212" t="s">
        <v>8187</v>
      </c>
      <c r="E5212" t="s">
        <v>504</v>
      </c>
    </row>
    <row r="5213" spans="2:5" x14ac:dyDescent="0.3">
      <c r="B5213" t="s">
        <v>8188</v>
      </c>
      <c r="C5213">
        <v>543237</v>
      </c>
      <c r="D5213" t="s">
        <v>8189</v>
      </c>
      <c r="E5213" t="s">
        <v>969</v>
      </c>
    </row>
    <row r="5214" spans="2:5" x14ac:dyDescent="0.3">
      <c r="B5214" t="s">
        <v>8190</v>
      </c>
      <c r="C5214">
        <v>543238</v>
      </c>
      <c r="D5214" t="s">
        <v>8191</v>
      </c>
      <c r="E5214" t="s">
        <v>2902</v>
      </c>
    </row>
    <row r="5215" spans="2:5" x14ac:dyDescent="0.3">
      <c r="B5215" t="s">
        <v>8192</v>
      </c>
      <c r="C5215">
        <v>543239</v>
      </c>
      <c r="D5215" t="s">
        <v>8193</v>
      </c>
      <c r="E5215" t="s">
        <v>616</v>
      </c>
    </row>
    <row r="5216" spans="2:5" x14ac:dyDescent="0.3">
      <c r="B5216" t="s">
        <v>8194</v>
      </c>
      <c r="C5216">
        <v>543240</v>
      </c>
      <c r="D5216" t="s">
        <v>8195</v>
      </c>
      <c r="E5216" t="s">
        <v>894</v>
      </c>
    </row>
    <row r="5217" spans="2:5" x14ac:dyDescent="0.3">
      <c r="B5217" t="s">
        <v>8196</v>
      </c>
      <c r="C5217">
        <v>543241</v>
      </c>
      <c r="D5217" t="s">
        <v>8197</v>
      </c>
      <c r="E5217" t="s">
        <v>582</v>
      </c>
    </row>
    <row r="5218" spans="2:5" x14ac:dyDescent="0.3">
      <c r="B5218" t="s">
        <v>8198</v>
      </c>
      <c r="C5218">
        <v>543242</v>
      </c>
      <c r="D5218" t="s">
        <v>8199</v>
      </c>
      <c r="E5218" t="s">
        <v>582</v>
      </c>
    </row>
    <row r="5219" spans="2:5" x14ac:dyDescent="0.3">
      <c r="B5219" t="s">
        <v>8200</v>
      </c>
      <c r="C5219">
        <v>543243</v>
      </c>
      <c r="D5219" t="s">
        <v>8201</v>
      </c>
      <c r="E5219" t="s">
        <v>814</v>
      </c>
    </row>
    <row r="5220" spans="2:5" x14ac:dyDescent="0.3">
      <c r="B5220" t="s">
        <v>8202</v>
      </c>
      <c r="C5220">
        <v>543244</v>
      </c>
      <c r="D5220" t="s">
        <v>8203</v>
      </c>
      <c r="E5220" t="s">
        <v>511</v>
      </c>
    </row>
    <row r="5221" spans="2:5" x14ac:dyDescent="0.3">
      <c r="B5221" t="s">
        <v>8204</v>
      </c>
      <c r="C5221">
        <v>500270</v>
      </c>
      <c r="D5221" t="s">
        <v>8205</v>
      </c>
      <c r="E5221" t="s">
        <v>8206</v>
      </c>
    </row>
    <row r="5222" spans="2:5" x14ac:dyDescent="0.3">
      <c r="B5222" t="s">
        <v>8207</v>
      </c>
      <c r="C5222">
        <v>503685</v>
      </c>
      <c r="D5222" t="s">
        <v>8208</v>
      </c>
      <c r="E5222" t="s">
        <v>8209</v>
      </c>
    </row>
    <row r="5223" spans="2:5" x14ac:dyDescent="0.3">
      <c r="B5223" t="s">
        <v>8210</v>
      </c>
      <c r="C5223">
        <v>505100</v>
      </c>
      <c r="D5223" t="s">
        <v>8211</v>
      </c>
      <c r="E5223" t="s">
        <v>8212</v>
      </c>
    </row>
    <row r="5224" spans="2:5" x14ac:dyDescent="0.3">
      <c r="B5224" t="s">
        <v>8213</v>
      </c>
      <c r="C5224">
        <v>506580</v>
      </c>
      <c r="D5224" t="s">
        <v>8214</v>
      </c>
      <c r="E5224" t="s">
        <v>8215</v>
      </c>
    </row>
    <row r="5225" spans="2:5" x14ac:dyDescent="0.3">
      <c r="B5225" t="s">
        <v>8216</v>
      </c>
      <c r="C5225">
        <v>509069</v>
      </c>
      <c r="D5225" t="s">
        <v>8217</v>
      </c>
      <c r="E5225" t="s">
        <v>8218</v>
      </c>
    </row>
    <row r="5226" spans="2:5" x14ac:dyDescent="0.3">
      <c r="B5226" t="s">
        <v>8219</v>
      </c>
      <c r="C5226">
        <v>509960</v>
      </c>
      <c r="D5226" t="s">
        <v>8220</v>
      </c>
      <c r="E5226" t="s">
        <v>8221</v>
      </c>
    </row>
    <row r="5227" spans="2:5" x14ac:dyDescent="0.3">
      <c r="B5227" t="s">
        <v>8222</v>
      </c>
      <c r="C5227">
        <v>511016</v>
      </c>
      <c r="D5227" t="s">
        <v>8223</v>
      </c>
      <c r="E5227" t="s">
        <v>8224</v>
      </c>
    </row>
    <row r="5228" spans="2:5" x14ac:dyDescent="0.3">
      <c r="B5228" t="s">
        <v>8225</v>
      </c>
      <c r="C5228">
        <v>511194</v>
      </c>
      <c r="D5228" t="s">
        <v>8226</v>
      </c>
      <c r="E5228" t="s">
        <v>7450</v>
      </c>
    </row>
    <row r="5229" spans="2:5" x14ac:dyDescent="0.3">
      <c r="B5229" t="s">
        <v>8227</v>
      </c>
      <c r="C5229">
        <v>512097</v>
      </c>
      <c r="D5229" t="s">
        <v>8228</v>
      </c>
      <c r="E5229" t="s">
        <v>8229</v>
      </c>
    </row>
    <row r="5230" spans="2:5" x14ac:dyDescent="0.3">
      <c r="B5230" t="s">
        <v>8230</v>
      </c>
      <c r="C5230">
        <v>512115</v>
      </c>
      <c r="D5230" t="s">
        <v>8231</v>
      </c>
      <c r="E5230" t="s">
        <v>8229</v>
      </c>
    </row>
    <row r="5231" spans="2:5" x14ac:dyDescent="0.3">
      <c r="B5231" t="s">
        <v>8232</v>
      </c>
      <c r="C5231">
        <v>514260</v>
      </c>
      <c r="D5231" t="s">
        <v>8233</v>
      </c>
      <c r="E5231" t="s">
        <v>8206</v>
      </c>
    </row>
    <row r="5232" spans="2:5" x14ac:dyDescent="0.3">
      <c r="B5232" t="s">
        <v>8234</v>
      </c>
      <c r="C5232">
        <v>523309</v>
      </c>
      <c r="D5232" t="s">
        <v>8235</v>
      </c>
      <c r="E5232" t="s">
        <v>8236</v>
      </c>
    </row>
    <row r="5233" spans="2:5" x14ac:dyDescent="0.3">
      <c r="B5233" t="s">
        <v>8237</v>
      </c>
      <c r="C5233">
        <v>523868</v>
      </c>
      <c r="D5233" t="s">
        <v>8238</v>
      </c>
      <c r="E5233" t="s">
        <v>504</v>
      </c>
    </row>
    <row r="5234" spans="2:5" x14ac:dyDescent="0.3">
      <c r="B5234" t="s">
        <v>8239</v>
      </c>
      <c r="C5234">
        <v>524046</v>
      </c>
      <c r="D5234" t="s">
        <v>8240</v>
      </c>
      <c r="E5234" t="s">
        <v>8241</v>
      </c>
    </row>
    <row r="5235" spans="2:5" x14ac:dyDescent="0.3">
      <c r="B5235" t="s">
        <v>8242</v>
      </c>
      <c r="C5235">
        <v>526345</v>
      </c>
      <c r="D5235" t="s">
        <v>8243</v>
      </c>
      <c r="E5235" t="s">
        <v>556</v>
      </c>
    </row>
    <row r="5236" spans="2:5" x14ac:dyDescent="0.3">
      <c r="B5236" t="s">
        <v>8244</v>
      </c>
      <c r="C5236">
        <v>526468</v>
      </c>
      <c r="D5236" t="s">
        <v>8245</v>
      </c>
      <c r="E5236" t="s">
        <v>8246</v>
      </c>
    </row>
    <row r="5237" spans="2:5" x14ac:dyDescent="0.3">
      <c r="B5237" t="s">
        <v>8247</v>
      </c>
      <c r="C5237">
        <v>526677</v>
      </c>
      <c r="D5237" t="s">
        <v>8248</v>
      </c>
      <c r="E5237" t="s">
        <v>601</v>
      </c>
    </row>
    <row r="5238" spans="2:5" x14ac:dyDescent="0.3">
      <c r="B5238" t="s">
        <v>8249</v>
      </c>
      <c r="C5238">
        <v>526877</v>
      </c>
      <c r="D5238" t="s">
        <v>8250</v>
      </c>
      <c r="E5238" t="s">
        <v>8229</v>
      </c>
    </row>
    <row r="5239" spans="2:5" x14ac:dyDescent="0.3">
      <c r="B5239" t="s">
        <v>8251</v>
      </c>
      <c r="C5239">
        <v>530027</v>
      </c>
      <c r="D5239" t="s">
        <v>8252</v>
      </c>
      <c r="E5239" t="s">
        <v>710</v>
      </c>
    </row>
    <row r="5240" spans="2:5" x14ac:dyDescent="0.3">
      <c r="B5240" t="s">
        <v>8253</v>
      </c>
      <c r="C5240">
        <v>531240</v>
      </c>
      <c r="D5240" t="s">
        <v>8254</v>
      </c>
      <c r="E5240" t="s">
        <v>8229</v>
      </c>
    </row>
    <row r="5241" spans="2:5" x14ac:dyDescent="0.3">
      <c r="B5241" t="s">
        <v>8255</v>
      </c>
      <c r="C5241">
        <v>531399</v>
      </c>
      <c r="D5241" t="s">
        <v>8256</v>
      </c>
      <c r="E5241" t="s">
        <v>8212</v>
      </c>
    </row>
    <row r="5242" spans="2:5" x14ac:dyDescent="0.3">
      <c r="B5242" t="s">
        <v>8257</v>
      </c>
      <c r="C5242">
        <v>531812</v>
      </c>
      <c r="D5242" t="s">
        <v>8258</v>
      </c>
      <c r="E5242" t="s">
        <v>8224</v>
      </c>
    </row>
    <row r="5243" spans="2:5" x14ac:dyDescent="0.3">
      <c r="B5243" t="s">
        <v>8259</v>
      </c>
      <c r="C5243">
        <v>532019</v>
      </c>
      <c r="D5243" t="s">
        <v>8260</v>
      </c>
      <c r="E5243" t="s">
        <v>8261</v>
      </c>
    </row>
    <row r="5244" spans="2:5" x14ac:dyDescent="0.3">
      <c r="B5244" t="s">
        <v>8262</v>
      </c>
      <c r="C5244">
        <v>532335</v>
      </c>
      <c r="D5244" t="s">
        <v>8263</v>
      </c>
      <c r="E5244" t="s">
        <v>2315</v>
      </c>
    </row>
    <row r="5245" spans="2:5" x14ac:dyDescent="0.3">
      <c r="B5245" t="s">
        <v>8264</v>
      </c>
      <c r="C5245">
        <v>537709</v>
      </c>
      <c r="D5245" t="s">
        <v>8265</v>
      </c>
      <c r="E5245" t="s">
        <v>1195</v>
      </c>
    </row>
    <row r="5246" spans="2:5" x14ac:dyDescent="0.3">
      <c r="B5246" t="s">
        <v>8266</v>
      </c>
      <c r="C5246">
        <v>543229</v>
      </c>
      <c r="D5246" t="s">
        <v>8267</v>
      </c>
      <c r="E5246" t="s">
        <v>8268</v>
      </c>
    </row>
    <row r="5247" spans="2:5" x14ac:dyDescent="0.3">
      <c r="B5247" t="s">
        <v>8269</v>
      </c>
      <c r="C5247">
        <v>543245</v>
      </c>
      <c r="D5247" t="s">
        <v>8270</v>
      </c>
      <c r="E5247" t="s">
        <v>534</v>
      </c>
    </row>
    <row r="5248" spans="2:5" x14ac:dyDescent="0.3">
      <c r="B5248" t="s">
        <v>8271</v>
      </c>
      <c r="C5248">
        <v>543246</v>
      </c>
      <c r="D5248" t="s">
        <v>8272</v>
      </c>
      <c r="E5248" t="s">
        <v>411</v>
      </c>
    </row>
    <row r="5249" spans="2:5" x14ac:dyDescent="0.3">
      <c r="B5249" t="s">
        <v>8273</v>
      </c>
      <c r="C5249">
        <v>543247</v>
      </c>
      <c r="D5249" t="s">
        <v>8274</v>
      </c>
      <c r="E5249" t="s">
        <v>8209</v>
      </c>
    </row>
    <row r="5250" spans="2:5" x14ac:dyDescent="0.3">
      <c r="B5250" t="s">
        <v>8275</v>
      </c>
      <c r="C5250">
        <v>543248</v>
      </c>
      <c r="D5250" t="s">
        <v>8276</v>
      </c>
      <c r="E5250" t="s">
        <v>985</v>
      </c>
    </row>
    <row r="5251" spans="2:5" x14ac:dyDescent="0.3">
      <c r="B5251" t="s">
        <v>8277</v>
      </c>
      <c r="C5251">
        <v>543249</v>
      </c>
      <c r="D5251" t="s">
        <v>8278</v>
      </c>
      <c r="E5251" t="s">
        <v>8279</v>
      </c>
    </row>
    <row r="5252" spans="2:5" x14ac:dyDescent="0.3">
      <c r="B5252" t="s">
        <v>8280</v>
      </c>
      <c r="C5252">
        <v>543251</v>
      </c>
      <c r="D5252" t="s">
        <v>8281</v>
      </c>
      <c r="E5252" t="s">
        <v>8279</v>
      </c>
    </row>
    <row r="5253" spans="2:5" x14ac:dyDescent="0.3">
      <c r="B5253" t="s">
        <v>8282</v>
      </c>
      <c r="C5253">
        <v>543252</v>
      </c>
      <c r="D5253" t="s">
        <v>8283</v>
      </c>
      <c r="E5253" t="s">
        <v>656</v>
      </c>
    </row>
    <row r="5254" spans="2:5" x14ac:dyDescent="0.3">
      <c r="B5254" t="s">
        <v>8284</v>
      </c>
      <c r="C5254">
        <v>543253</v>
      </c>
      <c r="D5254" t="s">
        <v>8285</v>
      </c>
      <c r="E5254" t="s">
        <v>556</v>
      </c>
    </row>
    <row r="5255" spans="2:5" x14ac:dyDescent="0.3">
      <c r="B5255" t="s">
        <v>8286</v>
      </c>
      <c r="C5255">
        <v>543254</v>
      </c>
      <c r="D5255" t="s">
        <v>8287</v>
      </c>
      <c r="E5255" t="s">
        <v>8288</v>
      </c>
    </row>
    <row r="5256" spans="2:5" x14ac:dyDescent="0.3">
      <c r="B5256" t="s">
        <v>8289</v>
      </c>
      <c r="C5256">
        <v>543255</v>
      </c>
      <c r="D5256" t="s">
        <v>8290</v>
      </c>
      <c r="E5256" t="s">
        <v>411</v>
      </c>
    </row>
    <row r="5257" spans="2:5" x14ac:dyDescent="0.3">
      <c r="B5257" t="s">
        <v>8291</v>
      </c>
      <c r="C5257">
        <v>543256</v>
      </c>
      <c r="D5257" t="s">
        <v>8292</v>
      </c>
      <c r="E5257" t="s">
        <v>8293</v>
      </c>
    </row>
    <row r="5258" spans="2:5" x14ac:dyDescent="0.3">
      <c r="B5258" t="s">
        <v>8294</v>
      </c>
      <c r="C5258">
        <v>543257</v>
      </c>
      <c r="D5258" t="s">
        <v>8295</v>
      </c>
      <c r="E5258" t="s">
        <v>8296</v>
      </c>
    </row>
    <row r="5259" spans="2:5" x14ac:dyDescent="0.3">
      <c r="B5259" t="s">
        <v>8297</v>
      </c>
      <c r="C5259">
        <v>543258</v>
      </c>
      <c r="D5259" t="s">
        <v>8298</v>
      </c>
      <c r="E5259" t="s">
        <v>8299</v>
      </c>
    </row>
    <row r="5260" spans="2:5" x14ac:dyDescent="0.3">
      <c r="B5260" t="s">
        <v>8300</v>
      </c>
      <c r="C5260">
        <v>543259</v>
      </c>
      <c r="D5260" t="s">
        <v>8301</v>
      </c>
      <c r="E5260" t="s">
        <v>8302</v>
      </c>
    </row>
    <row r="5261" spans="2:5" x14ac:dyDescent="0.3">
      <c r="B5261" t="s">
        <v>8303</v>
      </c>
      <c r="C5261">
        <v>543260</v>
      </c>
      <c r="D5261" t="s">
        <v>8304</v>
      </c>
      <c r="E5261" t="s">
        <v>1261</v>
      </c>
    </row>
    <row r="5262" spans="2:5" x14ac:dyDescent="0.3">
      <c r="B5262" t="s">
        <v>8305</v>
      </c>
      <c r="C5262">
        <v>543261</v>
      </c>
      <c r="D5262" t="s">
        <v>8306</v>
      </c>
      <c r="E5262" t="s">
        <v>8307</v>
      </c>
    </row>
    <row r="5263" spans="2:5" x14ac:dyDescent="0.3">
      <c r="B5263" t="s">
        <v>8308</v>
      </c>
      <c r="C5263">
        <v>543262</v>
      </c>
      <c r="D5263" t="s">
        <v>8309</v>
      </c>
      <c r="E5263" t="s">
        <v>530</v>
      </c>
    </row>
    <row r="5264" spans="2:5" x14ac:dyDescent="0.3">
      <c r="B5264" t="s">
        <v>8310</v>
      </c>
      <c r="C5264">
        <v>543263</v>
      </c>
      <c r="D5264" t="s">
        <v>8311</v>
      </c>
      <c r="E5264" t="s">
        <v>8312</v>
      </c>
    </row>
    <row r="5265" spans="2:5" x14ac:dyDescent="0.3">
      <c r="B5265" t="s">
        <v>8313</v>
      </c>
      <c r="C5265">
        <v>543264</v>
      </c>
      <c r="D5265" t="s">
        <v>8314</v>
      </c>
      <c r="E5265" t="s">
        <v>8315</v>
      </c>
    </row>
    <row r="5266" spans="2:5" x14ac:dyDescent="0.3">
      <c r="B5266" t="s">
        <v>8316</v>
      </c>
      <c r="C5266">
        <v>543265</v>
      </c>
      <c r="D5266" t="s">
        <v>8317</v>
      </c>
      <c r="E5266" t="s">
        <v>1443</v>
      </c>
    </row>
    <row r="5267" spans="2:5" x14ac:dyDescent="0.3">
      <c r="B5267" t="s">
        <v>8318</v>
      </c>
      <c r="C5267">
        <v>543266</v>
      </c>
      <c r="D5267" t="s">
        <v>8319</v>
      </c>
      <c r="E5267" t="s">
        <v>8215</v>
      </c>
    </row>
    <row r="5268" spans="2:5" x14ac:dyDescent="0.3">
      <c r="B5268" t="s">
        <v>8320</v>
      </c>
      <c r="C5268">
        <v>543267</v>
      </c>
      <c r="D5268" t="s">
        <v>8321</v>
      </c>
      <c r="E5268" t="s">
        <v>1195</v>
      </c>
    </row>
    <row r="5269" spans="2:5" x14ac:dyDescent="0.3">
      <c r="B5269" t="s">
        <v>8322</v>
      </c>
      <c r="C5269">
        <v>543269</v>
      </c>
      <c r="D5269" t="s">
        <v>8323</v>
      </c>
      <c r="E5269" t="s">
        <v>8324</v>
      </c>
    </row>
    <row r="5270" spans="2:5" x14ac:dyDescent="0.3">
      <c r="B5270" t="s">
        <v>8325</v>
      </c>
      <c r="C5270">
        <v>543270</v>
      </c>
      <c r="D5270" t="s">
        <v>8326</v>
      </c>
      <c r="E5270" t="s">
        <v>8327</v>
      </c>
    </row>
    <row r="5271" spans="2:5" x14ac:dyDescent="0.3">
      <c r="B5271" t="s">
        <v>8328</v>
      </c>
      <c r="C5271">
        <v>543271</v>
      </c>
      <c r="D5271" t="s">
        <v>8329</v>
      </c>
      <c r="E5271" t="s">
        <v>656</v>
      </c>
    </row>
    <row r="5272" spans="2:5" x14ac:dyDescent="0.3">
      <c r="B5272" t="s">
        <v>8330</v>
      </c>
      <c r="C5272">
        <v>543272</v>
      </c>
      <c r="D5272" t="s">
        <v>8331</v>
      </c>
      <c r="E5272" t="s">
        <v>8332</v>
      </c>
    </row>
    <row r="5273" spans="2:5" x14ac:dyDescent="0.3">
      <c r="B5273" t="s">
        <v>8333</v>
      </c>
      <c r="C5273">
        <v>543273</v>
      </c>
      <c r="D5273" t="s">
        <v>8334</v>
      </c>
      <c r="E5273" t="s">
        <v>1744</v>
      </c>
    </row>
    <row r="5274" spans="2:5" x14ac:dyDescent="0.3">
      <c r="B5274" t="s">
        <v>8335</v>
      </c>
      <c r="C5274">
        <v>543274</v>
      </c>
      <c r="D5274" t="s">
        <v>8336</v>
      </c>
      <c r="E5274" t="s">
        <v>8206</v>
      </c>
    </row>
    <row r="5275" spans="2:5" x14ac:dyDescent="0.3">
      <c r="B5275" t="s">
        <v>8337</v>
      </c>
      <c r="C5275">
        <v>543275</v>
      </c>
      <c r="D5275" t="s">
        <v>8338</v>
      </c>
      <c r="E5275" t="s">
        <v>656</v>
      </c>
    </row>
    <row r="5276" spans="2:5" x14ac:dyDescent="0.3">
      <c r="B5276" t="s">
        <v>8339</v>
      </c>
      <c r="C5276">
        <v>543276</v>
      </c>
      <c r="D5276" t="s">
        <v>8340</v>
      </c>
      <c r="E5276" t="s">
        <v>8212</v>
      </c>
    </row>
    <row r="5277" spans="2:5" x14ac:dyDescent="0.3">
      <c r="B5277" t="s">
        <v>8341</v>
      </c>
      <c r="C5277">
        <v>543277</v>
      </c>
      <c r="D5277" t="s">
        <v>8342</v>
      </c>
      <c r="E5277" t="s">
        <v>656</v>
      </c>
    </row>
    <row r="5278" spans="2:5" x14ac:dyDescent="0.3">
      <c r="B5278" t="s">
        <v>8343</v>
      </c>
      <c r="C5278">
        <v>543278</v>
      </c>
      <c r="D5278" t="s">
        <v>8344</v>
      </c>
      <c r="E5278" t="s">
        <v>8246</v>
      </c>
    </row>
    <row r="5279" spans="2:5" x14ac:dyDescent="0.3">
      <c r="B5279" t="s">
        <v>8345</v>
      </c>
      <c r="C5279">
        <v>543279</v>
      </c>
      <c r="D5279" t="s">
        <v>8346</v>
      </c>
      <c r="E5279" t="s">
        <v>8347</v>
      </c>
    </row>
    <row r="5280" spans="2:5" x14ac:dyDescent="0.3">
      <c r="B5280" t="s">
        <v>8348</v>
      </c>
      <c r="C5280">
        <v>543280</v>
      </c>
      <c r="D5280" t="s">
        <v>8349</v>
      </c>
      <c r="E5280" t="s">
        <v>8350</v>
      </c>
    </row>
    <row r="5281" spans="2:5" x14ac:dyDescent="0.3">
      <c r="B5281" t="s">
        <v>8351</v>
      </c>
      <c r="C5281">
        <v>543281</v>
      </c>
      <c r="D5281" t="s">
        <v>8352</v>
      </c>
      <c r="E5281" t="s">
        <v>8353</v>
      </c>
    </row>
    <row r="5282" spans="2:5" x14ac:dyDescent="0.3">
      <c r="B5282" t="s">
        <v>8354</v>
      </c>
      <c r="C5282">
        <v>543282</v>
      </c>
      <c r="D5282" t="s">
        <v>8355</v>
      </c>
      <c r="E5282" t="s">
        <v>8324</v>
      </c>
    </row>
    <row r="5283" spans="2:5" x14ac:dyDescent="0.3">
      <c r="B5283" t="s">
        <v>8356</v>
      </c>
      <c r="C5283">
        <v>543283</v>
      </c>
      <c r="D5283" t="s">
        <v>8357</v>
      </c>
      <c r="E5283" t="s">
        <v>985</v>
      </c>
    </row>
    <row r="5284" spans="2:5" x14ac:dyDescent="0.3">
      <c r="B5284" t="s">
        <v>8358</v>
      </c>
      <c r="C5284">
        <v>543284</v>
      </c>
      <c r="D5284" t="s">
        <v>8359</v>
      </c>
      <c r="E5284" t="s">
        <v>580</v>
      </c>
    </row>
    <row r="5285" spans="2:5" x14ac:dyDescent="0.3">
      <c r="B5285" t="s">
        <v>8360</v>
      </c>
      <c r="C5285">
        <v>543285</v>
      </c>
      <c r="D5285" t="s">
        <v>8361</v>
      </c>
      <c r="E5285" t="s">
        <v>8362</v>
      </c>
    </row>
    <row r="5286" spans="2:5" x14ac:dyDescent="0.3">
      <c r="B5286" t="s">
        <v>8363</v>
      </c>
      <c r="C5286">
        <v>543286</v>
      </c>
      <c r="D5286" t="s">
        <v>8364</v>
      </c>
      <c r="E5286" t="s">
        <v>576</v>
      </c>
    </row>
    <row r="5287" spans="2:5" x14ac:dyDescent="0.3">
      <c r="B5287" t="s">
        <v>8365</v>
      </c>
      <c r="C5287">
        <v>543287</v>
      </c>
      <c r="D5287" t="s">
        <v>8366</v>
      </c>
      <c r="E5287" t="s">
        <v>8279</v>
      </c>
    </row>
    <row r="5288" spans="2:5" x14ac:dyDescent="0.3">
      <c r="B5288" t="s">
        <v>8367</v>
      </c>
      <c r="C5288">
        <v>543288</v>
      </c>
      <c r="D5288" t="s">
        <v>2005</v>
      </c>
      <c r="E5288" t="s">
        <v>8368</v>
      </c>
    </row>
    <row r="5289" spans="2:5" x14ac:dyDescent="0.3">
      <c r="B5289" t="s">
        <v>8369</v>
      </c>
      <c r="C5289">
        <v>543289</v>
      </c>
      <c r="D5289" t="s">
        <v>8370</v>
      </c>
      <c r="E5289" t="s">
        <v>601</v>
      </c>
    </row>
    <row r="5290" spans="2:5" x14ac:dyDescent="0.3">
      <c r="B5290" t="s">
        <v>8371</v>
      </c>
      <c r="C5290">
        <v>543290</v>
      </c>
      <c r="D5290" t="s">
        <v>8372</v>
      </c>
      <c r="E5290" t="s">
        <v>8373</v>
      </c>
    </row>
    <row r="5291" spans="2:5" x14ac:dyDescent="0.3">
      <c r="B5291" t="s">
        <v>8374</v>
      </c>
      <c r="C5291">
        <v>543291</v>
      </c>
      <c r="D5291" t="s">
        <v>8375</v>
      </c>
      <c r="E5291" t="s">
        <v>411</v>
      </c>
    </row>
    <row r="5292" spans="2:5" x14ac:dyDescent="0.3">
      <c r="B5292" t="s">
        <v>8376</v>
      </c>
      <c r="C5292">
        <v>543292</v>
      </c>
      <c r="D5292" t="s">
        <v>8377</v>
      </c>
      <c r="E5292" t="s">
        <v>411</v>
      </c>
    </row>
    <row r="5293" spans="2:5" x14ac:dyDescent="0.3">
      <c r="B5293" t="s">
        <v>8378</v>
      </c>
      <c r="C5293">
        <v>543297</v>
      </c>
      <c r="D5293" t="s">
        <v>8379</v>
      </c>
      <c r="E5293" t="s">
        <v>539</v>
      </c>
    </row>
    <row r="5294" spans="2:5" x14ac:dyDescent="0.3">
      <c r="B5294" t="s">
        <v>8380</v>
      </c>
      <c r="C5294">
        <v>543298</v>
      </c>
      <c r="D5294" t="s">
        <v>8381</v>
      </c>
      <c r="E5294" t="s">
        <v>534</v>
      </c>
    </row>
    <row r="5295" spans="2:5" x14ac:dyDescent="0.3">
      <c r="B5295" t="s">
        <v>8382</v>
      </c>
      <c r="C5295">
        <v>543299</v>
      </c>
      <c r="D5295" t="s">
        <v>8383</v>
      </c>
      <c r="E5295" t="s">
        <v>8384</v>
      </c>
    </row>
    <row r="5296" spans="2:5" x14ac:dyDescent="0.3">
      <c r="B5296" t="s">
        <v>8385</v>
      </c>
      <c r="C5296">
        <v>543300</v>
      </c>
      <c r="D5296" t="s">
        <v>8386</v>
      </c>
      <c r="E5296" t="s">
        <v>8212</v>
      </c>
    </row>
    <row r="5297" spans="2:5" x14ac:dyDescent="0.3">
      <c r="B5297" t="s">
        <v>8387</v>
      </c>
      <c r="C5297">
        <v>543305</v>
      </c>
      <c r="D5297" t="s">
        <v>8388</v>
      </c>
      <c r="E5297" t="s">
        <v>580</v>
      </c>
    </row>
    <row r="5298" spans="2:5" x14ac:dyDescent="0.3">
      <c r="B5298" t="s">
        <v>8389</v>
      </c>
      <c r="C5298">
        <v>543306</v>
      </c>
      <c r="D5298" t="s">
        <v>8390</v>
      </c>
      <c r="E5298" t="s">
        <v>8391</v>
      </c>
    </row>
    <row r="5299" spans="2:5" x14ac:dyDescent="0.3">
      <c r="B5299" t="s">
        <v>8392</v>
      </c>
      <c r="C5299">
        <v>543308</v>
      </c>
      <c r="D5299" t="s">
        <v>8393</v>
      </c>
      <c r="E5299" t="s">
        <v>8394</v>
      </c>
    </row>
    <row r="5300" spans="2:5" x14ac:dyDescent="0.3">
      <c r="B5300" t="s">
        <v>8395</v>
      </c>
      <c r="C5300">
        <v>543309</v>
      </c>
      <c r="D5300" t="s">
        <v>8396</v>
      </c>
      <c r="E5300" t="s">
        <v>8397</v>
      </c>
    </row>
    <row r="5301" spans="2:5" x14ac:dyDescent="0.3">
      <c r="B5301" t="s">
        <v>8398</v>
      </c>
      <c r="C5301">
        <v>543310</v>
      </c>
      <c r="D5301" t="s">
        <v>8399</v>
      </c>
      <c r="E5301" t="s">
        <v>694</v>
      </c>
    </row>
    <row r="5302" spans="2:5" x14ac:dyDescent="0.3">
      <c r="B5302" t="s">
        <v>8400</v>
      </c>
      <c r="C5302">
        <v>543311</v>
      </c>
      <c r="D5302" t="s">
        <v>8401</v>
      </c>
      <c r="E5302" t="s">
        <v>8215</v>
      </c>
    </row>
    <row r="5303" spans="2:5" x14ac:dyDescent="0.3">
      <c r="B5303" t="s">
        <v>8402</v>
      </c>
      <c r="C5303">
        <v>543312</v>
      </c>
      <c r="D5303" t="s">
        <v>2420</v>
      </c>
      <c r="E5303" t="s">
        <v>8324</v>
      </c>
    </row>
    <row r="5304" spans="2:5" x14ac:dyDescent="0.3">
      <c r="B5304" t="s">
        <v>8403</v>
      </c>
      <c r="C5304">
        <v>543317</v>
      </c>
      <c r="D5304" t="s">
        <v>8404</v>
      </c>
      <c r="E5304" t="s">
        <v>8405</v>
      </c>
    </row>
    <row r="5305" spans="2:5" x14ac:dyDescent="0.3">
      <c r="B5305" t="s">
        <v>8406</v>
      </c>
      <c r="C5305">
        <v>543318</v>
      </c>
      <c r="D5305" t="s">
        <v>8407</v>
      </c>
      <c r="E5305" t="s">
        <v>544</v>
      </c>
    </row>
    <row r="5306" spans="2:5" x14ac:dyDescent="0.3">
      <c r="B5306" t="s">
        <v>8408</v>
      </c>
      <c r="C5306">
        <v>543319</v>
      </c>
      <c r="D5306" t="s">
        <v>8409</v>
      </c>
      <c r="E5306" t="s">
        <v>8229</v>
      </c>
    </row>
    <row r="5307" spans="2:5" x14ac:dyDescent="0.3">
      <c r="B5307" t="s">
        <v>8410</v>
      </c>
      <c r="C5307">
        <v>543320</v>
      </c>
      <c r="D5307" t="s">
        <v>8411</v>
      </c>
      <c r="E5307" t="s">
        <v>8412</v>
      </c>
    </row>
    <row r="5308" spans="2:5" x14ac:dyDescent="0.3">
      <c r="B5308" t="s">
        <v>8413</v>
      </c>
      <c r="C5308">
        <v>543321</v>
      </c>
      <c r="D5308" t="s">
        <v>8414</v>
      </c>
      <c r="E5308" t="s">
        <v>656</v>
      </c>
    </row>
    <row r="5309" spans="2:5" x14ac:dyDescent="0.3">
      <c r="B5309" t="s">
        <v>8415</v>
      </c>
      <c r="C5309">
        <v>543322</v>
      </c>
      <c r="D5309" t="s">
        <v>8416</v>
      </c>
      <c r="E5309" t="s">
        <v>534</v>
      </c>
    </row>
    <row r="5310" spans="2:5" x14ac:dyDescent="0.3">
      <c r="B5310" t="s">
        <v>8417</v>
      </c>
      <c r="C5310">
        <v>543323</v>
      </c>
      <c r="D5310" t="s">
        <v>8418</v>
      </c>
      <c r="E5310" t="s">
        <v>411</v>
      </c>
    </row>
    <row r="5311" spans="2:5" x14ac:dyDescent="0.3">
      <c r="B5311" t="s">
        <v>8419</v>
      </c>
      <c r="C5311">
        <v>543324</v>
      </c>
      <c r="D5311" t="s">
        <v>8420</v>
      </c>
      <c r="E5311" t="s">
        <v>8421</v>
      </c>
    </row>
    <row r="5312" spans="2:5" x14ac:dyDescent="0.3">
      <c r="B5312" t="s">
        <v>8422</v>
      </c>
      <c r="C5312">
        <v>543325</v>
      </c>
      <c r="D5312" t="s">
        <v>8423</v>
      </c>
      <c r="E5312" t="s">
        <v>8212</v>
      </c>
    </row>
    <row r="5313" spans="2:5" x14ac:dyDescent="0.3">
      <c r="B5313" t="s">
        <v>8424</v>
      </c>
      <c r="C5313">
        <v>543326</v>
      </c>
      <c r="D5313" t="s">
        <v>8425</v>
      </c>
      <c r="E5313" t="s">
        <v>411</v>
      </c>
    </row>
    <row r="5314" spans="2:5" x14ac:dyDescent="0.3">
      <c r="B5314" t="s">
        <v>8426</v>
      </c>
      <c r="C5314">
        <v>543327</v>
      </c>
      <c r="D5314" t="s">
        <v>8427</v>
      </c>
      <c r="E5314" t="s">
        <v>8428</v>
      </c>
    </row>
    <row r="5315" spans="2:5" x14ac:dyDescent="0.3">
      <c r="B5315" t="s">
        <v>8429</v>
      </c>
      <c r="C5315">
        <v>543328</v>
      </c>
      <c r="D5315" t="s">
        <v>8430</v>
      </c>
      <c r="E5315" t="s">
        <v>8431</v>
      </c>
    </row>
    <row r="5316" spans="2:5" x14ac:dyDescent="0.3">
      <c r="B5316" t="s">
        <v>8432</v>
      </c>
      <c r="C5316">
        <v>543329</v>
      </c>
      <c r="D5316" t="s">
        <v>8433</v>
      </c>
      <c r="E5316" t="s">
        <v>534</v>
      </c>
    </row>
    <row r="5317" spans="2:5" x14ac:dyDescent="0.3">
      <c r="B5317" t="s">
        <v>8434</v>
      </c>
      <c r="C5317">
        <v>543330</v>
      </c>
      <c r="D5317" t="s">
        <v>8435</v>
      </c>
      <c r="E5317" t="s">
        <v>985</v>
      </c>
    </row>
    <row r="5318" spans="2:5" x14ac:dyDescent="0.3">
      <c r="B5318" t="s">
        <v>8436</v>
      </c>
      <c r="C5318">
        <v>543331</v>
      </c>
      <c r="D5318" t="s">
        <v>8437</v>
      </c>
      <c r="E5318" t="s">
        <v>8215</v>
      </c>
    </row>
    <row r="5319" spans="2:5" x14ac:dyDescent="0.3">
      <c r="B5319" t="s">
        <v>8438</v>
      </c>
      <c r="C5319">
        <v>543332</v>
      </c>
      <c r="D5319" t="s">
        <v>8439</v>
      </c>
      <c r="E5319" t="s">
        <v>656</v>
      </c>
    </row>
    <row r="5320" spans="2:5" x14ac:dyDescent="0.3">
      <c r="B5320" t="s">
        <v>8440</v>
      </c>
      <c r="C5320">
        <v>543333</v>
      </c>
      <c r="D5320" t="s">
        <v>8441</v>
      </c>
      <c r="E5320" t="s">
        <v>8412</v>
      </c>
    </row>
    <row r="5321" spans="2:5" x14ac:dyDescent="0.3">
      <c r="B5321" t="s">
        <v>8442</v>
      </c>
      <c r="C5321">
        <v>543334</v>
      </c>
      <c r="D5321" t="s">
        <v>8443</v>
      </c>
      <c r="E5321" t="s">
        <v>509</v>
      </c>
    </row>
    <row r="5322" spans="2:5" x14ac:dyDescent="0.3">
      <c r="B5322" t="s">
        <v>8444</v>
      </c>
      <c r="C5322">
        <v>543335</v>
      </c>
      <c r="D5322" t="s">
        <v>8445</v>
      </c>
      <c r="E5322" t="s">
        <v>8302</v>
      </c>
    </row>
    <row r="5323" spans="2:5" x14ac:dyDescent="0.3">
      <c r="B5323" t="s">
        <v>8446</v>
      </c>
      <c r="C5323">
        <v>543336</v>
      </c>
      <c r="D5323" t="s">
        <v>8447</v>
      </c>
      <c r="E5323" t="s">
        <v>544</v>
      </c>
    </row>
    <row r="5324" spans="2:5" x14ac:dyDescent="0.3">
      <c r="B5324" t="s">
        <v>8448</v>
      </c>
      <c r="C5324">
        <v>543341</v>
      </c>
      <c r="D5324" t="s">
        <v>8449</v>
      </c>
      <c r="E5324" t="s">
        <v>8450</v>
      </c>
    </row>
    <row r="5325" spans="2:5" x14ac:dyDescent="0.3">
      <c r="B5325" t="s">
        <v>8451</v>
      </c>
      <c r="C5325">
        <v>543346</v>
      </c>
      <c r="D5325" t="s">
        <v>8452</v>
      </c>
      <c r="E5325" t="s">
        <v>8394</v>
      </c>
    </row>
    <row r="5326" spans="2:5" x14ac:dyDescent="0.3">
      <c r="B5326" t="s">
        <v>8453</v>
      </c>
      <c r="C5326">
        <v>543347</v>
      </c>
      <c r="D5326" t="s">
        <v>8454</v>
      </c>
      <c r="E5326" t="s">
        <v>411</v>
      </c>
    </row>
    <row r="5327" spans="2:5" x14ac:dyDescent="0.3">
      <c r="B5327" t="s">
        <v>8455</v>
      </c>
      <c r="C5327">
        <v>543348</v>
      </c>
      <c r="D5327" t="s">
        <v>8456</v>
      </c>
      <c r="E5327" t="s">
        <v>411</v>
      </c>
    </row>
    <row r="5328" spans="2:5" x14ac:dyDescent="0.3">
      <c r="B5328" t="s">
        <v>8457</v>
      </c>
      <c r="C5328">
        <v>543349</v>
      </c>
      <c r="D5328" t="s">
        <v>8458</v>
      </c>
      <c r="E5328" t="s">
        <v>534</v>
      </c>
    </row>
    <row r="5329" spans="2:5" x14ac:dyDescent="0.3">
      <c r="B5329" t="s">
        <v>8459</v>
      </c>
      <c r="C5329">
        <v>543350</v>
      </c>
      <c r="D5329" t="s">
        <v>8460</v>
      </c>
      <c r="E5329" t="s">
        <v>8431</v>
      </c>
    </row>
    <row r="5330" spans="2:5" x14ac:dyDescent="0.3">
      <c r="B5330" t="s">
        <v>8461</v>
      </c>
      <c r="C5330">
        <v>543351</v>
      </c>
      <c r="D5330" t="s">
        <v>8462</v>
      </c>
      <c r="E5330" t="s">
        <v>8324</v>
      </c>
    </row>
    <row r="5331" spans="2:5" x14ac:dyDescent="0.3">
      <c r="B5331" t="s">
        <v>8463</v>
      </c>
      <c r="C5331">
        <v>543352</v>
      </c>
      <c r="D5331" t="s">
        <v>8464</v>
      </c>
      <c r="E5331" t="s">
        <v>8465</v>
      </c>
    </row>
    <row r="5332" spans="2:5" x14ac:dyDescent="0.3">
      <c r="B5332" t="s">
        <v>8466</v>
      </c>
      <c r="C5332">
        <v>543357</v>
      </c>
      <c r="D5332" t="s">
        <v>8467</v>
      </c>
      <c r="E5332" t="s">
        <v>411</v>
      </c>
    </row>
    <row r="5333" spans="2:5" x14ac:dyDescent="0.3">
      <c r="B5333" t="s">
        <v>8468</v>
      </c>
      <c r="C5333">
        <v>543358</v>
      </c>
      <c r="D5333" t="s">
        <v>8469</v>
      </c>
      <c r="E5333" t="s">
        <v>8212</v>
      </c>
    </row>
    <row r="5334" spans="2:5" x14ac:dyDescent="0.3">
      <c r="B5334" t="s">
        <v>8470</v>
      </c>
      <c r="C5334">
        <v>543363</v>
      </c>
      <c r="D5334" t="s">
        <v>8471</v>
      </c>
      <c r="E5334" t="s">
        <v>8315</v>
      </c>
    </row>
    <row r="5335" spans="2:5" x14ac:dyDescent="0.3">
      <c r="B5335" t="s">
        <v>8472</v>
      </c>
      <c r="C5335">
        <v>543364</v>
      </c>
      <c r="D5335" t="s">
        <v>8473</v>
      </c>
      <c r="E5335" t="s">
        <v>8405</v>
      </c>
    </row>
    <row r="5336" spans="2:5" x14ac:dyDescent="0.3">
      <c r="B5336" t="s">
        <v>8474</v>
      </c>
      <c r="C5336">
        <v>543365</v>
      </c>
      <c r="D5336" t="s">
        <v>8475</v>
      </c>
      <c r="E5336" t="s">
        <v>411</v>
      </c>
    </row>
    <row r="5337" spans="2:5" x14ac:dyDescent="0.3">
      <c r="B5337" t="s">
        <v>8476</v>
      </c>
      <c r="C5337">
        <v>543366</v>
      </c>
      <c r="D5337" t="s">
        <v>8477</v>
      </c>
      <c r="E5337" t="s">
        <v>8279</v>
      </c>
    </row>
    <row r="5338" spans="2:5" x14ac:dyDescent="0.3">
      <c r="B5338" t="s">
        <v>8478</v>
      </c>
      <c r="C5338">
        <v>543367</v>
      </c>
      <c r="D5338" t="s">
        <v>8479</v>
      </c>
      <c r="E5338" t="s">
        <v>8327</v>
      </c>
    </row>
    <row r="5339" spans="2:5" x14ac:dyDescent="0.3">
      <c r="B5339" t="s">
        <v>8480</v>
      </c>
      <c r="C5339">
        <v>543372</v>
      </c>
      <c r="D5339" t="s">
        <v>8481</v>
      </c>
      <c r="E5339" t="s">
        <v>8482</v>
      </c>
    </row>
    <row r="5340" spans="2:5" x14ac:dyDescent="0.3">
      <c r="B5340" t="s">
        <v>8483</v>
      </c>
      <c r="C5340">
        <v>543373</v>
      </c>
      <c r="D5340" t="s">
        <v>8484</v>
      </c>
      <c r="E5340" t="s">
        <v>8236</v>
      </c>
    </row>
    <row r="5341" spans="2:5" x14ac:dyDescent="0.3">
      <c r="B5341" t="s">
        <v>8485</v>
      </c>
      <c r="C5341">
        <v>543374</v>
      </c>
      <c r="D5341" t="s">
        <v>8486</v>
      </c>
      <c r="E5341" t="s">
        <v>8487</v>
      </c>
    </row>
    <row r="5342" spans="2:5" x14ac:dyDescent="0.3">
      <c r="B5342" t="s">
        <v>8488</v>
      </c>
      <c r="C5342">
        <v>543375</v>
      </c>
      <c r="D5342" t="s">
        <v>8489</v>
      </c>
      <c r="E5342" t="s">
        <v>8490</v>
      </c>
    </row>
    <row r="5343" spans="2:5" x14ac:dyDescent="0.3">
      <c r="B5343" t="s">
        <v>8491</v>
      </c>
      <c r="C5343">
        <v>543376</v>
      </c>
      <c r="D5343" t="s">
        <v>8492</v>
      </c>
      <c r="E5343" t="s">
        <v>8279</v>
      </c>
    </row>
    <row r="5344" spans="2:5" x14ac:dyDescent="0.3">
      <c r="B5344" t="s">
        <v>8493</v>
      </c>
      <c r="C5344">
        <v>543377</v>
      </c>
      <c r="D5344" t="s">
        <v>8494</v>
      </c>
      <c r="E5344" t="s">
        <v>819</v>
      </c>
    </row>
    <row r="5345" spans="2:5" x14ac:dyDescent="0.3">
      <c r="B5345" t="s">
        <v>8495</v>
      </c>
      <c r="C5345">
        <v>543378</v>
      </c>
      <c r="D5345" t="s">
        <v>8496</v>
      </c>
      <c r="E5345" t="s">
        <v>865</v>
      </c>
    </row>
    <row r="5346" spans="2:5" x14ac:dyDescent="0.3">
      <c r="B5346" t="s">
        <v>8497</v>
      </c>
      <c r="C5346">
        <v>543383</v>
      </c>
      <c r="D5346" t="s">
        <v>8498</v>
      </c>
      <c r="E5346" t="s">
        <v>411</v>
      </c>
    </row>
    <row r="5347" spans="2:5" x14ac:dyDescent="0.3">
      <c r="B5347" t="s">
        <v>8499</v>
      </c>
      <c r="C5347">
        <v>543384</v>
      </c>
      <c r="D5347" t="s">
        <v>8500</v>
      </c>
      <c r="E5347" t="s">
        <v>8412</v>
      </c>
    </row>
    <row r="5348" spans="2:5" x14ac:dyDescent="0.3">
      <c r="B5348" t="s">
        <v>8501</v>
      </c>
      <c r="C5348">
        <v>543385</v>
      </c>
      <c r="D5348" t="s">
        <v>8502</v>
      </c>
      <c r="E5348" t="s">
        <v>8405</v>
      </c>
    </row>
    <row r="5349" spans="2:5" x14ac:dyDescent="0.3">
      <c r="B5349" t="s">
        <v>8503</v>
      </c>
      <c r="C5349">
        <v>543386</v>
      </c>
      <c r="D5349" t="s">
        <v>8504</v>
      </c>
      <c r="E5349" t="s">
        <v>8347</v>
      </c>
    </row>
    <row r="5350" spans="2:5" x14ac:dyDescent="0.3">
      <c r="B5350" t="s">
        <v>8505</v>
      </c>
      <c r="C5350">
        <v>543387</v>
      </c>
      <c r="D5350" t="s">
        <v>8506</v>
      </c>
      <c r="E5350" t="s">
        <v>8212</v>
      </c>
    </row>
    <row r="5351" spans="2:5" x14ac:dyDescent="0.3">
      <c r="B5351" t="s">
        <v>8507</v>
      </c>
      <c r="C5351">
        <v>543388</v>
      </c>
      <c r="D5351" t="s">
        <v>8508</v>
      </c>
      <c r="E5351" t="s">
        <v>411</v>
      </c>
    </row>
    <row r="5352" spans="2:5" x14ac:dyDescent="0.3">
      <c r="B5352" t="s">
        <v>8509</v>
      </c>
      <c r="C5352">
        <v>543389</v>
      </c>
      <c r="D5352" t="s">
        <v>8510</v>
      </c>
      <c r="E5352" t="s">
        <v>534</v>
      </c>
    </row>
    <row r="5353" spans="2:5" x14ac:dyDescent="0.3">
      <c r="B5353" t="s">
        <v>8511</v>
      </c>
      <c r="C5353">
        <v>543390</v>
      </c>
      <c r="D5353" t="s">
        <v>8512</v>
      </c>
      <c r="E5353" t="s">
        <v>8353</v>
      </c>
    </row>
    <row r="5354" spans="2:5" x14ac:dyDescent="0.3">
      <c r="B5354" t="s">
        <v>8513</v>
      </c>
      <c r="C5354">
        <v>543391</v>
      </c>
      <c r="D5354" t="s">
        <v>8514</v>
      </c>
      <c r="E5354" t="s">
        <v>8405</v>
      </c>
    </row>
    <row r="5355" spans="2:5" x14ac:dyDescent="0.3">
      <c r="B5355" t="s">
        <v>8515</v>
      </c>
      <c r="C5355">
        <v>543396</v>
      </c>
      <c r="D5355" t="s">
        <v>8516</v>
      </c>
      <c r="E5355" t="s">
        <v>8353</v>
      </c>
    </row>
    <row r="5356" spans="2:5" x14ac:dyDescent="0.3">
      <c r="B5356" t="s">
        <v>8517</v>
      </c>
      <c r="C5356">
        <v>543397</v>
      </c>
      <c r="D5356" t="s">
        <v>8518</v>
      </c>
      <c r="E5356" t="s">
        <v>985</v>
      </c>
    </row>
    <row r="5357" spans="2:5" x14ac:dyDescent="0.3">
      <c r="B5357" t="s">
        <v>8519</v>
      </c>
      <c r="C5357">
        <v>543398</v>
      </c>
      <c r="D5357" t="s">
        <v>8520</v>
      </c>
      <c r="E5357" t="s">
        <v>8324</v>
      </c>
    </row>
    <row r="5358" spans="2:5" x14ac:dyDescent="0.3">
      <c r="B5358" t="s">
        <v>8521</v>
      </c>
      <c r="C5358">
        <v>543399</v>
      </c>
      <c r="D5358" t="s">
        <v>8522</v>
      </c>
      <c r="E5358" t="s">
        <v>8315</v>
      </c>
    </row>
    <row r="5359" spans="2:5" x14ac:dyDescent="0.3">
      <c r="B5359" t="s">
        <v>8523</v>
      </c>
      <c r="C5359">
        <v>543400</v>
      </c>
      <c r="D5359" t="s">
        <v>8524</v>
      </c>
      <c r="E5359" t="s">
        <v>8525</v>
      </c>
    </row>
    <row r="5360" spans="2:5" x14ac:dyDescent="0.3">
      <c r="B5360" t="s">
        <v>8526</v>
      </c>
      <c r="C5360">
        <v>543401</v>
      </c>
      <c r="D5360" t="s">
        <v>8527</v>
      </c>
      <c r="E5360" t="s">
        <v>8528</v>
      </c>
    </row>
    <row r="5361" spans="2:5" x14ac:dyDescent="0.3">
      <c r="B5361" t="s">
        <v>8529</v>
      </c>
      <c r="C5361">
        <v>543410</v>
      </c>
      <c r="D5361" t="s">
        <v>8530</v>
      </c>
      <c r="E5361" t="s">
        <v>580</v>
      </c>
    </row>
    <row r="5362" spans="2:5" x14ac:dyDescent="0.3">
      <c r="B5362" t="s">
        <v>8531</v>
      </c>
      <c r="C5362">
        <v>543411</v>
      </c>
      <c r="D5362" t="s">
        <v>3026</v>
      </c>
      <c r="E5362" t="s">
        <v>819</v>
      </c>
    </row>
    <row r="5363" spans="2:5" x14ac:dyDescent="0.3">
      <c r="B5363" t="s">
        <v>8532</v>
      </c>
      <c r="C5363">
        <v>543412</v>
      </c>
      <c r="D5363" t="s">
        <v>8533</v>
      </c>
      <c r="E5363" t="s">
        <v>2579</v>
      </c>
    </row>
    <row r="5364" spans="2:5" x14ac:dyDescent="0.3">
      <c r="B5364" t="s">
        <v>8534</v>
      </c>
      <c r="C5364">
        <v>543413</v>
      </c>
      <c r="D5364" t="s">
        <v>8535</v>
      </c>
      <c r="E5364" t="s">
        <v>8536</v>
      </c>
    </row>
    <row r="5365" spans="2:5" x14ac:dyDescent="0.3">
      <c r="B5365" t="s">
        <v>8537</v>
      </c>
      <c r="C5365">
        <v>543414</v>
      </c>
      <c r="D5365" t="s">
        <v>8538</v>
      </c>
      <c r="E5365" t="s">
        <v>411</v>
      </c>
    </row>
    <row r="5366" spans="2:5" x14ac:dyDescent="0.3">
      <c r="B5366" t="s">
        <v>8539</v>
      </c>
      <c r="C5366">
        <v>543415</v>
      </c>
      <c r="D5366" t="s">
        <v>8540</v>
      </c>
      <c r="E5366" t="s">
        <v>8541</v>
      </c>
    </row>
    <row r="5367" spans="2:5" x14ac:dyDescent="0.3">
      <c r="B5367" t="s">
        <v>8542</v>
      </c>
      <c r="C5367">
        <v>543416</v>
      </c>
      <c r="D5367" t="s">
        <v>7423</v>
      </c>
      <c r="E5367" t="s">
        <v>8490</v>
      </c>
    </row>
    <row r="5368" spans="2:5" x14ac:dyDescent="0.3">
      <c r="B5368" t="s">
        <v>8543</v>
      </c>
      <c r="C5368">
        <v>543417</v>
      </c>
      <c r="D5368" t="s">
        <v>8544</v>
      </c>
      <c r="E5368" t="s">
        <v>8324</v>
      </c>
    </row>
    <row r="5369" spans="2:5" x14ac:dyDescent="0.3">
      <c r="B5369" t="s">
        <v>8545</v>
      </c>
      <c r="C5369">
        <v>543419</v>
      </c>
      <c r="D5369" t="s">
        <v>8546</v>
      </c>
      <c r="E5369" t="s">
        <v>8279</v>
      </c>
    </row>
    <row r="5370" spans="2:5" x14ac:dyDescent="0.3">
      <c r="B5370" t="s">
        <v>8547</v>
      </c>
      <c r="C5370">
        <v>543420</v>
      </c>
      <c r="D5370" t="s">
        <v>3470</v>
      </c>
      <c r="E5370" t="s">
        <v>8548</v>
      </c>
    </row>
    <row r="5371" spans="2:5" x14ac:dyDescent="0.3">
      <c r="B5371" t="s">
        <v>8549</v>
      </c>
      <c r="C5371">
        <v>543425</v>
      </c>
      <c r="D5371" t="s">
        <v>8550</v>
      </c>
      <c r="E5371" t="s">
        <v>8551</v>
      </c>
    </row>
    <row r="5372" spans="2:5" x14ac:dyDescent="0.3">
      <c r="B5372" t="s">
        <v>8552</v>
      </c>
      <c r="C5372">
        <v>543426</v>
      </c>
      <c r="D5372" t="s">
        <v>8553</v>
      </c>
      <c r="E5372" t="s">
        <v>922</v>
      </c>
    </row>
    <row r="5373" spans="2:5" x14ac:dyDescent="0.3">
      <c r="B5373" t="s">
        <v>8554</v>
      </c>
      <c r="C5373">
        <v>543427</v>
      </c>
      <c r="D5373" t="s">
        <v>8555</v>
      </c>
      <c r="E5373" t="s">
        <v>8556</v>
      </c>
    </row>
    <row r="5374" spans="2:5" x14ac:dyDescent="0.3">
      <c r="B5374" t="s">
        <v>8557</v>
      </c>
      <c r="C5374">
        <v>543428</v>
      </c>
      <c r="D5374" t="s">
        <v>8558</v>
      </c>
      <c r="E5374" t="s">
        <v>8327</v>
      </c>
    </row>
    <row r="5375" spans="2:5" x14ac:dyDescent="0.3">
      <c r="B5375" t="s">
        <v>8559</v>
      </c>
      <c r="C5375">
        <v>543433</v>
      </c>
      <c r="D5375" t="s">
        <v>8560</v>
      </c>
      <c r="E5375" t="s">
        <v>656</v>
      </c>
    </row>
    <row r="5376" spans="2:5" x14ac:dyDescent="0.3">
      <c r="B5376" t="s">
        <v>8561</v>
      </c>
      <c r="C5376">
        <v>543434</v>
      </c>
      <c r="D5376" t="s">
        <v>8562</v>
      </c>
      <c r="E5376" t="s">
        <v>534</v>
      </c>
    </row>
    <row r="5377" spans="2:5" x14ac:dyDescent="0.3">
      <c r="B5377" t="s">
        <v>8563</v>
      </c>
      <c r="C5377">
        <v>543435</v>
      </c>
      <c r="D5377" t="s">
        <v>8564</v>
      </c>
      <c r="E5377" t="s">
        <v>8362</v>
      </c>
    </row>
    <row r="5378" spans="2:5" x14ac:dyDescent="0.3">
      <c r="B5378" t="s">
        <v>8565</v>
      </c>
      <c r="C5378">
        <v>543436</v>
      </c>
      <c r="D5378" t="s">
        <v>8566</v>
      </c>
      <c r="E5378" t="s">
        <v>8324</v>
      </c>
    </row>
    <row r="5379" spans="2:5" x14ac:dyDescent="0.3">
      <c r="B5379" t="s">
        <v>8567</v>
      </c>
      <c r="C5379">
        <v>543437</v>
      </c>
      <c r="D5379" t="s">
        <v>8568</v>
      </c>
      <c r="E5379" t="s">
        <v>411</v>
      </c>
    </row>
    <row r="5380" spans="2:5" x14ac:dyDescent="0.3">
      <c r="B5380" t="s">
        <v>8569</v>
      </c>
      <c r="C5380">
        <v>543438</v>
      </c>
      <c r="D5380" t="s">
        <v>8570</v>
      </c>
      <c r="E5380" t="s">
        <v>411</v>
      </c>
    </row>
    <row r="5381" spans="2:5" x14ac:dyDescent="0.3">
      <c r="B5381" t="s">
        <v>8571</v>
      </c>
      <c r="C5381">
        <v>543439</v>
      </c>
      <c r="D5381" t="s">
        <v>8572</v>
      </c>
      <c r="E5381" t="s">
        <v>8450</v>
      </c>
    </row>
    <row r="5382" spans="2:5" x14ac:dyDescent="0.3">
      <c r="B5382" t="s">
        <v>8573</v>
      </c>
      <c r="C5382">
        <v>543440</v>
      </c>
      <c r="D5382" t="s">
        <v>8574</v>
      </c>
      <c r="E5382" t="s">
        <v>411</v>
      </c>
    </row>
    <row r="5383" spans="2:5" x14ac:dyDescent="0.3">
      <c r="B5383" t="s">
        <v>8575</v>
      </c>
      <c r="C5383">
        <v>543441</v>
      </c>
      <c r="D5383" t="s">
        <v>8576</v>
      </c>
      <c r="E5383" t="s">
        <v>7450</v>
      </c>
    </row>
    <row r="5384" spans="2:5" x14ac:dyDescent="0.3">
      <c r="B5384" t="s">
        <v>8577</v>
      </c>
      <c r="C5384">
        <v>543442</v>
      </c>
      <c r="D5384" t="s">
        <v>1553</v>
      </c>
      <c r="E5384" t="s">
        <v>8528</v>
      </c>
    </row>
    <row r="5385" spans="2:5" x14ac:dyDescent="0.3">
      <c r="B5385" t="s">
        <v>8578</v>
      </c>
      <c r="C5385">
        <v>543443</v>
      </c>
      <c r="D5385" t="s">
        <v>8579</v>
      </c>
      <c r="E5385" t="s">
        <v>601</v>
      </c>
    </row>
    <row r="5386" spans="2:5" x14ac:dyDescent="0.3">
      <c r="B5386" t="s">
        <v>8580</v>
      </c>
      <c r="C5386">
        <v>543444</v>
      </c>
      <c r="D5386" t="s">
        <v>8581</v>
      </c>
      <c r="E5386" t="s">
        <v>534</v>
      </c>
    </row>
    <row r="5387" spans="2:5" x14ac:dyDescent="0.3">
      <c r="B5387" t="s">
        <v>8582</v>
      </c>
      <c r="C5387">
        <v>543449</v>
      </c>
      <c r="D5387" t="s">
        <v>8583</v>
      </c>
      <c r="E5387" t="s">
        <v>1261</v>
      </c>
    </row>
    <row r="5388" spans="2:5" x14ac:dyDescent="0.3">
      <c r="B5388" t="s">
        <v>8584</v>
      </c>
      <c r="C5388">
        <v>543450</v>
      </c>
      <c r="D5388" t="s">
        <v>8585</v>
      </c>
      <c r="E5388" t="s">
        <v>411</v>
      </c>
    </row>
    <row r="5389" spans="2:5" x14ac:dyDescent="0.3">
      <c r="B5389" t="s">
        <v>8586</v>
      </c>
      <c r="C5389">
        <v>543451</v>
      </c>
      <c r="D5389" t="s">
        <v>8587</v>
      </c>
      <c r="E5389" t="s">
        <v>7450</v>
      </c>
    </row>
    <row r="5390" spans="2:5" x14ac:dyDescent="0.3">
      <c r="B5390" t="s">
        <v>8588</v>
      </c>
      <c r="C5390">
        <v>543452</v>
      </c>
      <c r="D5390" t="s">
        <v>8589</v>
      </c>
      <c r="E5390" t="s">
        <v>411</v>
      </c>
    </row>
    <row r="5391" spans="2:5" x14ac:dyDescent="0.3">
      <c r="B5391" t="s">
        <v>8590</v>
      </c>
      <c r="C5391">
        <v>543453</v>
      </c>
      <c r="D5391" t="s">
        <v>8591</v>
      </c>
      <c r="E5391" t="s">
        <v>8592</v>
      </c>
    </row>
    <row r="5392" spans="2:5" x14ac:dyDescent="0.3">
      <c r="B5392" t="s">
        <v>8593</v>
      </c>
      <c r="C5392">
        <v>543454</v>
      </c>
      <c r="D5392" t="s">
        <v>8594</v>
      </c>
      <c r="E5392" t="s">
        <v>411</v>
      </c>
    </row>
    <row r="5393" spans="2:5" x14ac:dyDescent="0.3">
      <c r="B5393" t="s">
        <v>8595</v>
      </c>
      <c r="C5393">
        <v>543458</v>
      </c>
      <c r="D5393" t="s">
        <v>8596</v>
      </c>
      <c r="E5393" t="s">
        <v>8236</v>
      </c>
    </row>
    <row r="5394" spans="2:5" x14ac:dyDescent="0.3">
      <c r="B5394" t="s">
        <v>8597</v>
      </c>
      <c r="C5394">
        <v>543460</v>
      </c>
      <c r="D5394" t="s">
        <v>8598</v>
      </c>
      <c r="E5394" t="s">
        <v>504</v>
      </c>
    </row>
    <row r="5395" spans="2:5" x14ac:dyDescent="0.3">
      <c r="B5395" t="s">
        <v>8599</v>
      </c>
      <c r="C5395">
        <v>543461</v>
      </c>
      <c r="D5395" t="s">
        <v>8600</v>
      </c>
      <c r="E5395" t="s">
        <v>8229</v>
      </c>
    </row>
    <row r="5396" spans="2:5" x14ac:dyDescent="0.3">
      <c r="B5396" t="s">
        <v>8601</v>
      </c>
      <c r="C5396">
        <v>543462</v>
      </c>
      <c r="D5396" t="s">
        <v>2028</v>
      </c>
      <c r="E5396" t="s">
        <v>8602</v>
      </c>
    </row>
    <row r="5397" spans="2:5" x14ac:dyDescent="0.3">
      <c r="B5397" t="s">
        <v>8603</v>
      </c>
      <c r="C5397">
        <v>543463</v>
      </c>
      <c r="D5397" t="s">
        <v>8604</v>
      </c>
      <c r="E5397" t="s">
        <v>8528</v>
      </c>
    </row>
    <row r="5398" spans="2:5" x14ac:dyDescent="0.3">
      <c r="B5398" t="s">
        <v>8605</v>
      </c>
      <c r="C5398">
        <v>543464</v>
      </c>
      <c r="D5398" t="s">
        <v>8606</v>
      </c>
      <c r="E5398" t="s">
        <v>1542</v>
      </c>
    </row>
    <row r="5399" spans="2:5" x14ac:dyDescent="0.3">
      <c r="B5399" t="s">
        <v>8607</v>
      </c>
      <c r="C5399">
        <v>543465</v>
      </c>
      <c r="D5399" t="s">
        <v>8608</v>
      </c>
      <c r="E5399" t="s">
        <v>411</v>
      </c>
    </row>
    <row r="5400" spans="2:5" x14ac:dyDescent="0.3">
      <c r="B5400" t="s">
        <v>8609</v>
      </c>
      <c r="C5400">
        <v>543470</v>
      </c>
      <c r="D5400" t="s">
        <v>6152</v>
      </c>
      <c r="E5400" t="s">
        <v>8324</v>
      </c>
    </row>
    <row r="5401" spans="2:5" x14ac:dyDescent="0.3">
      <c r="B5401" t="s">
        <v>8610</v>
      </c>
      <c r="C5401">
        <v>543471</v>
      </c>
      <c r="D5401" t="s">
        <v>8611</v>
      </c>
      <c r="E5401" t="s">
        <v>411</v>
      </c>
    </row>
    <row r="5402" spans="2:5" x14ac:dyDescent="0.3">
      <c r="B5402" t="s">
        <v>8612</v>
      </c>
      <c r="C5402">
        <v>543472</v>
      </c>
      <c r="D5402" t="s">
        <v>8613</v>
      </c>
      <c r="E5402" t="s">
        <v>411</v>
      </c>
    </row>
    <row r="5403" spans="2:5" x14ac:dyDescent="0.3">
      <c r="B5403" t="s">
        <v>8614</v>
      </c>
      <c r="C5403">
        <v>543473</v>
      </c>
      <c r="D5403" t="s">
        <v>8615</v>
      </c>
      <c r="E5403" t="s">
        <v>411</v>
      </c>
    </row>
    <row r="5404" spans="2:5" x14ac:dyDescent="0.3">
      <c r="B5404" t="s">
        <v>8616</v>
      </c>
      <c r="C5404">
        <v>543474</v>
      </c>
      <c r="D5404" t="s">
        <v>8617</v>
      </c>
      <c r="E5404" t="s">
        <v>411</v>
      </c>
    </row>
    <row r="5405" spans="2:5" x14ac:dyDescent="0.3">
      <c r="B5405" t="s">
        <v>8618</v>
      </c>
      <c r="C5405">
        <v>543475</v>
      </c>
      <c r="D5405" t="s">
        <v>8619</v>
      </c>
      <c r="E5405" t="s">
        <v>8602</v>
      </c>
    </row>
    <row r="5406" spans="2:5" x14ac:dyDescent="0.3">
      <c r="B5406" t="s">
        <v>8620</v>
      </c>
      <c r="C5406">
        <v>543481</v>
      </c>
      <c r="D5406" t="s">
        <v>8621</v>
      </c>
      <c r="E5406" t="s">
        <v>411</v>
      </c>
    </row>
    <row r="5407" spans="2:5" x14ac:dyDescent="0.3">
      <c r="B5407" t="s">
        <v>8622</v>
      </c>
      <c r="C5407">
        <v>543482</v>
      </c>
      <c r="D5407" t="s">
        <v>8623</v>
      </c>
      <c r="E5407" t="s">
        <v>1261</v>
      </c>
    </row>
    <row r="5408" spans="2:5" x14ac:dyDescent="0.3">
      <c r="B5408" t="s">
        <v>8624</v>
      </c>
      <c r="C5408">
        <v>543489</v>
      </c>
      <c r="D5408" t="s">
        <v>8625</v>
      </c>
      <c r="E5408" t="s">
        <v>8548</v>
      </c>
    </row>
    <row r="5409" spans="2:5" x14ac:dyDescent="0.3">
      <c r="B5409" t="s">
        <v>8626</v>
      </c>
      <c r="C5409">
        <v>543490</v>
      </c>
      <c r="D5409" t="s">
        <v>8627</v>
      </c>
      <c r="E5409" t="s">
        <v>8490</v>
      </c>
    </row>
    <row r="5410" spans="2:5" x14ac:dyDescent="0.3">
      <c r="B5410" t="s">
        <v>8628</v>
      </c>
      <c r="C5410">
        <v>543497</v>
      </c>
      <c r="D5410" t="s">
        <v>8629</v>
      </c>
      <c r="E5410" t="s">
        <v>656</v>
      </c>
    </row>
    <row r="5411" spans="2:5" x14ac:dyDescent="0.3">
      <c r="B5411" t="s">
        <v>8630</v>
      </c>
      <c r="C5411">
        <v>543498</v>
      </c>
      <c r="D5411" t="s">
        <v>8631</v>
      </c>
      <c r="E5411" t="s">
        <v>8212</v>
      </c>
    </row>
    <row r="5412" spans="2:5" x14ac:dyDescent="0.3">
      <c r="B5412" t="s">
        <v>8632</v>
      </c>
      <c r="C5412">
        <v>543499</v>
      </c>
      <c r="D5412" t="s">
        <v>8633</v>
      </c>
      <c r="E5412" t="s">
        <v>534</v>
      </c>
    </row>
    <row r="5413" spans="2:5" x14ac:dyDescent="0.3">
      <c r="B5413" t="s">
        <v>8634</v>
      </c>
      <c r="C5413">
        <v>543500</v>
      </c>
      <c r="D5413" t="s">
        <v>8635</v>
      </c>
      <c r="E5413" t="s">
        <v>8229</v>
      </c>
    </row>
    <row r="5414" spans="2:5" x14ac:dyDescent="0.3">
      <c r="B5414" t="s">
        <v>8636</v>
      </c>
      <c r="C5414">
        <v>543501</v>
      </c>
      <c r="D5414" t="s">
        <v>8637</v>
      </c>
      <c r="E5414" t="s">
        <v>411</v>
      </c>
    </row>
    <row r="5415" spans="2:5" x14ac:dyDescent="0.3">
      <c r="B5415" t="s">
        <v>8638</v>
      </c>
      <c r="C5415">
        <v>543512</v>
      </c>
      <c r="D5415" t="s">
        <v>8639</v>
      </c>
      <c r="E5415" t="s">
        <v>8640</v>
      </c>
    </row>
    <row r="5416" spans="2:5" x14ac:dyDescent="0.3">
      <c r="B5416" t="s">
        <v>8641</v>
      </c>
      <c r="C5416">
        <v>543513</v>
      </c>
      <c r="D5416" t="s">
        <v>8642</v>
      </c>
      <c r="E5416" t="s">
        <v>8229</v>
      </c>
    </row>
    <row r="5417" spans="2:5" x14ac:dyDescent="0.3">
      <c r="B5417" t="s">
        <v>8643</v>
      </c>
      <c r="C5417">
        <v>543514</v>
      </c>
      <c r="D5417" t="s">
        <v>8644</v>
      </c>
      <c r="E5417" t="s">
        <v>8261</v>
      </c>
    </row>
    <row r="5418" spans="2:5" x14ac:dyDescent="0.3">
      <c r="B5418" t="s">
        <v>8645</v>
      </c>
      <c r="C5418">
        <v>543515</v>
      </c>
      <c r="D5418" t="s">
        <v>8646</v>
      </c>
      <c r="E5418" t="s">
        <v>8229</v>
      </c>
    </row>
    <row r="5419" spans="2:5" x14ac:dyDescent="0.3">
      <c r="B5419" t="s">
        <v>8647</v>
      </c>
      <c r="C5419">
        <v>543516</v>
      </c>
      <c r="D5419" t="s">
        <v>8648</v>
      </c>
      <c r="E5419" t="s">
        <v>8229</v>
      </c>
    </row>
    <row r="5420" spans="2:5" x14ac:dyDescent="0.3">
      <c r="B5420" t="s">
        <v>8649</v>
      </c>
      <c r="C5420">
        <v>543517</v>
      </c>
      <c r="D5420" t="s">
        <v>8650</v>
      </c>
      <c r="E5420" t="s">
        <v>819</v>
      </c>
    </row>
    <row r="5421" spans="2:5" x14ac:dyDescent="0.3">
      <c r="B5421" t="s">
        <v>8651</v>
      </c>
      <c r="C5421">
        <v>543518</v>
      </c>
      <c r="D5421" t="s">
        <v>8652</v>
      </c>
      <c r="E5421" t="s">
        <v>8246</v>
      </c>
    </row>
    <row r="5422" spans="2:5" x14ac:dyDescent="0.3">
      <c r="B5422" t="s">
        <v>8653</v>
      </c>
      <c r="C5422">
        <v>543519</v>
      </c>
      <c r="D5422" t="s">
        <v>8654</v>
      </c>
      <c r="E5422" t="s">
        <v>8428</v>
      </c>
    </row>
    <row r="5423" spans="2:5" x14ac:dyDescent="0.3">
      <c r="B5423" t="s">
        <v>8655</v>
      </c>
      <c r="C5423">
        <v>543520</v>
      </c>
      <c r="D5423" t="s">
        <v>8656</v>
      </c>
      <c r="E5423" t="s">
        <v>8394</v>
      </c>
    </row>
    <row r="5424" spans="2:5" x14ac:dyDescent="0.3">
      <c r="B5424" t="s">
        <v>8657</v>
      </c>
      <c r="C5424">
        <v>543521</v>
      </c>
      <c r="D5424" t="s">
        <v>8658</v>
      </c>
      <c r="E5424" t="s">
        <v>8412</v>
      </c>
    </row>
    <row r="5425" spans="2:5" x14ac:dyDescent="0.3">
      <c r="B5425" t="s">
        <v>8659</v>
      </c>
      <c r="C5425">
        <v>543522</v>
      </c>
      <c r="D5425" t="s">
        <v>8660</v>
      </c>
      <c r="E5425" t="s">
        <v>8661</v>
      </c>
    </row>
    <row r="5426" spans="2:5" x14ac:dyDescent="0.3">
      <c r="B5426" t="s">
        <v>8662</v>
      </c>
      <c r="C5426">
        <v>543523</v>
      </c>
      <c r="D5426" t="s">
        <v>8663</v>
      </c>
      <c r="E5426" t="s">
        <v>922</v>
      </c>
    </row>
    <row r="5427" spans="2:5" x14ac:dyDescent="0.3">
      <c r="B5427" t="s">
        <v>8664</v>
      </c>
      <c r="C5427">
        <v>543524</v>
      </c>
      <c r="D5427" t="s">
        <v>8665</v>
      </c>
      <c r="E5427" t="s">
        <v>8394</v>
      </c>
    </row>
    <row r="5428" spans="2:5" x14ac:dyDescent="0.3">
      <c r="B5428" t="s">
        <v>8666</v>
      </c>
      <c r="C5428">
        <v>543525</v>
      </c>
      <c r="D5428" t="s">
        <v>6065</v>
      </c>
      <c r="E5428" t="s">
        <v>8602</v>
      </c>
    </row>
    <row r="5429" spans="2:5" x14ac:dyDescent="0.3">
      <c r="B5429" t="s">
        <v>8667</v>
      </c>
      <c r="C5429">
        <v>543526</v>
      </c>
      <c r="D5429" t="s">
        <v>8668</v>
      </c>
      <c r="E5429" t="s">
        <v>2909</v>
      </c>
    </row>
    <row r="5430" spans="2:5" x14ac:dyDescent="0.3">
      <c r="B5430" t="s">
        <v>8669</v>
      </c>
      <c r="C5430">
        <v>543527</v>
      </c>
      <c r="D5430" t="s">
        <v>8670</v>
      </c>
      <c r="E5430" t="s">
        <v>8541</v>
      </c>
    </row>
    <row r="5431" spans="2:5" x14ac:dyDescent="0.3">
      <c r="B5431" t="s">
        <v>8671</v>
      </c>
      <c r="C5431">
        <v>543528</v>
      </c>
      <c r="D5431" t="s">
        <v>8672</v>
      </c>
      <c r="E5431" t="s">
        <v>819</v>
      </c>
    </row>
    <row r="5432" spans="2:5" x14ac:dyDescent="0.3">
      <c r="B5432" t="s">
        <v>8673</v>
      </c>
      <c r="C5432">
        <v>543529</v>
      </c>
      <c r="D5432" t="s">
        <v>8674</v>
      </c>
      <c r="E5432" t="s">
        <v>8548</v>
      </c>
    </row>
    <row r="5433" spans="2:5" x14ac:dyDescent="0.3">
      <c r="B5433" t="s">
        <v>8675</v>
      </c>
      <c r="C5433">
        <v>543530</v>
      </c>
      <c r="D5433" t="s">
        <v>8676</v>
      </c>
      <c r="E5433" t="s">
        <v>1004</v>
      </c>
    </row>
    <row r="5434" spans="2:5" x14ac:dyDescent="0.3">
      <c r="B5434" t="s">
        <v>8677</v>
      </c>
      <c r="C5434">
        <v>543531</v>
      </c>
      <c r="D5434" t="s">
        <v>8678</v>
      </c>
      <c r="E5434" t="s">
        <v>694</v>
      </c>
    </row>
    <row r="5435" spans="2:5" x14ac:dyDescent="0.3">
      <c r="B5435" t="s">
        <v>8679</v>
      </c>
      <c r="C5435">
        <v>543532</v>
      </c>
      <c r="D5435" t="s">
        <v>8680</v>
      </c>
      <c r="E5435" t="s">
        <v>8246</v>
      </c>
    </row>
    <row r="5436" spans="2:5" x14ac:dyDescent="0.3">
      <c r="B5436" t="s">
        <v>8681</v>
      </c>
      <c r="C5436">
        <v>543533</v>
      </c>
      <c r="D5436" t="s">
        <v>8682</v>
      </c>
      <c r="E5436" t="s">
        <v>8602</v>
      </c>
    </row>
    <row r="5437" spans="2:5" x14ac:dyDescent="0.3">
      <c r="B5437" t="s">
        <v>8683</v>
      </c>
      <c r="C5437">
        <v>543534</v>
      </c>
      <c r="D5437" t="s">
        <v>8684</v>
      </c>
      <c r="E5437" t="s">
        <v>656</v>
      </c>
    </row>
    <row r="5438" spans="2:5" x14ac:dyDescent="0.3">
      <c r="B5438" t="s">
        <v>8685</v>
      </c>
      <c r="C5438">
        <v>543535</v>
      </c>
      <c r="D5438" t="s">
        <v>8686</v>
      </c>
      <c r="E5438" t="s">
        <v>8465</v>
      </c>
    </row>
    <row r="5439" spans="2:5" x14ac:dyDescent="0.3">
      <c r="B5439" t="s">
        <v>8687</v>
      </c>
      <c r="C5439">
        <v>543536</v>
      </c>
      <c r="D5439" t="s">
        <v>8688</v>
      </c>
      <c r="E5439" t="s">
        <v>8221</v>
      </c>
    </row>
    <row r="5440" spans="2:5" x14ac:dyDescent="0.3">
      <c r="B5440" t="s">
        <v>8689</v>
      </c>
      <c r="C5440">
        <v>590136</v>
      </c>
      <c r="D5440" t="s">
        <v>8690</v>
      </c>
      <c r="E5440" t="s">
        <v>411</v>
      </c>
    </row>
    <row r="5441" spans="2:5" x14ac:dyDescent="0.3">
      <c r="B5441" t="s">
        <v>8691</v>
      </c>
      <c r="C5441">
        <v>590137</v>
      </c>
      <c r="D5441" t="s">
        <v>8692</v>
      </c>
      <c r="E5441" t="s">
        <v>411</v>
      </c>
    </row>
    <row r="5442" spans="2:5" x14ac:dyDescent="0.3">
      <c r="B5442" t="s">
        <v>8693</v>
      </c>
      <c r="C5442">
        <v>590138</v>
      </c>
      <c r="D5442" t="s">
        <v>8694</v>
      </c>
      <c r="E5442" t="s">
        <v>411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BE1FE-E8A6-4FAF-968A-AA7E1FCAC846}">
  <sheetPr>
    <tabColor rgb="FF002060"/>
    <pageSetUpPr fitToPage="1"/>
  </sheetPr>
  <dimension ref="B2:O9"/>
  <sheetViews>
    <sheetView showGridLines="0" workbookViewId="0">
      <selection activeCell="U15" sqref="U15"/>
    </sheetView>
  </sheetViews>
  <sheetFormatPr defaultRowHeight="14.4" x14ac:dyDescent="0.3"/>
  <cols>
    <col min="1" max="1" width="1.88671875" customWidth="1"/>
    <col min="2" max="2" width="13.5546875" customWidth="1"/>
  </cols>
  <sheetData>
    <row r="2" spans="2:15" x14ac:dyDescent="0.3">
      <c r="B2" s="25" t="s">
        <v>466</v>
      </c>
      <c r="C2" s="25"/>
      <c r="D2" s="25"/>
      <c r="E2" s="25"/>
      <c r="F2" s="25"/>
      <c r="G2" s="101"/>
      <c r="H2" s="101"/>
      <c r="I2" s="101"/>
      <c r="J2" s="101"/>
      <c r="K2" s="101"/>
      <c r="L2" s="101"/>
      <c r="M2" s="101"/>
      <c r="N2" s="101"/>
      <c r="O2" s="101"/>
    </row>
    <row r="3" spans="2:15" x14ac:dyDescent="0.3">
      <c r="B3" s="158"/>
      <c r="C3" s="158"/>
      <c r="D3" s="158"/>
      <c r="E3" s="158"/>
      <c r="F3" s="158"/>
    </row>
    <row r="4" spans="2:15" x14ac:dyDescent="0.3">
      <c r="C4" s="104" t="s">
        <v>464</v>
      </c>
      <c r="D4" s="104" t="s">
        <v>457</v>
      </c>
      <c r="E4" s="104" t="s">
        <v>465</v>
      </c>
      <c r="F4" s="104" t="s">
        <v>454</v>
      </c>
    </row>
    <row r="5" spans="2:15" x14ac:dyDescent="0.3">
      <c r="B5" s="103" t="s">
        <v>462</v>
      </c>
      <c r="C5" s="159">
        <f>D5</f>
        <v>967.52777286678747</v>
      </c>
      <c r="D5" s="159">
        <f>'Comparable Company Valuation'!N28</f>
        <v>967.52777286678747</v>
      </c>
      <c r="E5" s="159">
        <f>F5</f>
        <v>1129.0636674385021</v>
      </c>
      <c r="F5" s="159">
        <f>'Comparable Company Valuation'!P28</f>
        <v>1129.0636674385021</v>
      </c>
    </row>
    <row r="6" spans="2:15" x14ac:dyDescent="0.3">
      <c r="B6" s="103" t="s">
        <v>467</v>
      </c>
      <c r="C6" s="159">
        <f>D6</f>
        <v>899.45670468132369</v>
      </c>
      <c r="D6" s="159">
        <f>DCF!G46</f>
        <v>899.45670468132369</v>
      </c>
      <c r="E6" s="159">
        <f>F6</f>
        <v>1293.4126587564883</v>
      </c>
      <c r="F6" s="159">
        <f>DCF!G50</f>
        <v>1293.4126587564883</v>
      </c>
    </row>
    <row r="7" spans="2:15" x14ac:dyDescent="0.3">
      <c r="B7" s="103" t="s">
        <v>468</v>
      </c>
      <c r="C7" s="159">
        <f>D7</f>
        <v>988.72502247748139</v>
      </c>
      <c r="D7" s="159">
        <f>DCF!E46</f>
        <v>988.72502247748139</v>
      </c>
      <c r="E7" s="159">
        <f>F7</f>
        <v>1724.5584707689009</v>
      </c>
      <c r="F7" s="159">
        <f>DCF!E50</f>
        <v>1724.5584707689009</v>
      </c>
    </row>
    <row r="8" spans="2:15" x14ac:dyDescent="0.3">
      <c r="B8" s="103" t="s">
        <v>469</v>
      </c>
      <c r="C8" s="159">
        <f>D8</f>
        <v>1142.155557823854</v>
      </c>
      <c r="D8" s="159">
        <f>DCF!C46</f>
        <v>1142.155557823854</v>
      </c>
      <c r="E8" s="159">
        <f>F8</f>
        <v>4362.709155801982</v>
      </c>
      <c r="F8" s="159">
        <f>DCF!C50</f>
        <v>4362.709155801982</v>
      </c>
    </row>
    <row r="9" spans="2:15" x14ac:dyDescent="0.3">
      <c r="B9" s="103" t="s">
        <v>463</v>
      </c>
      <c r="C9" s="159">
        <f>D9</f>
        <v>980.4</v>
      </c>
      <c r="D9" s="160">
        <v>980.4</v>
      </c>
      <c r="E9" s="159">
        <f>F9</f>
        <v>1728</v>
      </c>
      <c r="F9" s="160">
        <v>1728</v>
      </c>
    </row>
  </sheetData>
  <pageMargins left="0.25" right="0.25" top="0.75" bottom="0.75" header="0.3" footer="0.3"/>
  <pageSetup scale="9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5785F-8583-4145-841A-C9D6588FC2F1}">
  <sheetPr>
    <tabColor rgb="FF002060"/>
    <pageSetUpPr fitToPage="1"/>
  </sheetPr>
  <dimension ref="B2:P28"/>
  <sheetViews>
    <sheetView showGridLines="0" workbookViewId="0">
      <selection activeCell="T17" sqref="T17"/>
    </sheetView>
  </sheetViews>
  <sheetFormatPr defaultRowHeight="14.4" x14ac:dyDescent="0.3"/>
  <cols>
    <col min="1" max="1" width="1.88671875" customWidth="1"/>
    <col min="2" max="2" width="27.6640625" bestFit="1" customWidth="1"/>
    <col min="3" max="3" width="10.33203125" bestFit="1" customWidth="1"/>
    <col min="4" max="4" width="17.5546875" bestFit="1" customWidth="1"/>
    <col min="5" max="5" width="12" bestFit="1" customWidth="1"/>
    <col min="6" max="6" width="8.44140625" bestFit="1" customWidth="1"/>
    <col min="7" max="7" width="14.77734375" bestFit="1" customWidth="1"/>
    <col min="9" max="9" width="2.77734375" customWidth="1"/>
    <col min="10" max="10" width="8.33203125" bestFit="1" customWidth="1"/>
    <col min="11" max="11" width="7.109375" bestFit="1" customWidth="1"/>
    <col min="12" max="12" width="10.77734375" bestFit="1" customWidth="1"/>
    <col min="13" max="13" width="2.77734375" customWidth="1"/>
    <col min="14" max="14" width="11.5546875" bestFit="1" customWidth="1"/>
    <col min="15" max="15" width="10.33203125" bestFit="1" customWidth="1"/>
    <col min="16" max="16" width="9.44140625" bestFit="1" customWidth="1"/>
  </cols>
  <sheetData>
    <row r="2" spans="2:16" x14ac:dyDescent="0.3">
      <c r="B2" s="133" t="s">
        <v>438</v>
      </c>
      <c r="C2" s="82"/>
      <c r="D2" s="82"/>
      <c r="E2" s="82"/>
      <c r="F2" s="82"/>
      <c r="G2" s="82"/>
      <c r="H2" s="82"/>
      <c r="I2" s="82"/>
      <c r="J2" s="82"/>
      <c r="K2" s="82"/>
      <c r="L2" s="82"/>
      <c r="M2" s="82"/>
      <c r="N2" s="82"/>
      <c r="O2" s="82"/>
      <c r="P2" s="82"/>
    </row>
    <row r="3" spans="2:16" ht="3.6" customHeight="1" x14ac:dyDescent="0.3"/>
    <row r="4" spans="2:16" x14ac:dyDescent="0.3">
      <c r="B4" s="25"/>
      <c r="C4" s="238" t="s">
        <v>439</v>
      </c>
      <c r="D4" s="238"/>
      <c r="E4" s="238"/>
      <c r="F4" s="238"/>
      <c r="G4" s="238"/>
      <c r="H4" s="238"/>
      <c r="I4" s="25"/>
      <c r="J4" s="238" t="s">
        <v>440</v>
      </c>
      <c r="K4" s="238"/>
      <c r="L4" s="238"/>
      <c r="M4" s="25"/>
      <c r="N4" s="238" t="s">
        <v>441</v>
      </c>
      <c r="O4" s="238"/>
      <c r="P4" s="238"/>
    </row>
    <row r="5" spans="2:16" x14ac:dyDescent="0.3">
      <c r="B5" s="25" t="s">
        <v>442</v>
      </c>
      <c r="C5" s="25" t="s">
        <v>443</v>
      </c>
      <c r="D5" s="25" t="s">
        <v>435</v>
      </c>
      <c r="E5" s="25" t="s">
        <v>424</v>
      </c>
      <c r="F5" s="25" t="s">
        <v>444</v>
      </c>
      <c r="G5" s="25" t="s">
        <v>430</v>
      </c>
      <c r="H5" s="25"/>
      <c r="I5" s="25"/>
      <c r="J5" s="25" t="s">
        <v>142</v>
      </c>
      <c r="K5" s="25" t="s">
        <v>7</v>
      </c>
      <c r="L5" s="25" t="s">
        <v>445</v>
      </c>
      <c r="M5" s="25"/>
      <c r="N5" s="25" t="s">
        <v>446</v>
      </c>
      <c r="O5" s="25" t="s">
        <v>447</v>
      </c>
      <c r="P5" s="25" t="s">
        <v>448</v>
      </c>
    </row>
    <row r="6" spans="2:16" ht="3.6" customHeight="1" x14ac:dyDescent="0.3"/>
    <row r="7" spans="2:16" x14ac:dyDescent="0.3">
      <c r="B7" s="134" t="s">
        <v>401</v>
      </c>
      <c r="C7" s="143">
        <v>1023.4</v>
      </c>
      <c r="D7" s="136">
        <f>'Income Statement '!H38</f>
        <v>405.56</v>
      </c>
      <c r="E7" s="137">
        <f>C7*D7</f>
        <v>415050.10399999999</v>
      </c>
      <c r="F7" s="135">
        <f>'Balance Sheet'!G7</f>
        <v>9176</v>
      </c>
      <c r="G7" s="146">
        <v>402416.02</v>
      </c>
      <c r="H7" s="135"/>
      <c r="I7" s="138"/>
      <c r="J7" s="138">
        <f>'Income Statement '!F5</f>
        <v>162990</v>
      </c>
      <c r="K7" s="138">
        <f>'Income Statement '!G17</f>
        <v>42280</v>
      </c>
      <c r="L7" s="138">
        <f>'Income Statement '!G35</f>
        <v>26441</v>
      </c>
      <c r="M7" s="138"/>
      <c r="N7" s="139">
        <f>G7/J7</f>
        <v>2.4689614086753791</v>
      </c>
      <c r="O7" s="139">
        <f>G7/K7</f>
        <v>9.5178812677388844</v>
      </c>
      <c r="P7" s="139">
        <f>E7/L7</f>
        <v>15.697216595438901</v>
      </c>
    </row>
    <row r="8" spans="2:16" x14ac:dyDescent="0.3">
      <c r="B8" s="140" t="s">
        <v>449</v>
      </c>
      <c r="C8" s="144">
        <v>2156</v>
      </c>
      <c r="D8" s="145">
        <v>363.81</v>
      </c>
      <c r="E8" s="144">
        <f t="shared" ref="E8:E12" si="0">C8*D8</f>
        <v>784374.36</v>
      </c>
      <c r="F8" s="144">
        <v>11808</v>
      </c>
      <c r="G8" s="144">
        <v>777809.67</v>
      </c>
      <c r="H8" s="141"/>
      <c r="I8" s="141"/>
      <c r="J8" s="147">
        <v>283248</v>
      </c>
      <c r="K8" s="147">
        <v>18815</v>
      </c>
      <c r="L8" s="147">
        <v>51858</v>
      </c>
      <c r="M8" s="142"/>
      <c r="N8" s="148">
        <f t="shared" ref="N8:N12" si="1">G8/J8</f>
        <v>2.7460376419250978</v>
      </c>
      <c r="O8" s="148">
        <f t="shared" ref="O8:O12" si="2">G8/K8</f>
        <v>41.33987084772788</v>
      </c>
      <c r="P8" s="148">
        <f t="shared" ref="P8:P12" si="3">E8/L8</f>
        <v>15.125426356589147</v>
      </c>
    </row>
    <row r="9" spans="2:16" x14ac:dyDescent="0.3">
      <c r="B9" s="140" t="s">
        <v>450</v>
      </c>
      <c r="C9" s="144">
        <v>1216.7</v>
      </c>
      <c r="D9" s="145">
        <v>271.37</v>
      </c>
      <c r="E9" s="144">
        <f t="shared" si="0"/>
        <v>330175.87900000002</v>
      </c>
      <c r="F9" s="144">
        <v>5215</v>
      </c>
      <c r="G9" s="144">
        <v>311961.63</v>
      </c>
      <c r="H9" s="141"/>
      <c r="I9" s="141"/>
      <c r="J9" s="147">
        <v>134374</v>
      </c>
      <c r="K9" s="147">
        <v>26752</v>
      </c>
      <c r="L9" s="147">
        <v>17434</v>
      </c>
      <c r="M9" s="142"/>
      <c r="N9" s="148">
        <f t="shared" si="1"/>
        <v>2.3215921978954261</v>
      </c>
      <c r="O9" s="148">
        <f t="shared" si="2"/>
        <v>11.661245140550239</v>
      </c>
      <c r="P9" s="148">
        <f t="shared" si="3"/>
        <v>18.938618733509237</v>
      </c>
    </row>
    <row r="10" spans="2:16" x14ac:dyDescent="0.3">
      <c r="B10" s="140" t="s">
        <v>451</v>
      </c>
      <c r="C10" s="144">
        <v>162.57</v>
      </c>
      <c r="D10" s="145">
        <v>990.53</v>
      </c>
      <c r="E10" s="144">
        <f t="shared" si="0"/>
        <v>161030.46209999998</v>
      </c>
      <c r="F10" s="144">
        <v>20291</v>
      </c>
      <c r="G10" s="144">
        <v>170766.66</v>
      </c>
      <c r="H10" s="141"/>
      <c r="I10" s="141"/>
      <c r="J10" s="147">
        <v>94968</v>
      </c>
      <c r="K10" s="147">
        <v>5612.2</v>
      </c>
      <c r="L10" s="147">
        <v>13285.3</v>
      </c>
      <c r="M10" s="142"/>
      <c r="N10" s="148">
        <f t="shared" si="1"/>
        <v>1.7981494819307557</v>
      </c>
      <c r="O10" s="148">
        <f t="shared" si="2"/>
        <v>30.42775738569545</v>
      </c>
      <c r="P10" s="148">
        <f t="shared" si="3"/>
        <v>12.120950381248447</v>
      </c>
    </row>
    <row r="11" spans="2:16" x14ac:dyDescent="0.3">
      <c r="B11" s="140" t="s">
        <v>452</v>
      </c>
      <c r="C11" s="144">
        <v>1514.1</v>
      </c>
      <c r="D11" s="145">
        <v>88.63</v>
      </c>
      <c r="E11" s="144">
        <f t="shared" si="0"/>
        <v>134194.68299999999</v>
      </c>
      <c r="F11" s="144">
        <v>2186</v>
      </c>
      <c r="G11" s="144">
        <v>145486.69</v>
      </c>
      <c r="H11" s="141"/>
      <c r="I11" s="141"/>
      <c r="J11" s="147">
        <v>59176.1</v>
      </c>
      <c r="K11" s="147">
        <v>2636.1</v>
      </c>
      <c r="L11" s="147">
        <v>5163</v>
      </c>
      <c r="M11" s="142"/>
      <c r="N11" s="148">
        <f>G11/J11</f>
        <v>2.4585379908442766</v>
      </c>
      <c r="O11" s="148">
        <f t="shared" si="2"/>
        <v>55.190125564280571</v>
      </c>
      <c r="P11" s="148">
        <f t="shared" si="3"/>
        <v>25.991610110400927</v>
      </c>
    </row>
    <row r="12" spans="2:16" x14ac:dyDescent="0.3">
      <c r="B12" s="140" t="s">
        <v>453</v>
      </c>
      <c r="C12" s="144">
        <v>4070</v>
      </c>
      <c r="D12" s="145">
        <v>29.65</v>
      </c>
      <c r="E12" s="144">
        <f t="shared" si="0"/>
        <v>120675.5</v>
      </c>
      <c r="F12" s="144">
        <v>2310</v>
      </c>
      <c r="G12" s="144">
        <v>120222.48</v>
      </c>
      <c r="H12" s="141"/>
      <c r="I12" s="141"/>
      <c r="J12" s="147">
        <v>44075</v>
      </c>
      <c r="K12" s="147">
        <v>8649.6</v>
      </c>
      <c r="L12" s="147">
        <v>5196.7</v>
      </c>
      <c r="M12" s="142"/>
      <c r="N12" s="148">
        <f t="shared" si="1"/>
        <v>2.7276796369824163</v>
      </c>
      <c r="O12" s="148">
        <f t="shared" si="2"/>
        <v>13.899195338512763</v>
      </c>
      <c r="P12" s="148">
        <f t="shared" si="3"/>
        <v>23.221563684646025</v>
      </c>
    </row>
    <row r="14" spans="2:16" x14ac:dyDescent="0.3">
      <c r="B14" s="149" t="s">
        <v>454</v>
      </c>
      <c r="C14" s="149"/>
      <c r="D14" s="149"/>
      <c r="E14" s="149"/>
      <c r="F14" s="149"/>
      <c r="G14" s="149"/>
      <c r="H14" s="149"/>
      <c r="I14" s="149"/>
      <c r="J14" s="149"/>
      <c r="K14" s="149"/>
      <c r="L14" s="149"/>
      <c r="M14" s="149"/>
      <c r="N14" s="150">
        <f>MAX(N7:N12)</f>
        <v>2.7460376419250978</v>
      </c>
      <c r="O14" s="150">
        <f t="shared" ref="O14:P14" si="4">MAX(O7:O12)</f>
        <v>55.190125564280571</v>
      </c>
      <c r="P14" s="150">
        <f t="shared" si="4"/>
        <v>25.991610110400927</v>
      </c>
    </row>
    <row r="15" spans="2:16" x14ac:dyDescent="0.3">
      <c r="B15" s="149" t="s">
        <v>455</v>
      </c>
      <c r="C15" s="149"/>
      <c r="D15" s="149"/>
      <c r="E15" s="149"/>
      <c r="F15" s="149"/>
      <c r="G15" s="149"/>
      <c r="H15" s="149"/>
      <c r="I15" s="149"/>
      <c r="J15" s="149"/>
      <c r="K15" s="149"/>
      <c r="L15" s="149"/>
      <c r="M15" s="149"/>
      <c r="N15" s="150">
        <f>_xlfn.QUARTILE.EXC(N7:N12,3)</f>
        <v>2.7322691382180868</v>
      </c>
      <c r="O15" s="150">
        <f t="shared" ref="O15:P15" si="5">_xlfn.QUARTILE.EXC(O7:O12,3)</f>
        <v>44.802434526866051</v>
      </c>
      <c r="P15" s="150">
        <f t="shared" si="5"/>
        <v>23.91407529108475</v>
      </c>
    </row>
    <row r="16" spans="2:16" x14ac:dyDescent="0.3">
      <c r="B16" s="151" t="s">
        <v>425</v>
      </c>
      <c r="C16" s="151"/>
      <c r="D16" s="151"/>
      <c r="E16" s="151"/>
      <c r="F16" s="151"/>
      <c r="G16" s="151"/>
      <c r="H16" s="151"/>
      <c r="I16" s="151"/>
      <c r="J16" s="151"/>
      <c r="K16" s="151"/>
      <c r="L16" s="151"/>
      <c r="M16" s="151"/>
      <c r="N16" s="152">
        <f>AVERAGE(N7:N12)</f>
        <v>2.4201597263755588</v>
      </c>
      <c r="O16" s="152">
        <f t="shared" ref="O16:P16" si="6">AVERAGE(O7:O12)</f>
        <v>27.006012590750966</v>
      </c>
      <c r="P16" s="152">
        <f t="shared" si="6"/>
        <v>18.515897643638784</v>
      </c>
    </row>
    <row r="17" spans="2:16" x14ac:dyDescent="0.3">
      <c r="B17" s="151" t="s">
        <v>242</v>
      </c>
      <c r="C17" s="151"/>
      <c r="D17" s="151"/>
      <c r="E17" s="151"/>
      <c r="F17" s="151"/>
      <c r="G17" s="151"/>
      <c r="H17" s="151"/>
      <c r="I17" s="151"/>
      <c r="J17" s="151"/>
      <c r="K17" s="151"/>
      <c r="L17" s="151"/>
      <c r="M17" s="151"/>
      <c r="N17" s="152">
        <f>MEDIAN(N7:N12)</f>
        <v>2.4637496997598278</v>
      </c>
      <c r="O17" s="152">
        <f t="shared" ref="O17:P17" si="7">MEDIAN(O7:O12)</f>
        <v>22.163476362104106</v>
      </c>
      <c r="P17" s="152">
        <f t="shared" si="7"/>
        <v>17.31791766447407</v>
      </c>
    </row>
    <row r="18" spans="2:16" x14ac:dyDescent="0.3">
      <c r="B18" s="149" t="s">
        <v>456</v>
      </c>
      <c r="C18" s="149"/>
      <c r="D18" s="149"/>
      <c r="E18" s="149"/>
      <c r="F18" s="149"/>
      <c r="G18" s="149"/>
      <c r="H18" s="149"/>
      <c r="I18" s="149"/>
      <c r="J18" s="149"/>
      <c r="K18" s="149"/>
      <c r="L18" s="149"/>
      <c r="M18" s="149"/>
      <c r="N18" s="150">
        <f>_xlfn.QUARTILE.EXC(N7:N12,1)</f>
        <v>2.1907315189042587</v>
      </c>
      <c r="O18" s="150">
        <f t="shared" ref="O18:P18" si="8">_xlfn.QUARTILE.EXC(O7:O12,1)</f>
        <v>11.1254041723474</v>
      </c>
      <c r="P18" s="150">
        <f t="shared" si="8"/>
        <v>14.374307362753971</v>
      </c>
    </row>
    <row r="19" spans="2:16" x14ac:dyDescent="0.3">
      <c r="B19" s="149" t="s">
        <v>457</v>
      </c>
      <c r="C19" s="149"/>
      <c r="D19" s="149"/>
      <c r="E19" s="149"/>
      <c r="F19" s="149"/>
      <c r="G19" s="149"/>
      <c r="H19" s="149"/>
      <c r="I19" s="149"/>
      <c r="J19" s="149"/>
      <c r="K19" s="149"/>
      <c r="L19" s="149"/>
      <c r="M19" s="149"/>
      <c r="N19" s="150">
        <f>MIN(N7:N12)</f>
        <v>1.7981494819307557</v>
      </c>
      <c r="O19" s="150">
        <f t="shared" ref="O19:P19" si="9">MIN(O7:O12)</f>
        <v>9.5178812677388844</v>
      </c>
      <c r="P19" s="150">
        <f t="shared" si="9"/>
        <v>12.120950381248447</v>
      </c>
    </row>
    <row r="21" spans="2:16" x14ac:dyDescent="0.3">
      <c r="B21" s="153" t="s">
        <v>461</v>
      </c>
      <c r="C21" s="120"/>
      <c r="D21" s="120"/>
      <c r="E21" s="120"/>
      <c r="F21" s="120"/>
      <c r="G21" s="120"/>
      <c r="H21" s="120"/>
      <c r="I21" s="120"/>
      <c r="J21" s="120"/>
      <c r="K21" s="120"/>
      <c r="L21" s="120"/>
      <c r="M21" s="120"/>
      <c r="N21" s="154" t="s">
        <v>446</v>
      </c>
      <c r="O21" s="59" t="s">
        <v>447</v>
      </c>
      <c r="P21" s="154" t="s">
        <v>448</v>
      </c>
    </row>
    <row r="23" spans="2:16" x14ac:dyDescent="0.3">
      <c r="B23" s="92" t="s">
        <v>458</v>
      </c>
      <c r="C23" s="92"/>
      <c r="D23" s="92"/>
      <c r="E23" s="92"/>
      <c r="F23" s="92"/>
      <c r="G23" s="92"/>
      <c r="H23" s="92"/>
      <c r="I23" s="92"/>
      <c r="J23" s="92"/>
      <c r="K23" s="92"/>
      <c r="L23" s="92"/>
      <c r="M23" s="92"/>
      <c r="N23" s="157">
        <f>J7*N17</f>
        <v>401566.56356385432</v>
      </c>
      <c r="O23" s="157">
        <f>K7*O17</f>
        <v>937071.78058976156</v>
      </c>
      <c r="P23" s="157">
        <f>P24+P25</f>
        <v>467079.06096635887</v>
      </c>
    </row>
    <row r="24" spans="2:16" x14ac:dyDescent="0.3">
      <c r="B24" s="92" t="s">
        <v>444</v>
      </c>
      <c r="C24" s="92"/>
      <c r="D24" s="92"/>
      <c r="E24" s="92"/>
      <c r="F24" s="92"/>
      <c r="G24" s="92"/>
      <c r="H24" s="92"/>
      <c r="I24" s="92"/>
      <c r="J24" s="92"/>
      <c r="K24" s="92"/>
      <c r="L24" s="92"/>
      <c r="M24" s="92"/>
      <c r="N24" s="157">
        <f>F7</f>
        <v>9176</v>
      </c>
      <c r="O24" s="157">
        <f>N24</f>
        <v>9176</v>
      </c>
      <c r="P24" s="157">
        <f>O24</f>
        <v>9176</v>
      </c>
    </row>
    <row r="25" spans="2:16" x14ac:dyDescent="0.3">
      <c r="B25" s="92" t="s">
        <v>459</v>
      </c>
      <c r="C25" s="92"/>
      <c r="D25" s="92"/>
      <c r="E25" s="92"/>
      <c r="F25" s="92"/>
      <c r="G25" s="92"/>
      <c r="H25" s="92"/>
      <c r="I25" s="92"/>
      <c r="J25" s="92"/>
      <c r="K25" s="92"/>
      <c r="L25" s="92"/>
      <c r="M25" s="92"/>
      <c r="N25" s="157">
        <f>N23-N24</f>
        <v>392390.56356385432</v>
      </c>
      <c r="O25" s="157">
        <f t="shared" ref="O25" si="10">O23-O24</f>
        <v>927895.78058976156</v>
      </c>
      <c r="P25" s="157">
        <f>L7*P17</f>
        <v>457903.06096635887</v>
      </c>
    </row>
    <row r="26" spans="2:16" x14ac:dyDescent="0.3">
      <c r="B26" s="92" t="s">
        <v>435</v>
      </c>
      <c r="C26" s="92"/>
      <c r="D26" s="92"/>
      <c r="E26" s="92"/>
      <c r="F26" s="92"/>
      <c r="G26" s="92"/>
      <c r="H26" s="92"/>
      <c r="I26" s="92"/>
      <c r="J26" s="92"/>
      <c r="K26" s="92"/>
      <c r="L26" s="92"/>
      <c r="M26" s="92"/>
      <c r="N26" s="157">
        <f>D7</f>
        <v>405.56</v>
      </c>
      <c r="O26" s="157">
        <f>N26</f>
        <v>405.56</v>
      </c>
      <c r="P26" s="157">
        <f>O26</f>
        <v>405.56</v>
      </c>
    </row>
    <row r="27" spans="2:16" x14ac:dyDescent="0.3">
      <c r="N27" s="114"/>
      <c r="O27" s="114"/>
      <c r="P27" s="114"/>
    </row>
    <row r="28" spans="2:16" x14ac:dyDescent="0.3">
      <c r="B28" s="155" t="s">
        <v>460</v>
      </c>
      <c r="C28" s="155"/>
      <c r="D28" s="155"/>
      <c r="E28" s="155"/>
      <c r="F28" s="155"/>
      <c r="G28" s="155"/>
      <c r="H28" s="155"/>
      <c r="I28" s="155"/>
      <c r="J28" s="155"/>
      <c r="K28" s="155"/>
      <c r="L28" s="155"/>
      <c r="M28" s="155"/>
      <c r="N28" s="156">
        <f>N25/N26</f>
        <v>967.52777286678747</v>
      </c>
      <c r="O28" s="156">
        <f>O25/O26</f>
        <v>2287.937125430914</v>
      </c>
      <c r="P28" s="156">
        <f>P25/P26</f>
        <v>1129.0636674385021</v>
      </c>
    </row>
  </sheetData>
  <mergeCells count="3">
    <mergeCell ref="C4:H4"/>
    <mergeCell ref="J4:L4"/>
    <mergeCell ref="N4:P4"/>
  </mergeCells>
  <pageMargins left="0.7" right="0.7" top="0.75" bottom="0.75" header="0.3" footer="0.3"/>
  <pageSetup scale="74"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B6C53-8C3E-44CB-AEB9-993C1226B170}">
  <sheetPr>
    <tabColor rgb="FF002060"/>
  </sheetPr>
  <dimension ref="A2:G50"/>
  <sheetViews>
    <sheetView showGridLines="0" workbookViewId="0">
      <pane ySplit="3" topLeftCell="A4" activePane="bottomLeft" state="frozen"/>
      <selection pane="bottomLeft" activeCell="G3" sqref="G3"/>
    </sheetView>
  </sheetViews>
  <sheetFormatPr defaultRowHeight="14.4" x14ac:dyDescent="0.3"/>
  <cols>
    <col min="1" max="1" width="1.88671875" customWidth="1"/>
    <col min="2" max="2" width="29.21875" bestFit="1" customWidth="1"/>
    <col min="3" max="3" width="12.109375" bestFit="1" customWidth="1"/>
    <col min="4" max="4" width="10.44140625" bestFit="1" customWidth="1"/>
    <col min="5" max="6" width="9.44140625" bestFit="1" customWidth="1"/>
    <col min="7" max="7" width="9.77734375" bestFit="1" customWidth="1"/>
  </cols>
  <sheetData>
    <row r="2" spans="1:7" ht="21" x14ac:dyDescent="0.4">
      <c r="A2" s="24" t="s">
        <v>411</v>
      </c>
      <c r="B2" s="121" t="s">
        <v>412</v>
      </c>
      <c r="C2" s="121"/>
      <c r="D2" s="121"/>
      <c r="E2" s="121"/>
      <c r="F2" s="121"/>
      <c r="G2" s="121"/>
    </row>
    <row r="3" spans="1:7" x14ac:dyDescent="0.3">
      <c r="B3" s="25" t="s">
        <v>415</v>
      </c>
      <c r="C3" s="27">
        <f>'Income Statement '!H3</f>
        <v>46477</v>
      </c>
      <c r="D3" s="27">
        <f>'Income Statement '!I3</f>
        <v>46842</v>
      </c>
      <c r="E3" s="27">
        <f>'Income Statement '!J3</f>
        <v>47207</v>
      </c>
      <c r="F3" s="27">
        <f>'Income Statement '!K3</f>
        <v>47572</v>
      </c>
      <c r="G3" s="27">
        <f>'Income Statement '!L3</f>
        <v>47937</v>
      </c>
    </row>
    <row r="5" spans="1:7" x14ac:dyDescent="0.3">
      <c r="B5" s="25" t="s">
        <v>416</v>
      </c>
    </row>
    <row r="6" spans="1:7" ht="3.6" customHeight="1" x14ac:dyDescent="0.3"/>
    <row r="7" spans="1:7" x14ac:dyDescent="0.3">
      <c r="B7" t="s">
        <v>129</v>
      </c>
      <c r="C7" s="60">
        <f>'Income Statement '!H23</f>
        <v>41621.863389075967</v>
      </c>
      <c r="D7" s="60">
        <f>'Income Statement '!I23</f>
        <v>45620.871798628286</v>
      </c>
      <c r="E7" s="60">
        <f>'Income Statement '!J23</f>
        <v>50004.102992974673</v>
      </c>
      <c r="F7" s="60">
        <f>'Income Statement '!K23</f>
        <v>54808.472910576915</v>
      </c>
      <c r="G7" s="60">
        <f>'Income Statement '!L23</f>
        <v>60074.444355325846</v>
      </c>
    </row>
    <row r="8" spans="1:7" x14ac:dyDescent="0.3">
      <c r="B8" t="s">
        <v>12</v>
      </c>
      <c r="C8" s="60">
        <f>-'Income Statement '!H23*'Income Statement '!H33</f>
        <v>-12507.847640453656</v>
      </c>
      <c r="D8" s="60">
        <f>-'Income Statement '!I23*'Income Statement '!I33</f>
        <v>-13709.595563942858</v>
      </c>
      <c r="E8" s="60">
        <f>-'Income Statement '!J23*'Income Statement '!J33</f>
        <v>-15026.806843968288</v>
      </c>
      <c r="F8" s="60">
        <f>-'Income Statement '!K23*'Income Statement '!K33</f>
        <v>-16470.575143720082</v>
      </c>
      <c r="G8" s="60">
        <f>-'Income Statement '!L23*'Income Statement '!L33</f>
        <v>-18053.060000157009</v>
      </c>
    </row>
    <row r="9" spans="1:7" x14ac:dyDescent="0.3">
      <c r="B9" t="s">
        <v>417</v>
      </c>
      <c r="C9" s="60">
        <f>'Income Statement '!H20</f>
        <v>5669.5096679340213</v>
      </c>
      <c r="D9" s="60">
        <f>'Income Statement '!I20</f>
        <v>6214.2334019044911</v>
      </c>
      <c r="E9" s="60">
        <f>'Income Statement '!J20</f>
        <v>6811.2939275430235</v>
      </c>
      <c r="F9" s="60">
        <f>'Income Statement '!K20</f>
        <v>7465.7197383616249</v>
      </c>
      <c r="G9" s="60">
        <f>'Income Statement '!L20</f>
        <v>8183.0224630854918</v>
      </c>
    </row>
    <row r="10" spans="1:7" x14ac:dyDescent="0.3">
      <c r="B10" t="s">
        <v>418</v>
      </c>
      <c r="C10" s="60">
        <f>-'Dep Capex'!H10</f>
        <v>-13525.906515219194</v>
      </c>
      <c r="D10" s="60">
        <f>-'Dep Capex'!I10</f>
        <v>-12566.120410635967</v>
      </c>
      <c r="E10" s="60">
        <f>-'Dep Capex'!J10</f>
        <v>-11674.439860790571</v>
      </c>
      <c r="F10" s="60">
        <f>-'Dep Capex'!K10</f>
        <v>-10846.032157057618</v>
      </c>
      <c r="G10" s="60">
        <f>-'Dep Capex'!L10</f>
        <v>-10076.407515449037</v>
      </c>
    </row>
    <row r="11" spans="1:7" x14ac:dyDescent="0.3">
      <c r="B11" t="s">
        <v>419</v>
      </c>
      <c r="C11" s="60">
        <f>-(('Balance Sheet'!H18-'Balance Sheet'!H17-'Balance Sheet'!H8)-('Balance Sheet'!G18-'Balance Sheet'!G17-'Balance Sheet'!G8))</f>
        <v>494.28164868996828</v>
      </c>
      <c r="D11" s="60">
        <f>-(('Balance Sheet'!I18-'Balance Sheet'!I17-'Balance Sheet'!I8)-('Balance Sheet'!H18-'Balance Sheet'!H17-'Balance Sheet'!H8))</f>
        <v>1683.3401473617123</v>
      </c>
      <c r="E11" s="60">
        <f>-(('Balance Sheet'!J18-'Balance Sheet'!J17-'Balance Sheet'!J8)-('Balance Sheet'!I18-'Balance Sheet'!I17-'Balance Sheet'!I8))</f>
        <v>1845.0746507526201</v>
      </c>
      <c r="F11" s="60">
        <f>-(('Balance Sheet'!K18-'Balance Sheet'!K17-'Balance Sheet'!K8)-('Balance Sheet'!J18-'Balance Sheet'!J17-'Balance Sheet'!J8))</f>
        <v>2022.3485266393982</v>
      </c>
      <c r="G11" s="60">
        <f>-(('Balance Sheet'!L18-'Balance Sheet'!L17-'Balance Sheet'!L8)-('Balance Sheet'!K18-'Balance Sheet'!K17-'Balance Sheet'!K8))</f>
        <v>2216.6547903805622</v>
      </c>
    </row>
    <row r="12" spans="1:7" x14ac:dyDescent="0.3">
      <c r="B12" s="99" t="s">
        <v>420</v>
      </c>
      <c r="C12" s="122">
        <f>SUM(C7:C11)</f>
        <v>21751.900550027105</v>
      </c>
      <c r="D12" s="122">
        <f t="shared" ref="D12:G12" si="0">SUM(D7:D11)</f>
        <v>27242.729373315669</v>
      </c>
      <c r="E12" s="122">
        <f t="shared" si="0"/>
        <v>31959.224866511457</v>
      </c>
      <c r="F12" s="122">
        <f t="shared" si="0"/>
        <v>36979.933874800234</v>
      </c>
      <c r="G12" s="122">
        <f t="shared" si="0"/>
        <v>42344.654093185854</v>
      </c>
    </row>
    <row r="14" spans="1:7" x14ac:dyDescent="0.3">
      <c r="B14" s="25" t="s">
        <v>410</v>
      </c>
      <c r="C14" s="25"/>
    </row>
    <row r="16" spans="1:7" x14ac:dyDescent="0.3">
      <c r="B16" s="99" t="s">
        <v>410</v>
      </c>
      <c r="C16" s="119">
        <f>WACC!C21</f>
        <v>0.13260881683585249</v>
      </c>
    </row>
    <row r="18" spans="2:7" x14ac:dyDescent="0.3">
      <c r="B18" s="25" t="s">
        <v>421</v>
      </c>
      <c r="C18" s="25"/>
      <c r="D18" s="25"/>
      <c r="E18" s="25"/>
      <c r="F18" s="25"/>
      <c r="G18" s="25"/>
    </row>
    <row r="19" spans="2:7" ht="3.6" customHeight="1" x14ac:dyDescent="0.3"/>
    <row r="20" spans="2:7" x14ac:dyDescent="0.3">
      <c r="B20" t="s">
        <v>413</v>
      </c>
      <c r="G20" s="105">
        <v>0.04</v>
      </c>
    </row>
    <row r="21" spans="2:7" x14ac:dyDescent="0.3">
      <c r="B21" t="s">
        <v>7</v>
      </c>
      <c r="G21" s="107">
        <f>'Income Statement '!L17</f>
        <v>68257.46681841134</v>
      </c>
    </row>
    <row r="22" spans="2:7" x14ac:dyDescent="0.3">
      <c r="B22" t="s">
        <v>414</v>
      </c>
      <c r="G22" s="123">
        <v>8.41</v>
      </c>
    </row>
    <row r="23" spans="2:7" x14ac:dyDescent="0.3">
      <c r="B23" t="s">
        <v>422</v>
      </c>
      <c r="G23" s="114">
        <f>G12*(1+G20)/(C16-G20)</f>
        <v>475531.83121830242</v>
      </c>
    </row>
    <row r="24" spans="2:7" x14ac:dyDescent="0.3">
      <c r="B24" t="s">
        <v>423</v>
      </c>
      <c r="G24" s="114">
        <f>G21*G22</f>
        <v>574045.29594283935</v>
      </c>
    </row>
    <row r="25" spans="2:7" x14ac:dyDescent="0.3">
      <c r="B25" s="99" t="s">
        <v>425</v>
      </c>
      <c r="C25" s="79"/>
      <c r="D25" s="79"/>
      <c r="E25" s="79"/>
      <c r="F25" s="79"/>
      <c r="G25" s="126">
        <f>AVERAGE(G23:G24)</f>
        <v>524788.56358057086</v>
      </c>
    </row>
    <row r="27" spans="2:7" x14ac:dyDescent="0.3">
      <c r="B27" s="124" t="s">
        <v>427</v>
      </c>
      <c r="C27" s="125">
        <v>0.5</v>
      </c>
      <c r="D27" s="124">
        <f>C27+1</f>
        <v>1.5</v>
      </c>
      <c r="E27" s="124">
        <f t="shared" ref="E27:G27" si="1">D27+1</f>
        <v>2.5</v>
      </c>
      <c r="F27" s="124">
        <f t="shared" si="1"/>
        <v>3.5</v>
      </c>
      <c r="G27" s="124">
        <f t="shared" si="1"/>
        <v>4.5</v>
      </c>
    </row>
    <row r="28" spans="2:7" ht="3.6" customHeight="1" x14ac:dyDescent="0.3"/>
    <row r="29" spans="2:7" x14ac:dyDescent="0.3">
      <c r="B29" t="s">
        <v>426</v>
      </c>
      <c r="C29" s="114">
        <f>1/(1+$C$16)^C27</f>
        <v>0.93963682981396579</v>
      </c>
      <c r="D29" s="114">
        <f t="shared" ref="D29:E29" si="2">1/(1+$C$16)^D27</f>
        <v>0.82962168036004791</v>
      </c>
      <c r="E29" s="114">
        <f t="shared" si="2"/>
        <v>0.73248739373029603</v>
      </c>
      <c r="F29" s="114">
        <f>1/(1+$C$16)^F27</f>
        <v>0.64672584465361316</v>
      </c>
      <c r="G29" s="114">
        <f>1/(1+$C$16)^G27</f>
        <v>0.57100548312908128</v>
      </c>
    </row>
    <row r="30" spans="2:7" x14ac:dyDescent="0.3">
      <c r="B30" s="24" t="s">
        <v>428</v>
      </c>
      <c r="C30" s="127">
        <f>C12*C29</f>
        <v>20438.886875256128</v>
      </c>
      <c r="D30" s="127">
        <f>D12*D29</f>
        <v>22601.158920284179</v>
      </c>
      <c r="E30" s="127">
        <f t="shared" ref="E30:G30" si="3">E12*E29</f>
        <v>23409.729328111443</v>
      </c>
      <c r="F30" s="127">
        <f t="shared" si="3"/>
        <v>23915.878970414942</v>
      </c>
      <c r="G30" s="127">
        <f t="shared" si="3"/>
        <v>24179.029668413419</v>
      </c>
    </row>
    <row r="31" spans="2:7" x14ac:dyDescent="0.3">
      <c r="B31" s="24" t="s">
        <v>429</v>
      </c>
      <c r="G31" s="127">
        <f>G25*G29</f>
        <v>299657.14728794043</v>
      </c>
    </row>
    <row r="32" spans="2:7" x14ac:dyDescent="0.3">
      <c r="B32" s="99" t="s">
        <v>430</v>
      </c>
      <c r="C32" s="122">
        <f>SUM(C30:G31)</f>
        <v>414201.83105042053</v>
      </c>
    </row>
    <row r="34" spans="2:7" x14ac:dyDescent="0.3">
      <c r="B34" s="25" t="s">
        <v>431</v>
      </c>
      <c r="C34" s="120"/>
    </row>
    <row r="35" spans="2:7" ht="3.6" customHeight="1" x14ac:dyDescent="0.3"/>
    <row r="36" spans="2:7" x14ac:dyDescent="0.3">
      <c r="B36" t="s">
        <v>432</v>
      </c>
      <c r="C36" s="60">
        <f>'Balance Sheet'!G17</f>
        <v>22201</v>
      </c>
    </row>
    <row r="37" spans="2:7" x14ac:dyDescent="0.3">
      <c r="B37" t="s">
        <v>433</v>
      </c>
      <c r="C37" s="60">
        <v>0</v>
      </c>
    </row>
    <row r="38" spans="2:7" x14ac:dyDescent="0.3">
      <c r="B38" t="s">
        <v>434</v>
      </c>
      <c r="C38" s="60">
        <f>'Balance Sheet'!G7</f>
        <v>9176</v>
      </c>
    </row>
    <row r="39" spans="2:7" x14ac:dyDescent="0.3">
      <c r="B39" s="99" t="s">
        <v>424</v>
      </c>
      <c r="C39" s="122">
        <f>C32+C36+C37-C38</f>
        <v>427226.83105042053</v>
      </c>
    </row>
    <row r="40" spans="2:7" x14ac:dyDescent="0.3">
      <c r="C40" s="60"/>
    </row>
    <row r="41" spans="2:7" x14ac:dyDescent="0.3">
      <c r="B41" t="s">
        <v>435</v>
      </c>
      <c r="C41" s="60">
        <f>'Income Statement '!G38</f>
        <v>405.56</v>
      </c>
    </row>
    <row r="42" spans="2:7" x14ac:dyDescent="0.3">
      <c r="B42" s="99" t="s">
        <v>436</v>
      </c>
      <c r="C42" s="122">
        <f>C39/C41</f>
        <v>1053.4244773903258</v>
      </c>
    </row>
    <row r="44" spans="2:7" x14ac:dyDescent="0.3">
      <c r="B44" s="25" t="s">
        <v>437</v>
      </c>
      <c r="C44" s="128"/>
      <c r="D44" s="128"/>
      <c r="E44" s="128"/>
      <c r="F44" s="128"/>
      <c r="G44" s="128"/>
    </row>
    <row r="45" spans="2:7" x14ac:dyDescent="0.3">
      <c r="B45" s="131">
        <f>C42</f>
        <v>1053.4244773903258</v>
      </c>
      <c r="C45" s="129">
        <v>0.11</v>
      </c>
      <c r="D45" s="129">
        <v>0.12</v>
      </c>
      <c r="E45" s="129">
        <v>0.1326</v>
      </c>
      <c r="F45" s="129">
        <v>0.14000000000000001</v>
      </c>
      <c r="G45" s="129">
        <v>0.15</v>
      </c>
    </row>
    <row r="46" spans="2:7" x14ac:dyDescent="0.3">
      <c r="B46" s="130">
        <v>0.02</v>
      </c>
      <c r="C46" s="28">
        <f t="dataTable" ref="C46:G50" dt2D="1" dtr="1" r1="C16" r2="G20"/>
        <v>1142.155557823854</v>
      </c>
      <c r="D46" s="28">
        <v>1067.6110903672902</v>
      </c>
      <c r="E46" s="28">
        <v>988.72502247748139</v>
      </c>
      <c r="F46" s="28">
        <v>948.39450185777594</v>
      </c>
      <c r="G46" s="28">
        <v>899.45670468132369</v>
      </c>
    </row>
    <row r="47" spans="2:7" x14ac:dyDescent="0.3">
      <c r="B47" s="130">
        <v>0.04</v>
      </c>
      <c r="C47" s="28">
        <v>1257.1753291802156</v>
      </c>
      <c r="D47" s="28">
        <v>1155.3900458741666</v>
      </c>
      <c r="E47" s="132">
        <v>1053.4879015657652</v>
      </c>
      <c r="F47" s="28">
        <v>1003.3986254730806</v>
      </c>
      <c r="G47" s="28">
        <v>944.22442673531975</v>
      </c>
    </row>
    <row r="48" spans="2:7" x14ac:dyDescent="0.3">
      <c r="B48" s="130">
        <v>0.06</v>
      </c>
      <c r="C48" s="28">
        <v>1464.2109176216668</v>
      </c>
      <c r="D48" s="28">
        <v>1301.688305052294</v>
      </c>
      <c r="E48" s="28">
        <v>1153.932807699935</v>
      </c>
      <c r="F48" s="28">
        <v>1085.9048108960374</v>
      </c>
      <c r="G48" s="28">
        <v>1008.8889141466473</v>
      </c>
    </row>
    <row r="49" spans="2:7" x14ac:dyDescent="0.3">
      <c r="B49" s="130">
        <v>0.08</v>
      </c>
      <c r="C49" s="28">
        <v>1947.2939573183855</v>
      </c>
      <c r="D49" s="28">
        <v>1594.2848234085493</v>
      </c>
      <c r="E49" s="28">
        <v>1330.7616728714963</v>
      </c>
      <c r="F49" s="28">
        <v>1223.4151199342984</v>
      </c>
      <c r="G49" s="28">
        <v>1110.5045372215905</v>
      </c>
    </row>
    <row r="50" spans="2:7" x14ac:dyDescent="0.3">
      <c r="B50" s="130">
        <v>0.1</v>
      </c>
      <c r="C50" s="28">
        <v>4362.709155801982</v>
      </c>
      <c r="D50" s="28">
        <v>2472.0743784773144</v>
      </c>
      <c r="E50" s="28">
        <v>1724.5584707689009</v>
      </c>
      <c r="F50" s="28">
        <v>1498.4357380108211</v>
      </c>
      <c r="G50" s="28">
        <v>1293.4126587564883</v>
      </c>
    </row>
  </sheetData>
  <printOptions horizontalCentered="1"/>
  <pageMargins left="0.23622047244094491" right="0.23622047244094491" top="0.23622047244094491" bottom="0.23622047244094491" header="0" footer="0"/>
  <pageSetup scale="10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EA9EC-BDAC-4917-94D2-667D6187B863}">
  <sheetPr>
    <tabColor rgb="FF002060"/>
    <pageSetUpPr fitToPage="1"/>
  </sheetPr>
  <dimension ref="A2:H21"/>
  <sheetViews>
    <sheetView showGridLines="0" topLeftCell="A3" zoomScale="80" zoomScaleNormal="80" workbookViewId="0">
      <selection activeCell="B1" sqref="B1:H34"/>
    </sheetView>
  </sheetViews>
  <sheetFormatPr defaultRowHeight="14.4" x14ac:dyDescent="0.3"/>
  <cols>
    <col min="1" max="1" width="1.88671875" style="29" customWidth="1"/>
    <col min="2" max="2" width="36" bestFit="1" customWidth="1"/>
    <col min="3" max="3" width="10.44140625" bestFit="1" customWidth="1"/>
    <col min="4" max="4" width="11.109375" bestFit="1" customWidth="1"/>
    <col min="6" max="6" width="12.44140625" bestFit="1" customWidth="1"/>
    <col min="7" max="7" width="5.77734375" customWidth="1"/>
    <col min="8" max="8" width="13.33203125" bestFit="1" customWidth="1"/>
  </cols>
  <sheetData>
    <row r="2" spans="2:8" ht="18" x14ac:dyDescent="0.35">
      <c r="B2" s="116" t="s">
        <v>393</v>
      </c>
      <c r="C2" s="116"/>
      <c r="D2" s="116"/>
      <c r="E2" s="116"/>
      <c r="F2" s="116"/>
      <c r="G2" s="101"/>
      <c r="H2" s="101"/>
    </row>
    <row r="4" spans="2:8" x14ac:dyDescent="0.3">
      <c r="B4" s="89" t="s">
        <v>394</v>
      </c>
      <c r="C4" s="89" t="s">
        <v>395</v>
      </c>
      <c r="D4" s="89" t="s">
        <v>396</v>
      </c>
      <c r="E4" s="89" t="s">
        <v>397</v>
      </c>
      <c r="F4" s="89" t="s">
        <v>398</v>
      </c>
      <c r="G4" s="89" t="s">
        <v>399</v>
      </c>
      <c r="H4" s="89" t="s">
        <v>400</v>
      </c>
    </row>
    <row r="6" spans="2:8" x14ac:dyDescent="0.3">
      <c r="B6" t="s">
        <v>401</v>
      </c>
      <c r="C6" s="107">
        <f>'Balance Sheet'!H7</f>
        <v>9176</v>
      </c>
      <c r="D6" s="107">
        <f>SUM('Balance Sheet'!H5:H6)</f>
        <v>102284.51489749251</v>
      </c>
      <c r="E6" s="18">
        <f>'Income Statement '!G33</f>
        <v>0.28464368811211516</v>
      </c>
      <c r="F6" s="105">
        <v>6.4799999999999996E-2</v>
      </c>
      <c r="G6" s="114">
        <f>'Beta - Regression'!K12</f>
        <v>0.77032834510533976</v>
      </c>
      <c r="H6" s="18">
        <f>RM!F7</f>
        <v>0.16449230769230772</v>
      </c>
    </row>
    <row r="10" spans="2:8" x14ac:dyDescent="0.3">
      <c r="B10" s="89" t="s">
        <v>402</v>
      </c>
      <c r="C10" s="89"/>
      <c r="E10" s="89" t="s">
        <v>405</v>
      </c>
      <c r="F10" s="82"/>
      <c r="G10" s="82"/>
      <c r="H10" s="82"/>
    </row>
    <row r="12" spans="2:8" x14ac:dyDescent="0.3">
      <c r="B12" t="s">
        <v>403</v>
      </c>
      <c r="C12" s="76">
        <f>'Income Statement '!G26/'Balance Sheet'!G7</f>
        <v>4.5335658238884045E-2</v>
      </c>
      <c r="E12" t="s">
        <v>398</v>
      </c>
      <c r="H12" s="18">
        <f>F6</f>
        <v>6.4799999999999996E-2</v>
      </c>
    </row>
    <row r="13" spans="2:8" x14ac:dyDescent="0.3">
      <c r="B13" t="s">
        <v>397</v>
      </c>
      <c r="C13" s="18">
        <f>E6</f>
        <v>0.28464368811211516</v>
      </c>
      <c r="E13" t="s">
        <v>406</v>
      </c>
      <c r="H13" s="18">
        <f>RM!F7</f>
        <v>0.16449230769230772</v>
      </c>
    </row>
    <row r="14" spans="2:8" x14ac:dyDescent="0.3">
      <c r="B14" s="79" t="s">
        <v>404</v>
      </c>
      <c r="C14" s="118">
        <f>C12*(1-C13)</f>
        <v>3.2431149274777693E-2</v>
      </c>
      <c r="E14" t="s">
        <v>407</v>
      </c>
      <c r="H14" s="114">
        <f>G6</f>
        <v>0.77032834510533976</v>
      </c>
    </row>
    <row r="15" spans="2:8" x14ac:dyDescent="0.3">
      <c r="E15" s="79" t="s">
        <v>405</v>
      </c>
      <c r="F15" s="79"/>
      <c r="G15" s="79"/>
      <c r="H15" s="118">
        <f>H12+H14*(H13-H12)</f>
        <v>0.14159581040434774</v>
      </c>
    </row>
    <row r="17" spans="2:3" x14ac:dyDescent="0.3">
      <c r="B17" s="89" t="s">
        <v>393</v>
      </c>
      <c r="C17" s="89"/>
    </row>
    <row r="19" spans="2:3" x14ac:dyDescent="0.3">
      <c r="B19" t="s">
        <v>408</v>
      </c>
      <c r="C19" s="76">
        <f>D6/(D6+C6)</f>
        <v>0.91767488237032691</v>
      </c>
    </row>
    <row r="20" spans="2:3" x14ac:dyDescent="0.3">
      <c r="B20" t="s">
        <v>409</v>
      </c>
      <c r="C20" s="76">
        <f>C6/(D6+C6)</f>
        <v>8.2325117629673081E-2</v>
      </c>
    </row>
    <row r="21" spans="2:3" x14ac:dyDescent="0.3">
      <c r="B21" s="99" t="s">
        <v>410</v>
      </c>
      <c r="C21" s="119">
        <f>(C19*H15)+(C20*C14)</f>
        <v>0.13260881683585249</v>
      </c>
    </row>
  </sheetData>
  <pageMargins left="0.7" right="0.7" top="0.75" bottom="0.75" header="0.3" footer="0.3"/>
  <pageSetup scale="9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CDAB7-1657-4A2D-8A08-AE16A2549962}">
  <sheetPr>
    <tabColor rgb="FF002060"/>
  </sheetPr>
  <dimension ref="B2:U111"/>
  <sheetViews>
    <sheetView showGridLines="0" zoomScale="80" zoomScaleNormal="80" workbookViewId="0">
      <selection activeCell="U13" sqref="U13"/>
    </sheetView>
  </sheetViews>
  <sheetFormatPr defaultRowHeight="14.4" x14ac:dyDescent="0.3"/>
  <cols>
    <col min="1" max="1" width="1.88671875" customWidth="1"/>
    <col min="2" max="2" width="11.88671875" customWidth="1"/>
    <col min="3" max="3" width="9" bestFit="1" customWidth="1"/>
    <col min="5" max="5" width="2.77734375" customWidth="1"/>
    <col min="7" max="7" width="13.6640625" customWidth="1"/>
    <col min="8" max="8" width="2.77734375" customWidth="1"/>
    <col min="12" max="12" width="2.77734375" customWidth="1"/>
    <col min="14" max="14" width="9.5546875" bestFit="1" customWidth="1"/>
    <col min="21" max="21" width="12.21875" bestFit="1" customWidth="1"/>
  </cols>
  <sheetData>
    <row r="2" spans="2:18" x14ac:dyDescent="0.3">
      <c r="B2" s="25" t="s">
        <v>251</v>
      </c>
      <c r="C2" s="25"/>
      <c r="D2" s="25"/>
      <c r="E2" s="25"/>
      <c r="F2" s="25"/>
      <c r="G2" s="25"/>
    </row>
    <row r="4" spans="2:18" x14ac:dyDescent="0.3">
      <c r="B4" s="233" t="s">
        <v>252</v>
      </c>
      <c r="C4" s="233"/>
      <c r="D4" s="233"/>
      <c r="F4" s="233" t="s">
        <v>253</v>
      </c>
      <c r="G4" s="233"/>
      <c r="I4" s="233" t="s">
        <v>362</v>
      </c>
      <c r="J4" s="233"/>
      <c r="K4" s="233"/>
      <c r="M4" s="25" t="s">
        <v>392</v>
      </c>
      <c r="N4" s="115">
        <f>N23</f>
        <v>0.69377112680711972</v>
      </c>
    </row>
    <row r="6" spans="2:18" x14ac:dyDescent="0.3">
      <c r="B6" s="108" t="s">
        <v>254</v>
      </c>
      <c r="C6" s="108" t="s">
        <v>255</v>
      </c>
      <c r="D6" s="108" t="s">
        <v>361</v>
      </c>
      <c r="F6" s="108" t="s">
        <v>255</v>
      </c>
      <c r="G6" s="110" t="s">
        <v>361</v>
      </c>
      <c r="I6" t="s">
        <v>363</v>
      </c>
      <c r="K6" s="114">
        <f>N4</f>
        <v>0.69377112680711972</v>
      </c>
      <c r="M6" t="s">
        <v>368</v>
      </c>
    </row>
    <row r="7" spans="2:18" ht="15" thickBot="1" x14ac:dyDescent="0.35">
      <c r="B7" t="s">
        <v>360</v>
      </c>
      <c r="C7" s="107">
        <v>24964.25</v>
      </c>
      <c r="F7" s="109">
        <v>21.56</v>
      </c>
      <c r="I7" t="s">
        <v>364</v>
      </c>
      <c r="K7">
        <v>0.75</v>
      </c>
    </row>
    <row r="8" spans="2:18" x14ac:dyDescent="0.3">
      <c r="B8" t="s">
        <v>359</v>
      </c>
      <c r="C8" s="107">
        <v>24854.05</v>
      </c>
      <c r="D8" s="76">
        <f>C8/C7-1</f>
        <v>-4.4143124668275524E-3</v>
      </c>
      <c r="F8" s="109">
        <v>21.16</v>
      </c>
      <c r="G8" s="76">
        <f>F8/F7-1</f>
        <v>-1.8552875695732829E-2</v>
      </c>
      <c r="M8" s="113" t="s">
        <v>369</v>
      </c>
      <c r="N8" s="113"/>
    </row>
    <row r="9" spans="2:18" x14ac:dyDescent="0.3">
      <c r="B9" t="s">
        <v>358</v>
      </c>
      <c r="C9" s="107">
        <v>24180.799999999999</v>
      </c>
      <c r="D9" s="76">
        <f t="shared" ref="D9:D72" si="0">C9/C8-1</f>
        <v>-2.7088140564616281E-2</v>
      </c>
      <c r="F9" s="109">
        <v>20.58</v>
      </c>
      <c r="G9" s="76">
        <f t="shared" ref="G9:G72" si="1">F9/F8-1</f>
        <v>-2.7410207939508546E-2</v>
      </c>
      <c r="I9" t="s">
        <v>365</v>
      </c>
      <c r="K9">
        <v>1</v>
      </c>
      <c r="M9" t="s">
        <v>370</v>
      </c>
      <c r="N9">
        <v>0.28648155868741215</v>
      </c>
    </row>
    <row r="10" spans="2:18" x14ac:dyDescent="0.3">
      <c r="B10" t="s">
        <v>357</v>
      </c>
      <c r="C10" s="107">
        <v>24304.35</v>
      </c>
      <c r="D10" s="76">
        <f t="shared" si="0"/>
        <v>5.1094256600276999E-3</v>
      </c>
      <c r="F10" s="109">
        <v>19.739999999999998</v>
      </c>
      <c r="G10" s="76">
        <f t="shared" si="1"/>
        <v>-4.081632653061229E-2</v>
      </c>
      <c r="I10" t="s">
        <v>366</v>
      </c>
      <c r="K10">
        <v>0.25</v>
      </c>
      <c r="M10" t="s">
        <v>371</v>
      </c>
      <c r="N10">
        <v>8.2071683467969184E-2</v>
      </c>
    </row>
    <row r="11" spans="2:18" x14ac:dyDescent="0.3">
      <c r="B11" t="s">
        <v>356</v>
      </c>
      <c r="C11" s="107">
        <v>24148.2</v>
      </c>
      <c r="D11" s="76">
        <f t="shared" si="0"/>
        <v>-6.4247758117372822E-3</v>
      </c>
      <c r="F11" s="109">
        <v>20.68</v>
      </c>
      <c r="G11" s="76">
        <f t="shared" si="1"/>
        <v>4.7619047619047672E-2</v>
      </c>
      <c r="M11" t="s">
        <v>372</v>
      </c>
      <c r="N11">
        <v>7.3072386247066912E-2</v>
      </c>
    </row>
    <row r="12" spans="2:18" x14ac:dyDescent="0.3">
      <c r="B12" t="s">
        <v>355</v>
      </c>
      <c r="C12" s="107">
        <v>23532.7</v>
      </c>
      <c r="D12" s="76">
        <f t="shared" si="0"/>
        <v>-2.5488442202731498E-2</v>
      </c>
      <c r="F12" s="109">
        <v>20.47</v>
      </c>
      <c r="G12" s="76">
        <f t="shared" si="1"/>
        <v>-1.0154738878143221E-2</v>
      </c>
      <c r="I12" s="24" t="s">
        <v>367</v>
      </c>
      <c r="K12" s="117">
        <f>(K6*K7)+(K9*K10)</f>
        <v>0.77032834510533976</v>
      </c>
      <c r="M12" t="s">
        <v>373</v>
      </c>
      <c r="N12">
        <v>4.2198729974155177E-2</v>
      </c>
    </row>
    <row r="13" spans="2:18" ht="15" thickBot="1" x14ac:dyDescent="0.35">
      <c r="B13" t="s">
        <v>354</v>
      </c>
      <c r="C13" s="107">
        <v>23907.25</v>
      </c>
      <c r="D13" s="76">
        <f t="shared" si="0"/>
        <v>1.5916150717937061E-2</v>
      </c>
      <c r="F13" s="109">
        <v>21.67</v>
      </c>
      <c r="G13" s="76">
        <f t="shared" si="1"/>
        <v>5.862237420615557E-2</v>
      </c>
      <c r="M13" s="111" t="s">
        <v>374</v>
      </c>
      <c r="N13" s="111">
        <v>104</v>
      </c>
    </row>
    <row r="14" spans="2:18" x14ac:dyDescent="0.3">
      <c r="B14" t="s">
        <v>353</v>
      </c>
      <c r="C14" s="107">
        <v>24131.1</v>
      </c>
      <c r="D14" s="76">
        <f t="shared" si="0"/>
        <v>9.3632684645870157E-3</v>
      </c>
      <c r="F14" s="109">
        <v>20.99</v>
      </c>
      <c r="G14" s="76">
        <f t="shared" si="1"/>
        <v>-3.1379787724965524E-2</v>
      </c>
    </row>
    <row r="15" spans="2:18" ht="15" thickBot="1" x14ac:dyDescent="0.35">
      <c r="B15" t="s">
        <v>352</v>
      </c>
      <c r="C15" s="107">
        <v>24677.8</v>
      </c>
      <c r="D15" s="76">
        <f t="shared" si="0"/>
        <v>2.2655411481449228E-2</v>
      </c>
      <c r="F15" s="109">
        <v>21.74</v>
      </c>
      <c r="G15" s="76">
        <f t="shared" si="1"/>
        <v>3.5731300619342488E-2</v>
      </c>
      <c r="M15" t="s">
        <v>375</v>
      </c>
    </row>
    <row r="16" spans="2:18" x14ac:dyDescent="0.3">
      <c r="B16" t="s">
        <v>351</v>
      </c>
      <c r="C16" s="107">
        <v>24768.3</v>
      </c>
      <c r="D16" s="76">
        <f t="shared" si="0"/>
        <v>3.6672636944945491E-3</v>
      </c>
      <c r="F16" s="109">
        <v>22.25</v>
      </c>
      <c r="G16" s="76">
        <f t="shared" si="1"/>
        <v>2.3459061637534528E-2</v>
      </c>
      <c r="M16" s="112"/>
      <c r="N16" s="112" t="s">
        <v>379</v>
      </c>
      <c r="O16" s="112" t="s">
        <v>380</v>
      </c>
      <c r="P16" s="112" t="s">
        <v>381</v>
      </c>
      <c r="Q16" s="112" t="s">
        <v>382</v>
      </c>
      <c r="R16" s="112" t="s">
        <v>383</v>
      </c>
    </row>
    <row r="17" spans="2:21" x14ac:dyDescent="0.3">
      <c r="B17" t="s">
        <v>350</v>
      </c>
      <c r="C17" s="107">
        <v>23587.5</v>
      </c>
      <c r="D17" s="76">
        <f t="shared" si="0"/>
        <v>-4.7673841159869612E-2</v>
      </c>
      <c r="F17" s="109">
        <v>21.61</v>
      </c>
      <c r="G17" s="76">
        <f t="shared" si="1"/>
        <v>-2.8764044943820233E-2</v>
      </c>
      <c r="M17" t="s">
        <v>376</v>
      </c>
      <c r="N17">
        <v>1</v>
      </c>
      <c r="O17">
        <v>1.6239905856359038E-2</v>
      </c>
      <c r="P17">
        <v>1.6239905856359038E-2</v>
      </c>
      <c r="Q17">
        <v>9.1197880738225852</v>
      </c>
      <c r="R17">
        <v>3.1952859782042159E-3</v>
      </c>
    </row>
    <row r="18" spans="2:21" x14ac:dyDescent="0.3">
      <c r="B18" t="s">
        <v>349</v>
      </c>
      <c r="C18" s="107">
        <v>23813.4</v>
      </c>
      <c r="D18" s="76">
        <f t="shared" si="0"/>
        <v>9.5771065182830295E-3</v>
      </c>
      <c r="F18" s="109">
        <v>21.38</v>
      </c>
      <c r="G18" s="76">
        <f t="shared" si="1"/>
        <v>-1.0643220731142988E-2</v>
      </c>
      <c r="M18" t="s">
        <v>377</v>
      </c>
      <c r="N18">
        <v>102</v>
      </c>
      <c r="O18">
        <v>0.18163474676602959</v>
      </c>
      <c r="P18">
        <v>1.7807328114316627E-3</v>
      </c>
    </row>
    <row r="19" spans="2:21" ht="15" thickBot="1" x14ac:dyDescent="0.35">
      <c r="B19" t="s">
        <v>348</v>
      </c>
      <c r="C19" s="107">
        <v>24004.75</v>
      </c>
      <c r="D19" s="76">
        <f t="shared" si="0"/>
        <v>8.035391838208783E-3</v>
      </c>
      <c r="F19" s="109">
        <v>21.52</v>
      </c>
      <c r="G19" s="76">
        <f t="shared" si="1"/>
        <v>6.5481758652947697E-3</v>
      </c>
      <c r="M19" s="111" t="s">
        <v>86</v>
      </c>
      <c r="N19" s="111">
        <v>103</v>
      </c>
      <c r="O19" s="111">
        <v>0.19787465262238862</v>
      </c>
      <c r="P19" s="111"/>
      <c r="Q19" s="111"/>
      <c r="R19" s="111"/>
    </row>
    <row r="20" spans="2:21" ht="15" thickBot="1" x14ac:dyDescent="0.35">
      <c r="B20" t="s">
        <v>347</v>
      </c>
      <c r="C20" s="107">
        <v>23431.5</v>
      </c>
      <c r="D20" s="76">
        <f t="shared" si="0"/>
        <v>-2.3880690280048689E-2</v>
      </c>
      <c r="F20" s="109">
        <v>21.59</v>
      </c>
      <c r="G20" s="76">
        <f t="shared" si="1"/>
        <v>3.2527881040891327E-3</v>
      </c>
    </row>
    <row r="21" spans="2:21" x14ac:dyDescent="0.3">
      <c r="B21" t="s">
        <v>346</v>
      </c>
      <c r="C21" s="107">
        <v>23203.200000000001</v>
      </c>
      <c r="D21" s="76">
        <f t="shared" si="0"/>
        <v>-9.7432942833365344E-3</v>
      </c>
      <c r="F21" s="109">
        <v>20.149999999999999</v>
      </c>
      <c r="G21" s="76">
        <f t="shared" si="1"/>
        <v>-6.6697545159796312E-2</v>
      </c>
      <c r="M21" s="112"/>
      <c r="N21" s="112" t="s">
        <v>384</v>
      </c>
      <c r="O21" s="112" t="s">
        <v>373</v>
      </c>
      <c r="P21" s="112" t="s">
        <v>385</v>
      </c>
      <c r="Q21" s="112" t="s">
        <v>386</v>
      </c>
      <c r="R21" s="112" t="s">
        <v>387</v>
      </c>
      <c r="S21" s="112" t="s">
        <v>388</v>
      </c>
      <c r="T21" s="112" t="s">
        <v>389</v>
      </c>
      <c r="U21" s="112" t="s">
        <v>390</v>
      </c>
    </row>
    <row r="22" spans="2:21" x14ac:dyDescent="0.3">
      <c r="B22" t="s">
        <v>345</v>
      </c>
      <c r="C22" s="107">
        <v>23092.2</v>
      </c>
      <c r="D22" s="76">
        <f t="shared" si="0"/>
        <v>-4.7838229209764549E-3</v>
      </c>
      <c r="F22" s="109">
        <v>20.62</v>
      </c>
      <c r="G22" s="76">
        <f t="shared" si="1"/>
        <v>2.3325062034739608E-2</v>
      </c>
      <c r="M22" t="s">
        <v>378</v>
      </c>
      <c r="N22">
        <v>-5.0968877395874933E-3</v>
      </c>
      <c r="O22">
        <v>4.1422964606669379E-3</v>
      </c>
      <c r="P22">
        <v>-1.2304497729664814</v>
      </c>
      <c r="Q22">
        <v>0.22135882354313124</v>
      </c>
      <c r="R22">
        <v>-1.3313113128882169E-2</v>
      </c>
      <c r="S22">
        <v>3.119337649707182E-3</v>
      </c>
      <c r="T22">
        <v>-1.3313113128882169E-2</v>
      </c>
      <c r="U22">
        <v>3.119337649707182E-3</v>
      </c>
    </row>
    <row r="23" spans="2:21" ht="15" thickBot="1" x14ac:dyDescent="0.35">
      <c r="B23" t="s">
        <v>344</v>
      </c>
      <c r="C23" s="107">
        <v>23482.15</v>
      </c>
      <c r="D23" s="76">
        <f t="shared" si="0"/>
        <v>1.6886654368141629E-2</v>
      </c>
      <c r="F23" s="109">
        <v>20.87</v>
      </c>
      <c r="G23" s="76">
        <f t="shared" si="1"/>
        <v>1.212415130940836E-2</v>
      </c>
      <c r="M23" s="111" t="s">
        <v>391</v>
      </c>
      <c r="N23" s="111">
        <v>0.69377112680711972</v>
      </c>
      <c r="O23" s="111">
        <v>0.22973324569426551</v>
      </c>
      <c r="P23" s="111">
        <v>3.0198986860195536</v>
      </c>
      <c r="Q23" s="111">
        <v>3.1952859782041513E-3</v>
      </c>
      <c r="R23" s="111">
        <v>0.23809632323828267</v>
      </c>
      <c r="S23" s="111">
        <v>1.1494459303759568</v>
      </c>
      <c r="T23" s="111">
        <v>0.23809632323828267</v>
      </c>
      <c r="U23" s="111">
        <v>1.1494459303759568</v>
      </c>
    </row>
    <row r="24" spans="2:21" x14ac:dyDescent="0.3">
      <c r="B24" t="s">
        <v>343</v>
      </c>
      <c r="C24" s="107">
        <v>23559.95</v>
      </c>
      <c r="D24" s="76">
        <f t="shared" si="0"/>
        <v>3.3131548857323612E-3</v>
      </c>
      <c r="F24" s="109">
        <v>20.76</v>
      </c>
      <c r="G24" s="76">
        <f t="shared" si="1"/>
        <v>-5.2707235265931907E-3</v>
      </c>
    </row>
    <row r="25" spans="2:21" x14ac:dyDescent="0.3">
      <c r="B25" t="s">
        <v>342</v>
      </c>
      <c r="C25" s="107">
        <v>22929.25</v>
      </c>
      <c r="D25" s="76">
        <f t="shared" si="0"/>
        <v>-2.6770005878620329E-2</v>
      </c>
      <c r="F25" s="109">
        <v>20.51</v>
      </c>
      <c r="G25" s="76">
        <f t="shared" si="1"/>
        <v>-1.2042389210019322E-2</v>
      </c>
    </row>
    <row r="26" spans="2:21" x14ac:dyDescent="0.3">
      <c r="B26" t="s">
        <v>341</v>
      </c>
      <c r="C26" s="107">
        <v>22795.9</v>
      </c>
      <c r="D26" s="76">
        <f t="shared" si="0"/>
        <v>-5.8157157342695331E-3</v>
      </c>
      <c r="F26" s="109">
        <v>20.13</v>
      </c>
      <c r="G26" s="76">
        <f t="shared" si="1"/>
        <v>-1.8527547537786515E-2</v>
      </c>
    </row>
    <row r="27" spans="2:21" x14ac:dyDescent="0.3">
      <c r="B27" t="s">
        <v>340</v>
      </c>
      <c r="C27" s="107">
        <v>22124.7</v>
      </c>
      <c r="D27" s="76">
        <f t="shared" si="0"/>
        <v>-2.9443891226053842E-2</v>
      </c>
      <c r="F27" s="109">
        <v>19.11</v>
      </c>
      <c r="G27" s="76">
        <f t="shared" si="1"/>
        <v>-5.0670640834575287E-2</v>
      </c>
    </row>
    <row r="28" spans="2:21" x14ac:dyDescent="0.3">
      <c r="B28" t="s">
        <v>339</v>
      </c>
      <c r="C28" s="107">
        <v>22552.5</v>
      </c>
      <c r="D28" s="76">
        <f t="shared" si="0"/>
        <v>1.9335855401429125E-2</v>
      </c>
      <c r="F28" s="109">
        <v>18.89</v>
      </c>
      <c r="G28" s="76">
        <f t="shared" si="1"/>
        <v>-1.1512297226582868E-2</v>
      </c>
    </row>
    <row r="29" spans="2:21" x14ac:dyDescent="0.3">
      <c r="B29" t="s">
        <v>338</v>
      </c>
      <c r="C29" s="107">
        <v>22397.200000000001</v>
      </c>
      <c r="D29" s="76">
        <f t="shared" si="0"/>
        <v>-6.8861545283227521E-3</v>
      </c>
      <c r="F29" s="109">
        <v>17.5</v>
      </c>
      <c r="G29" s="76">
        <f t="shared" si="1"/>
        <v>-7.358390682901006E-2</v>
      </c>
    </row>
    <row r="30" spans="2:21" x14ac:dyDescent="0.3">
      <c r="B30" t="s">
        <v>337</v>
      </c>
      <c r="C30" s="107">
        <v>23350.400000000001</v>
      </c>
      <c r="D30" s="76">
        <f t="shared" si="0"/>
        <v>4.2558891289982803E-2</v>
      </c>
      <c r="F30" s="109">
        <v>17.420000000000002</v>
      </c>
      <c r="G30" s="76">
        <f t="shared" si="1"/>
        <v>-4.5714285714284486E-3</v>
      </c>
    </row>
    <row r="31" spans="2:21" x14ac:dyDescent="0.3">
      <c r="B31" t="s">
        <v>336</v>
      </c>
      <c r="C31" s="107">
        <v>23519.35</v>
      </c>
      <c r="D31" s="76">
        <f t="shared" si="0"/>
        <v>7.2354220912702605E-3</v>
      </c>
      <c r="F31" s="109">
        <v>17.28</v>
      </c>
      <c r="G31" s="76">
        <f t="shared" si="1"/>
        <v>-8.036739380023028E-3</v>
      </c>
    </row>
    <row r="32" spans="2:21" x14ac:dyDescent="0.3">
      <c r="B32" t="s">
        <v>335</v>
      </c>
      <c r="C32" s="107">
        <v>22904.45</v>
      </c>
      <c r="D32" s="76">
        <f t="shared" si="0"/>
        <v>-2.6144430011883713E-2</v>
      </c>
      <c r="F32" s="109">
        <v>15.77</v>
      </c>
      <c r="G32" s="76">
        <f t="shared" si="1"/>
        <v>-8.73842592592593E-2</v>
      </c>
    </row>
    <row r="33" spans="2:7" x14ac:dyDescent="0.3">
      <c r="B33" t="s">
        <v>334</v>
      </c>
      <c r="C33" s="107">
        <v>22828.55</v>
      </c>
      <c r="D33" s="76">
        <f t="shared" si="0"/>
        <v>-3.3137665388167648E-3</v>
      </c>
      <c r="F33" s="109">
        <v>16.05</v>
      </c>
      <c r="G33" s="76">
        <f t="shared" si="1"/>
        <v>1.775523145212432E-2</v>
      </c>
    </row>
    <row r="34" spans="2:7" x14ac:dyDescent="0.3">
      <c r="B34" t="s">
        <v>333</v>
      </c>
      <c r="C34" s="107">
        <v>23851.65</v>
      </c>
      <c r="D34" s="76">
        <f t="shared" si="0"/>
        <v>4.4816687875489425E-2</v>
      </c>
      <c r="F34" s="109">
        <v>15.35</v>
      </c>
      <c r="G34" s="76">
        <f t="shared" si="1"/>
        <v>-4.361370716510915E-2</v>
      </c>
    </row>
    <row r="35" spans="2:7" x14ac:dyDescent="0.3">
      <c r="B35" t="s">
        <v>332</v>
      </c>
      <c r="C35" s="107">
        <v>24039.35</v>
      </c>
      <c r="D35" s="76">
        <f t="shared" si="0"/>
        <v>7.86947653516612E-3</v>
      </c>
      <c r="F35" s="109">
        <v>16.55</v>
      </c>
      <c r="G35" s="76">
        <f t="shared" si="1"/>
        <v>7.8175895765472347E-2</v>
      </c>
    </row>
    <row r="36" spans="2:7" x14ac:dyDescent="0.3">
      <c r="B36" t="s">
        <v>331</v>
      </c>
      <c r="C36" s="107">
        <v>24346.7</v>
      </c>
      <c r="D36" s="76">
        <f t="shared" si="0"/>
        <v>1.2785287455775673E-2</v>
      </c>
      <c r="F36" s="109">
        <v>17</v>
      </c>
      <c r="G36" s="76">
        <f t="shared" si="1"/>
        <v>2.7190332326283873E-2</v>
      </c>
    </row>
    <row r="37" spans="2:7" x14ac:dyDescent="0.3">
      <c r="B37" t="s">
        <v>330</v>
      </c>
      <c r="C37" s="107">
        <v>24008</v>
      </c>
      <c r="D37" s="76">
        <f t="shared" si="0"/>
        <v>-1.391153626569519E-2</v>
      </c>
      <c r="F37" s="109">
        <v>16.63</v>
      </c>
      <c r="G37" s="76">
        <f t="shared" si="1"/>
        <v>-2.1764705882353019E-2</v>
      </c>
    </row>
    <row r="38" spans="2:7" x14ac:dyDescent="0.3">
      <c r="B38" t="s">
        <v>329</v>
      </c>
      <c r="C38" s="107">
        <v>25019.8</v>
      </c>
      <c r="D38" s="76">
        <f t="shared" si="0"/>
        <v>4.2144285238253865E-2</v>
      </c>
      <c r="F38" s="109">
        <v>17.41</v>
      </c>
      <c r="G38" s="76">
        <f t="shared" si="1"/>
        <v>4.6903187011425151E-2</v>
      </c>
    </row>
    <row r="39" spans="2:7" x14ac:dyDescent="0.3">
      <c r="B39" t="s">
        <v>328</v>
      </c>
      <c r="C39" s="107">
        <v>24853.15</v>
      </c>
      <c r="D39" s="76">
        <f t="shared" si="0"/>
        <v>-6.660724706032739E-3</v>
      </c>
      <c r="F39" s="109">
        <v>17.22</v>
      </c>
      <c r="G39" s="76">
        <f t="shared" si="1"/>
        <v>-1.0913268236645735E-2</v>
      </c>
    </row>
    <row r="40" spans="2:7" x14ac:dyDescent="0.3">
      <c r="B40" t="s">
        <v>327</v>
      </c>
      <c r="C40" s="107">
        <v>24750.7</v>
      </c>
      <c r="D40" s="76">
        <f t="shared" si="0"/>
        <v>-4.1222138843567402E-3</v>
      </c>
      <c r="F40" s="109">
        <v>17.54</v>
      </c>
      <c r="G40" s="76">
        <f t="shared" si="1"/>
        <v>1.8583042973286945E-2</v>
      </c>
    </row>
    <row r="41" spans="2:7" x14ac:dyDescent="0.3">
      <c r="B41" t="s">
        <v>326</v>
      </c>
      <c r="C41" s="107">
        <v>25003.05</v>
      </c>
      <c r="D41" s="76">
        <f t="shared" si="0"/>
        <v>1.0195671233540704E-2</v>
      </c>
      <c r="F41" s="109">
        <v>17.55</v>
      </c>
      <c r="G41" s="76">
        <f t="shared" si="1"/>
        <v>5.7012542759427021E-4</v>
      </c>
    </row>
    <row r="42" spans="2:7" x14ac:dyDescent="0.3">
      <c r="B42" t="s">
        <v>325</v>
      </c>
      <c r="C42" s="107">
        <v>24718.6</v>
      </c>
      <c r="D42" s="76">
        <f t="shared" si="0"/>
        <v>-1.1376612053329516E-2</v>
      </c>
      <c r="F42" s="109">
        <v>17.760000000000002</v>
      </c>
      <c r="G42" s="76">
        <f t="shared" si="1"/>
        <v>1.1965811965811923E-2</v>
      </c>
    </row>
    <row r="43" spans="2:7" x14ac:dyDescent="0.3">
      <c r="B43" t="s">
        <v>324</v>
      </c>
      <c r="C43" s="107">
        <v>25112.400000000001</v>
      </c>
      <c r="D43" s="76">
        <f t="shared" si="0"/>
        <v>1.5931322971365791E-2</v>
      </c>
      <c r="F43" s="109">
        <v>17.05</v>
      </c>
      <c r="G43" s="76">
        <f t="shared" si="1"/>
        <v>-3.9977477477477485E-2</v>
      </c>
    </row>
    <row r="44" spans="2:7" x14ac:dyDescent="0.3">
      <c r="B44" t="s">
        <v>323</v>
      </c>
      <c r="C44" s="107">
        <v>25637.8</v>
      </c>
      <c r="D44" s="76">
        <f t="shared" si="0"/>
        <v>2.092193498032846E-2</v>
      </c>
      <c r="F44" s="109">
        <v>17.86</v>
      </c>
      <c r="G44" s="76">
        <f t="shared" si="1"/>
        <v>4.7507331378298989E-2</v>
      </c>
    </row>
    <row r="45" spans="2:7" x14ac:dyDescent="0.3">
      <c r="B45" t="s">
        <v>322</v>
      </c>
      <c r="C45" s="107">
        <v>25461</v>
      </c>
      <c r="D45" s="76">
        <f t="shared" si="0"/>
        <v>-6.8960675252947023E-3</v>
      </c>
      <c r="F45" s="109">
        <v>18.28</v>
      </c>
      <c r="G45" s="76">
        <f t="shared" si="1"/>
        <v>2.3516237402015694E-2</v>
      </c>
    </row>
    <row r="46" spans="2:7" x14ac:dyDescent="0.3">
      <c r="B46" t="s">
        <v>321</v>
      </c>
      <c r="C46" s="107">
        <v>25149.85</v>
      </c>
      <c r="D46" s="76">
        <f t="shared" si="0"/>
        <v>-1.2220651192019205E-2</v>
      </c>
      <c r="F46" s="109">
        <v>17.54</v>
      </c>
      <c r="G46" s="76">
        <f t="shared" si="1"/>
        <v>-4.0481400437636816E-2</v>
      </c>
    </row>
    <row r="47" spans="2:7" x14ac:dyDescent="0.3">
      <c r="B47" t="s">
        <v>320</v>
      </c>
      <c r="C47" s="107">
        <v>24968.400000000001</v>
      </c>
      <c r="D47" s="76">
        <f t="shared" si="0"/>
        <v>-7.214754759968578E-3</v>
      </c>
      <c r="F47" s="109">
        <v>17.559999999999999</v>
      </c>
      <c r="G47" s="76">
        <f t="shared" si="1"/>
        <v>1.1402508551880963E-3</v>
      </c>
    </row>
    <row r="48" spans="2:7" x14ac:dyDescent="0.3">
      <c r="B48" t="s">
        <v>319</v>
      </c>
      <c r="C48" s="107">
        <v>24837</v>
      </c>
      <c r="D48" s="76">
        <f t="shared" si="0"/>
        <v>-5.2626519921180615E-3</v>
      </c>
      <c r="F48" s="109">
        <v>16.75</v>
      </c>
      <c r="G48" s="76">
        <f t="shared" si="1"/>
        <v>-4.6127562642368947E-2</v>
      </c>
    </row>
    <row r="49" spans="2:7" x14ac:dyDescent="0.3">
      <c r="B49" t="s">
        <v>318</v>
      </c>
      <c r="C49" s="107">
        <v>24565.35</v>
      </c>
      <c r="D49" s="76">
        <f t="shared" si="0"/>
        <v>-1.0937311269477057E-2</v>
      </c>
      <c r="F49" s="109">
        <v>15.82</v>
      </c>
      <c r="G49" s="76">
        <f t="shared" si="1"/>
        <v>-5.5522388059701444E-2</v>
      </c>
    </row>
    <row r="50" spans="2:7" x14ac:dyDescent="0.3">
      <c r="B50" t="s">
        <v>317</v>
      </c>
      <c r="C50" s="107">
        <v>24363.3</v>
      </c>
      <c r="D50" s="76">
        <f t="shared" si="0"/>
        <v>-8.2249998473459263E-3</v>
      </c>
      <c r="F50" s="109">
        <v>15.42</v>
      </c>
      <c r="G50" s="76">
        <f t="shared" si="1"/>
        <v>-2.5284450063211117E-2</v>
      </c>
    </row>
    <row r="51" spans="2:7" x14ac:dyDescent="0.3">
      <c r="B51" t="s">
        <v>316</v>
      </c>
      <c r="C51" s="107">
        <v>24631.3</v>
      </c>
      <c r="D51" s="76">
        <f t="shared" si="0"/>
        <v>1.100015186776826E-2</v>
      </c>
      <c r="F51" s="109">
        <v>15.97</v>
      </c>
      <c r="G51" s="76">
        <f t="shared" si="1"/>
        <v>3.5667963683527981E-2</v>
      </c>
    </row>
    <row r="52" spans="2:7" x14ac:dyDescent="0.3">
      <c r="B52" t="s">
        <v>315</v>
      </c>
      <c r="C52" s="107">
        <v>24870.1</v>
      </c>
      <c r="D52" s="76">
        <f t="shared" si="0"/>
        <v>9.6949815884666002E-3</v>
      </c>
      <c r="F52" s="109">
        <v>16.72</v>
      </c>
      <c r="G52" s="76">
        <f t="shared" si="1"/>
        <v>4.6963055729492664E-2</v>
      </c>
    </row>
    <row r="53" spans="2:7" x14ac:dyDescent="0.3">
      <c r="B53" t="s">
        <v>314</v>
      </c>
      <c r="C53" s="107">
        <v>24426.85</v>
      </c>
      <c r="D53" s="76">
        <f t="shared" si="0"/>
        <v>-1.7822606262138052E-2</v>
      </c>
      <c r="F53" s="109">
        <v>16.22</v>
      </c>
      <c r="G53" s="76">
        <f t="shared" si="1"/>
        <v>-2.9904306220095656E-2</v>
      </c>
    </row>
    <row r="54" spans="2:7" x14ac:dyDescent="0.3">
      <c r="B54" t="s">
        <v>313</v>
      </c>
      <c r="C54" s="107">
        <v>24741</v>
      </c>
      <c r="D54" s="76">
        <f t="shared" si="0"/>
        <v>1.2860847796584585E-2</v>
      </c>
      <c r="F54" s="109">
        <v>15.8</v>
      </c>
      <c r="G54" s="76">
        <f t="shared" si="1"/>
        <v>-2.5893958076448675E-2</v>
      </c>
    </row>
    <row r="55" spans="2:7" x14ac:dyDescent="0.3">
      <c r="B55" t="s">
        <v>312</v>
      </c>
      <c r="C55" s="107">
        <v>25114</v>
      </c>
      <c r="D55" s="76">
        <f t="shared" si="0"/>
        <v>1.5076189321369338E-2</v>
      </c>
      <c r="F55" s="109">
        <v>16.36</v>
      </c>
      <c r="G55" s="76">
        <f t="shared" si="1"/>
        <v>3.5443037974683511E-2</v>
      </c>
    </row>
    <row r="56" spans="2:7" x14ac:dyDescent="0.3">
      <c r="B56" t="s">
        <v>311</v>
      </c>
      <c r="C56" s="107">
        <v>25327.05</v>
      </c>
      <c r="D56" s="76">
        <f t="shared" si="0"/>
        <v>8.4833160786812467E-3</v>
      </c>
      <c r="F56" s="109">
        <v>16.36</v>
      </c>
      <c r="G56" s="76">
        <f t="shared" si="1"/>
        <v>0</v>
      </c>
    </row>
    <row r="57" spans="2:7" x14ac:dyDescent="0.3">
      <c r="B57" t="s">
        <v>310</v>
      </c>
      <c r="C57" s="107">
        <v>24654.7</v>
      </c>
      <c r="D57" s="76">
        <f t="shared" si="0"/>
        <v>-2.6546715863079107E-2</v>
      </c>
      <c r="F57" s="109">
        <v>15.93</v>
      </c>
      <c r="G57" s="76">
        <f t="shared" si="1"/>
        <v>-2.6283618581907087E-2</v>
      </c>
    </row>
    <row r="58" spans="2:7" x14ac:dyDescent="0.3">
      <c r="B58" t="s">
        <v>309</v>
      </c>
      <c r="C58" s="107">
        <v>24894.25</v>
      </c>
      <c r="D58" s="76">
        <f t="shared" si="0"/>
        <v>9.7162001565624934E-3</v>
      </c>
      <c r="F58" s="109">
        <v>15.65</v>
      </c>
      <c r="G58" s="76">
        <f t="shared" si="1"/>
        <v>-1.7576898932831098E-2</v>
      </c>
    </row>
    <row r="59" spans="2:7" x14ac:dyDescent="0.3">
      <c r="B59" t="s">
        <v>308</v>
      </c>
      <c r="C59" s="107">
        <v>25285.35</v>
      </c>
      <c r="D59" s="76">
        <f t="shared" si="0"/>
        <v>1.5710455225604214E-2</v>
      </c>
      <c r="F59" s="109">
        <v>15.99</v>
      </c>
      <c r="G59" s="76">
        <f t="shared" si="1"/>
        <v>2.1725239616613434E-2</v>
      </c>
    </row>
    <row r="60" spans="2:7" x14ac:dyDescent="0.3">
      <c r="B60" t="s">
        <v>307</v>
      </c>
      <c r="C60" s="107">
        <v>25709.85</v>
      </c>
      <c r="D60" s="76">
        <f t="shared" si="0"/>
        <v>1.6788377459675319E-2</v>
      </c>
      <c r="F60" s="109">
        <v>15.75</v>
      </c>
      <c r="G60" s="76">
        <f t="shared" si="1"/>
        <v>-1.5009380863039379E-2</v>
      </c>
    </row>
    <row r="61" spans="2:7" x14ac:dyDescent="0.3">
      <c r="B61" t="s">
        <v>306</v>
      </c>
      <c r="C61" s="107">
        <v>25795.15</v>
      </c>
      <c r="D61" s="76">
        <f t="shared" si="0"/>
        <v>3.3177945417808274E-3</v>
      </c>
      <c r="F61" s="109">
        <v>16.86</v>
      </c>
      <c r="G61" s="76">
        <f t="shared" si="1"/>
        <v>7.0476190476190359E-2</v>
      </c>
    </row>
    <row r="62" spans="2:7" x14ac:dyDescent="0.3">
      <c r="B62" t="s">
        <v>305</v>
      </c>
      <c r="C62" s="107">
        <v>25722.1</v>
      </c>
      <c r="D62" s="76">
        <f t="shared" si="0"/>
        <v>-2.8319277073404203E-3</v>
      </c>
      <c r="F62" s="109">
        <v>16.22</v>
      </c>
      <c r="G62" s="76">
        <f t="shared" si="1"/>
        <v>-3.7959667852906276E-2</v>
      </c>
    </row>
    <row r="63" spans="2:7" x14ac:dyDescent="0.3">
      <c r="B63" t="s">
        <v>304</v>
      </c>
      <c r="C63" s="107">
        <v>25492.3</v>
      </c>
      <c r="D63" s="76">
        <f t="shared" si="0"/>
        <v>-8.9339517379996014E-3</v>
      </c>
      <c r="F63" s="109">
        <v>16.149999999999999</v>
      </c>
      <c r="G63" s="76">
        <f t="shared" si="1"/>
        <v>-4.3156596794081681E-3</v>
      </c>
    </row>
    <row r="64" spans="2:7" x14ac:dyDescent="0.3">
      <c r="B64" t="s">
        <v>303</v>
      </c>
      <c r="C64" s="107">
        <v>25910.05</v>
      </c>
      <c r="D64" s="76">
        <f t="shared" si="0"/>
        <v>1.6387301263518728E-2</v>
      </c>
      <c r="F64" s="109">
        <v>16.3</v>
      </c>
      <c r="G64" s="76">
        <f t="shared" si="1"/>
        <v>9.2879256965945345E-3</v>
      </c>
    </row>
    <row r="65" spans="2:7" x14ac:dyDescent="0.3">
      <c r="B65" t="s">
        <v>302</v>
      </c>
      <c r="C65" s="107">
        <v>26068.15</v>
      </c>
      <c r="D65" s="76">
        <f t="shared" si="0"/>
        <v>6.1018793865701415E-3</v>
      </c>
      <c r="F65" s="109">
        <v>17.329999999999998</v>
      </c>
      <c r="G65" s="76">
        <f t="shared" si="1"/>
        <v>6.3190184049079612E-2</v>
      </c>
    </row>
    <row r="66" spans="2:7" x14ac:dyDescent="0.3">
      <c r="B66" t="s">
        <v>301</v>
      </c>
      <c r="C66" s="107">
        <v>26202.95</v>
      </c>
      <c r="D66" s="76">
        <f t="shared" si="0"/>
        <v>5.1710612375637233E-3</v>
      </c>
      <c r="F66" s="109">
        <v>17.11</v>
      </c>
      <c r="G66" s="76">
        <f t="shared" si="1"/>
        <v>-1.2694748990190408E-2</v>
      </c>
    </row>
    <row r="67" spans="2:7" x14ac:dyDescent="0.3">
      <c r="B67" t="s">
        <v>300</v>
      </c>
      <c r="C67" s="107">
        <v>26186.45</v>
      </c>
      <c r="D67" s="76">
        <f t="shared" si="0"/>
        <v>-6.297000910202577E-4</v>
      </c>
      <c r="F67" s="109">
        <v>17.690000000000001</v>
      </c>
      <c r="G67" s="76">
        <f t="shared" si="1"/>
        <v>3.3898305084745894E-2</v>
      </c>
    </row>
    <row r="68" spans="2:7" x14ac:dyDescent="0.3">
      <c r="B68" t="s">
        <v>299</v>
      </c>
      <c r="C68" s="107">
        <v>26046.95</v>
      </c>
      <c r="D68" s="76">
        <f t="shared" si="0"/>
        <v>-5.3271825696113995E-3</v>
      </c>
      <c r="F68" s="109">
        <v>17.399999999999999</v>
      </c>
      <c r="G68" s="76">
        <f t="shared" si="1"/>
        <v>-1.6393442622950949E-2</v>
      </c>
    </row>
    <row r="69" spans="2:7" x14ac:dyDescent="0.3">
      <c r="B69" t="s">
        <v>298</v>
      </c>
      <c r="C69" s="107">
        <v>25966.400000000001</v>
      </c>
      <c r="D69" s="76">
        <f t="shared" si="0"/>
        <v>-3.0924925951022475E-3</v>
      </c>
      <c r="F69" s="109">
        <v>19.79</v>
      </c>
      <c r="G69" s="76">
        <f t="shared" si="1"/>
        <v>0.13735632183908053</v>
      </c>
    </row>
    <row r="70" spans="2:7" x14ac:dyDescent="0.3">
      <c r="B70" t="s">
        <v>297</v>
      </c>
      <c r="C70" s="107">
        <v>26042.3</v>
      </c>
      <c r="D70" s="76">
        <f t="shared" si="0"/>
        <v>2.9230081952060782E-3</v>
      </c>
      <c r="F70" s="109">
        <v>18.39</v>
      </c>
      <c r="G70" s="76">
        <f t="shared" si="1"/>
        <v>-7.0742799393633038E-2</v>
      </c>
    </row>
    <row r="71" spans="2:7" x14ac:dyDescent="0.3">
      <c r="B71" t="s">
        <v>296</v>
      </c>
      <c r="C71" s="107">
        <v>26328.55</v>
      </c>
      <c r="D71" s="76">
        <f t="shared" si="0"/>
        <v>1.0991732681061128E-2</v>
      </c>
      <c r="F71" s="109">
        <v>17.77</v>
      </c>
      <c r="G71" s="76">
        <f t="shared" si="1"/>
        <v>-3.3713974986405715E-2</v>
      </c>
    </row>
    <row r="72" spans="2:7" x14ac:dyDescent="0.3">
      <c r="B72" t="s">
        <v>295</v>
      </c>
      <c r="C72" s="107">
        <v>25683.3</v>
      </c>
      <c r="D72" s="76">
        <f t="shared" si="0"/>
        <v>-2.4507616256877029E-2</v>
      </c>
      <c r="F72" s="109">
        <v>17.45</v>
      </c>
      <c r="G72" s="76">
        <f t="shared" si="1"/>
        <v>-1.8007878446820502E-2</v>
      </c>
    </row>
    <row r="73" spans="2:7" x14ac:dyDescent="0.3">
      <c r="B73" t="s">
        <v>294</v>
      </c>
      <c r="C73" s="107">
        <v>25694.35</v>
      </c>
      <c r="D73" s="76">
        <f t="shared" ref="D73:D111" si="2">C73/C72-1</f>
        <v>4.3024066222008273E-4</v>
      </c>
      <c r="F73" s="109">
        <v>18.239999999999998</v>
      </c>
      <c r="G73" s="76">
        <f t="shared" ref="G73:G111" si="3">F73/F72-1</f>
        <v>4.5272206303724971E-2</v>
      </c>
    </row>
    <row r="74" spans="2:7" x14ac:dyDescent="0.3">
      <c r="B74" t="s">
        <v>293</v>
      </c>
      <c r="C74" s="107">
        <v>25048.65</v>
      </c>
      <c r="D74" s="76">
        <f t="shared" si="2"/>
        <v>-2.5130038315816394E-2</v>
      </c>
      <c r="F74" s="109">
        <v>17.850000000000001</v>
      </c>
      <c r="G74" s="76">
        <f t="shared" si="3"/>
        <v>-2.1381578947368252E-2</v>
      </c>
    </row>
    <row r="75" spans="2:7" x14ac:dyDescent="0.3">
      <c r="B75" t="s">
        <v>292</v>
      </c>
      <c r="C75" s="107">
        <v>24825.45</v>
      </c>
      <c r="D75" s="76">
        <f t="shared" si="2"/>
        <v>-8.9106598559204331E-3</v>
      </c>
      <c r="F75" s="109">
        <v>17.21</v>
      </c>
      <c r="G75" s="76">
        <f t="shared" si="3"/>
        <v>-3.5854341736694662E-2</v>
      </c>
    </row>
    <row r="76" spans="2:7" x14ac:dyDescent="0.3">
      <c r="B76" t="s">
        <v>291</v>
      </c>
      <c r="C76" s="107">
        <v>25693.7</v>
      </c>
      <c r="D76" s="76">
        <f t="shared" si="2"/>
        <v>3.4974189793135713E-2</v>
      </c>
      <c r="F76" s="109">
        <v>16.48</v>
      </c>
      <c r="G76" s="76">
        <f t="shared" si="3"/>
        <v>-4.2417199302731023E-2</v>
      </c>
    </row>
    <row r="77" spans="2:7" x14ac:dyDescent="0.3">
      <c r="B77" t="s">
        <v>290</v>
      </c>
      <c r="C77" s="107">
        <v>25471.1</v>
      </c>
      <c r="D77" s="76">
        <f t="shared" si="2"/>
        <v>-8.6636023616685209E-3</v>
      </c>
      <c r="F77" s="109">
        <v>14.41</v>
      </c>
      <c r="G77" s="76">
        <f t="shared" si="3"/>
        <v>-0.12560679611650483</v>
      </c>
    </row>
    <row r="78" spans="2:7" x14ac:dyDescent="0.3">
      <c r="B78" t="s">
        <v>289</v>
      </c>
      <c r="C78" s="107">
        <v>25571.25</v>
      </c>
      <c r="D78" s="76">
        <f t="shared" si="2"/>
        <v>3.9319071418195684E-3</v>
      </c>
      <c r="F78" s="109">
        <v>14.34</v>
      </c>
      <c r="G78" s="76">
        <f t="shared" si="3"/>
        <v>-4.8577376821651308E-3</v>
      </c>
    </row>
    <row r="79" spans="2:7" x14ac:dyDescent="0.3">
      <c r="B79" t="s">
        <v>288</v>
      </c>
      <c r="C79" s="107">
        <v>25178.65</v>
      </c>
      <c r="D79" s="76">
        <f t="shared" si="2"/>
        <v>-1.5353179840641329E-2</v>
      </c>
      <c r="F79" s="109">
        <v>14.13</v>
      </c>
      <c r="G79" s="76">
        <f t="shared" si="3"/>
        <v>-1.4644351464435101E-2</v>
      </c>
    </row>
    <row r="80" spans="2:7" x14ac:dyDescent="0.3">
      <c r="B80" t="s">
        <v>287</v>
      </c>
      <c r="C80" s="107">
        <v>24450.45</v>
      </c>
      <c r="D80" s="76">
        <f t="shared" si="2"/>
        <v>-2.892132818876314E-2</v>
      </c>
      <c r="F80" s="109">
        <v>14.13</v>
      </c>
      <c r="G80" s="76">
        <f t="shared" si="3"/>
        <v>0</v>
      </c>
    </row>
    <row r="81" spans="2:7" x14ac:dyDescent="0.3">
      <c r="B81" t="s">
        <v>286</v>
      </c>
      <c r="C81" s="107">
        <v>23151.1</v>
      </c>
      <c r="D81" s="76">
        <f t="shared" si="2"/>
        <v>-5.3142171207482991E-2</v>
      </c>
      <c r="F81" s="109">
        <v>12.99</v>
      </c>
      <c r="G81" s="76">
        <f t="shared" si="3"/>
        <v>-8.0679405520169833E-2</v>
      </c>
    </row>
    <row r="82" spans="2:7" x14ac:dyDescent="0.3">
      <c r="B82" t="s">
        <v>285</v>
      </c>
      <c r="C82" s="107">
        <v>23114.5</v>
      </c>
      <c r="D82" s="76">
        <f t="shared" si="2"/>
        <v>-1.5809184012853805E-3</v>
      </c>
      <c r="F82" s="109">
        <v>12.84</v>
      </c>
      <c r="G82" s="76">
        <f t="shared" si="3"/>
        <v>-1.1547344110854563E-2</v>
      </c>
    </row>
    <row r="83" spans="2:7" x14ac:dyDescent="0.3">
      <c r="B83" t="s">
        <v>284</v>
      </c>
      <c r="C83" s="107">
        <v>22819.599999999999</v>
      </c>
      <c r="D83" s="76">
        <f t="shared" si="2"/>
        <v>-1.275822535637805E-2</v>
      </c>
      <c r="F83" s="109">
        <v>12.56</v>
      </c>
      <c r="G83" s="76">
        <f t="shared" si="3"/>
        <v>-2.180685358255452E-2</v>
      </c>
    </row>
    <row r="84" spans="2:7" x14ac:dyDescent="0.3">
      <c r="B84" t="s">
        <v>283</v>
      </c>
      <c r="C84" s="107">
        <v>22713.1</v>
      </c>
      <c r="D84" s="76">
        <f t="shared" si="2"/>
        <v>-4.6670406142088616E-3</v>
      </c>
      <c r="F84" s="109">
        <v>13.45</v>
      </c>
      <c r="G84" s="76">
        <f t="shared" si="3"/>
        <v>7.0859872611464869E-2</v>
      </c>
    </row>
    <row r="85" spans="2:7" x14ac:dyDescent="0.3">
      <c r="B85" t="s">
        <v>282</v>
      </c>
      <c r="C85" s="107">
        <v>24050.6</v>
      </c>
      <c r="D85" s="76">
        <f t="shared" si="2"/>
        <v>5.8886721759689342E-2</v>
      </c>
      <c r="F85" s="109">
        <v>13.01</v>
      </c>
      <c r="G85" s="76">
        <f t="shared" si="3"/>
        <v>-3.2713754646840121E-2</v>
      </c>
    </row>
    <row r="86" spans="2:7" x14ac:dyDescent="0.3">
      <c r="B86" t="s">
        <v>281</v>
      </c>
      <c r="C86" s="107">
        <v>24353.55</v>
      </c>
      <c r="D86" s="76">
        <f t="shared" si="2"/>
        <v>1.2596359342386565E-2</v>
      </c>
      <c r="F86" s="109">
        <v>14.15</v>
      </c>
      <c r="G86" s="76">
        <f t="shared" si="3"/>
        <v>8.7624903920061614E-2</v>
      </c>
    </row>
    <row r="87" spans="2:7" x14ac:dyDescent="0.3">
      <c r="B87" t="s">
        <v>280</v>
      </c>
      <c r="C87" s="107">
        <v>23897.95</v>
      </c>
      <c r="D87" s="76">
        <f t="shared" si="2"/>
        <v>-1.8707744866764742E-2</v>
      </c>
      <c r="F87" s="109">
        <v>12.59</v>
      </c>
      <c r="G87" s="76">
        <f t="shared" si="3"/>
        <v>-0.11024734982332163</v>
      </c>
    </row>
    <row r="88" spans="2:7" x14ac:dyDescent="0.3">
      <c r="B88" t="s">
        <v>279</v>
      </c>
      <c r="C88" s="107">
        <v>23997.55</v>
      </c>
      <c r="D88" s="76">
        <f t="shared" si="2"/>
        <v>4.167721499124255E-3</v>
      </c>
      <c r="F88" s="109">
        <v>12.22</v>
      </c>
      <c r="G88" s="76">
        <f t="shared" si="3"/>
        <v>-2.9388403494837068E-2</v>
      </c>
    </row>
    <row r="89" spans="2:7" x14ac:dyDescent="0.3">
      <c r="B89" t="s">
        <v>278</v>
      </c>
      <c r="C89" s="107">
        <v>24176.15</v>
      </c>
      <c r="D89" s="76">
        <f t="shared" si="2"/>
        <v>7.4424264143633234E-3</v>
      </c>
      <c r="F89" s="109">
        <v>12.56</v>
      </c>
      <c r="G89" s="76">
        <f t="shared" si="3"/>
        <v>2.7823240589198051E-2</v>
      </c>
    </row>
    <row r="90" spans="2:7" x14ac:dyDescent="0.3">
      <c r="B90" t="s">
        <v>277</v>
      </c>
      <c r="C90" s="107">
        <v>23643.5</v>
      </c>
      <c r="D90" s="76">
        <f t="shared" si="2"/>
        <v>-2.2032043977225579E-2</v>
      </c>
      <c r="F90" s="109">
        <v>11.81</v>
      </c>
      <c r="G90" s="76">
        <f t="shared" si="3"/>
        <v>-5.9713375796178303E-2</v>
      </c>
    </row>
    <row r="91" spans="2:7" x14ac:dyDescent="0.3">
      <c r="B91" t="s">
        <v>276</v>
      </c>
      <c r="C91" s="107">
        <v>23719.3</v>
      </c>
      <c r="D91" s="76">
        <f t="shared" si="2"/>
        <v>3.2059551250871454E-3</v>
      </c>
      <c r="F91" s="109">
        <v>12.4</v>
      </c>
      <c r="G91" s="76">
        <f t="shared" si="3"/>
        <v>4.9957662997459851E-2</v>
      </c>
    </row>
    <row r="92" spans="2:7" x14ac:dyDescent="0.3">
      <c r="B92" t="s">
        <v>275</v>
      </c>
      <c r="C92" s="107">
        <v>23547.75</v>
      </c>
      <c r="D92" s="76">
        <f t="shared" si="2"/>
        <v>-7.2325068615008981E-3</v>
      </c>
      <c r="F92" s="109">
        <v>12.38</v>
      </c>
      <c r="G92" s="76">
        <f t="shared" si="3"/>
        <v>-1.612903225806428E-3</v>
      </c>
    </row>
    <row r="93" spans="2:7" x14ac:dyDescent="0.3">
      <c r="B93" t="s">
        <v>274</v>
      </c>
      <c r="C93" s="107">
        <v>23366.7</v>
      </c>
      <c r="D93" s="76">
        <f t="shared" si="2"/>
        <v>-7.6886326719113329E-3</v>
      </c>
      <c r="F93" s="109">
        <v>12.14</v>
      </c>
      <c r="G93" s="76">
        <f t="shared" si="3"/>
        <v>-1.9386106623586419E-2</v>
      </c>
    </row>
    <row r="94" spans="2:7" x14ac:dyDescent="0.3">
      <c r="B94" t="s">
        <v>273</v>
      </c>
      <c r="C94" s="107">
        <v>23622.9</v>
      </c>
      <c r="D94" s="76">
        <f t="shared" si="2"/>
        <v>1.0964321020940027E-2</v>
      </c>
      <c r="F94" s="109">
        <v>11.74</v>
      </c>
      <c r="G94" s="76">
        <f t="shared" si="3"/>
        <v>-3.2948929159802298E-2</v>
      </c>
    </row>
    <row r="95" spans="2:7" x14ac:dyDescent="0.3">
      <c r="B95" t="s">
        <v>272</v>
      </c>
      <c r="C95" s="107">
        <v>24013.1</v>
      </c>
      <c r="D95" s="76">
        <f t="shared" si="2"/>
        <v>1.6517870371546062E-2</v>
      </c>
      <c r="F95" s="109">
        <v>10.57</v>
      </c>
      <c r="G95" s="76">
        <f t="shared" si="3"/>
        <v>-9.9659284497444656E-2</v>
      </c>
    </row>
    <row r="96" spans="2:7" x14ac:dyDescent="0.3">
      <c r="B96" t="s">
        <v>271</v>
      </c>
      <c r="C96" s="107">
        <v>24056</v>
      </c>
      <c r="D96" s="76">
        <f t="shared" si="2"/>
        <v>1.7865248551833801E-3</v>
      </c>
      <c r="F96" s="109">
        <v>10.78</v>
      </c>
      <c r="G96" s="76">
        <f t="shared" si="3"/>
        <v>1.9867549668874052E-2</v>
      </c>
    </row>
    <row r="97" spans="2:7" x14ac:dyDescent="0.3">
      <c r="B97" t="s">
        <v>270</v>
      </c>
      <c r="C97" s="107">
        <v>24270.85</v>
      </c>
      <c r="D97" s="76">
        <f t="shared" si="2"/>
        <v>8.9312437645492349E-3</v>
      </c>
      <c r="F97" s="109">
        <v>11.16</v>
      </c>
      <c r="G97" s="76">
        <f t="shared" si="3"/>
        <v>3.5250463821892453E-2</v>
      </c>
    </row>
    <row r="98" spans="2:7" x14ac:dyDescent="0.3">
      <c r="B98" t="s">
        <v>269</v>
      </c>
      <c r="C98" s="107">
        <v>24206.9</v>
      </c>
      <c r="D98" s="76">
        <f t="shared" si="2"/>
        <v>-2.6348479760699428E-3</v>
      </c>
      <c r="F98" s="109">
        <v>10.94</v>
      </c>
      <c r="G98" s="76">
        <f t="shared" si="3"/>
        <v>-1.9713261648745539E-2</v>
      </c>
    </row>
    <row r="99" spans="2:7" x14ac:dyDescent="0.3">
      <c r="B99" t="s">
        <v>268</v>
      </c>
      <c r="C99" s="107">
        <v>24334.3</v>
      </c>
      <c r="D99" s="76">
        <f t="shared" si="2"/>
        <v>5.262962213253175E-3</v>
      </c>
      <c r="F99" s="109">
        <v>11.49</v>
      </c>
      <c r="G99" s="76">
        <f t="shared" si="3"/>
        <v>5.0274223034735055E-2</v>
      </c>
    </row>
    <row r="100" spans="2:7" x14ac:dyDescent="0.3">
      <c r="B100" t="s">
        <v>267</v>
      </c>
      <c r="C100" s="107">
        <v>23767.45</v>
      </c>
      <c r="D100" s="76">
        <f t="shared" si="2"/>
        <v>-2.3294280090242925E-2</v>
      </c>
      <c r="F100" s="109">
        <v>11.11</v>
      </c>
      <c r="G100" s="76">
        <f t="shared" si="3"/>
        <v>-3.3072236727589299E-2</v>
      </c>
    </row>
    <row r="101" spans="2:7" x14ac:dyDescent="0.3">
      <c r="B101" t="s">
        <v>266</v>
      </c>
      <c r="C101" s="107">
        <v>24383.599999999999</v>
      </c>
      <c r="D101" s="76">
        <f t="shared" si="2"/>
        <v>2.5924110495656683E-2</v>
      </c>
      <c r="F101" s="109">
        <v>12.03</v>
      </c>
      <c r="G101" s="76">
        <f t="shared" si="3"/>
        <v>8.2808280828082781E-2</v>
      </c>
    </row>
    <row r="102" spans="2:7" x14ac:dyDescent="0.3">
      <c r="B102" t="s">
        <v>265</v>
      </c>
      <c r="C102" s="107">
        <v>24570.65</v>
      </c>
      <c r="D102" s="76">
        <f t="shared" si="2"/>
        <v>7.6711396184321323E-3</v>
      </c>
      <c r="F102" s="109">
        <v>12.53</v>
      </c>
      <c r="G102" s="76">
        <f t="shared" si="3"/>
        <v>4.1562759767248547E-2</v>
      </c>
    </row>
    <row r="103" spans="2:7" x14ac:dyDescent="0.3">
      <c r="B103" t="s">
        <v>264</v>
      </c>
      <c r="C103" s="107">
        <v>24366</v>
      </c>
      <c r="D103" s="76">
        <f t="shared" si="2"/>
        <v>-8.3290429842108882E-3</v>
      </c>
      <c r="F103" s="109">
        <v>12.09</v>
      </c>
      <c r="G103" s="76">
        <f t="shared" si="3"/>
        <v>-3.5115722266560234E-2</v>
      </c>
    </row>
    <row r="104" spans="2:7" x14ac:dyDescent="0.3">
      <c r="B104" t="s">
        <v>263</v>
      </c>
      <c r="C104" s="107">
        <v>24252</v>
      </c>
      <c r="D104" s="76">
        <f t="shared" si="2"/>
        <v>-4.6786505786752253E-3</v>
      </c>
      <c r="F104" s="109">
        <v>11.94</v>
      </c>
      <c r="G104" s="76">
        <f t="shared" si="3"/>
        <v>-1.2406947890818865E-2</v>
      </c>
    </row>
    <row r="105" spans="2:7" x14ac:dyDescent="0.3">
      <c r="B105" t="s">
        <v>262</v>
      </c>
      <c r="C105" s="107">
        <v>24175.65</v>
      </c>
      <c r="D105" s="76">
        <f t="shared" si="2"/>
        <v>-3.1481939633843936E-3</v>
      </c>
      <c r="F105" s="109">
        <v>12.05</v>
      </c>
      <c r="G105" s="76">
        <f t="shared" si="3"/>
        <v>9.2127303182580889E-3</v>
      </c>
    </row>
    <row r="106" spans="2:7" x14ac:dyDescent="0.3">
      <c r="B106" t="s">
        <v>261</v>
      </c>
      <c r="C106" s="107">
        <v>23897.7</v>
      </c>
      <c r="D106" s="76">
        <f t="shared" si="2"/>
        <v>-1.1497105558692322E-2</v>
      </c>
      <c r="F106" s="109">
        <v>11.7</v>
      </c>
      <c r="G106" s="76">
        <f t="shared" si="3"/>
        <v>-2.904564315352709E-2</v>
      </c>
    </row>
    <row r="107" spans="2:7" x14ac:dyDescent="0.3">
      <c r="B107" t="s">
        <v>260</v>
      </c>
      <c r="C107" s="107">
        <v>23398.1</v>
      </c>
      <c r="D107" s="76">
        <f t="shared" si="2"/>
        <v>-2.0905777543445692E-2</v>
      </c>
      <c r="F107" s="109">
        <v>11.07</v>
      </c>
      <c r="G107" s="76">
        <f t="shared" si="3"/>
        <v>-5.3846153846153766E-2</v>
      </c>
    </row>
    <row r="108" spans="2:7" x14ac:dyDescent="0.3">
      <c r="B108" t="s">
        <v>259</v>
      </c>
      <c r="C108" s="107">
        <v>23346.400000000001</v>
      </c>
      <c r="D108" s="76">
        <f t="shared" si="2"/>
        <v>-2.2095811198343807E-3</v>
      </c>
      <c r="F108" s="109">
        <v>10.82</v>
      </c>
      <c r="G108" s="76">
        <f t="shared" si="3"/>
        <v>-2.2583559168925071E-2</v>
      </c>
    </row>
    <row r="109" spans="2:7" x14ac:dyDescent="0.3">
      <c r="B109" t="s">
        <v>258</v>
      </c>
      <c r="C109" s="107">
        <v>23140.5</v>
      </c>
      <c r="D109" s="76">
        <f t="shared" si="2"/>
        <v>-8.8193468800329411E-3</v>
      </c>
      <c r="F109" s="109">
        <v>10.5</v>
      </c>
      <c r="G109" s="76">
        <f t="shared" si="3"/>
        <v>-2.957486136783738E-2</v>
      </c>
    </row>
    <row r="110" spans="2:7" x14ac:dyDescent="0.3">
      <c r="B110" t="s">
        <v>257</v>
      </c>
      <c r="C110" s="107">
        <v>22421.95</v>
      </c>
      <c r="D110" s="76">
        <f t="shared" si="2"/>
        <v>-3.1051619455067958E-2</v>
      </c>
      <c r="F110" s="109">
        <v>11.04</v>
      </c>
      <c r="G110" s="76">
        <f t="shared" si="3"/>
        <v>5.1428571428571379E-2</v>
      </c>
    </row>
    <row r="111" spans="2:7" x14ac:dyDescent="0.3">
      <c r="B111" t="s">
        <v>256</v>
      </c>
      <c r="C111" s="107">
        <v>22520.45</v>
      </c>
      <c r="D111" s="76">
        <f t="shared" si="2"/>
        <v>4.3930166644738922E-3</v>
      </c>
      <c r="F111" s="109">
        <v>10.8</v>
      </c>
      <c r="G111" s="76">
        <f t="shared" si="3"/>
        <v>-2.1739130434782483E-2</v>
      </c>
    </row>
  </sheetData>
  <mergeCells count="3">
    <mergeCell ref="B4:D4"/>
    <mergeCell ref="F4:G4"/>
    <mergeCell ref="I4:K4"/>
  </mergeCells>
  <pageMargins left="0.25" right="0.25" top="0.75" bottom="0.75" header="0.3" footer="0.3"/>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2B163-140E-45F2-9034-B6A2535BFA27}">
  <sheetPr>
    <tabColor rgb="FF002060"/>
  </sheetPr>
  <dimension ref="B2:F30"/>
  <sheetViews>
    <sheetView showGridLines="0" zoomScale="80" zoomScaleNormal="80" workbookViewId="0">
      <selection activeCell="H21" sqref="H21"/>
    </sheetView>
  </sheetViews>
  <sheetFormatPr defaultRowHeight="14.4" x14ac:dyDescent="0.3"/>
  <cols>
    <col min="1" max="1" width="1.88671875" customWidth="1"/>
    <col min="2" max="2" width="8.77734375" customWidth="1"/>
    <col min="5" max="5" width="18.88671875" bestFit="1" customWidth="1"/>
  </cols>
  <sheetData>
    <row r="2" spans="2:6" x14ac:dyDescent="0.3">
      <c r="B2" s="25" t="s">
        <v>245</v>
      </c>
      <c r="C2" s="101"/>
      <c r="D2" s="101"/>
      <c r="E2" s="101"/>
      <c r="F2" s="101"/>
    </row>
    <row r="4" spans="2:6" x14ac:dyDescent="0.3">
      <c r="B4" s="103" t="s">
        <v>246</v>
      </c>
      <c r="C4" s="104" t="s">
        <v>247</v>
      </c>
    </row>
    <row r="5" spans="2:6" x14ac:dyDescent="0.3">
      <c r="B5" s="102">
        <v>2000</v>
      </c>
      <c r="C5" s="76">
        <v>-0.14649999999999999</v>
      </c>
      <c r="E5" t="s">
        <v>248</v>
      </c>
      <c r="F5" s="18">
        <f>AVERAGE(C5:C30)</f>
        <v>0.1514923076923077</v>
      </c>
    </row>
    <row r="6" spans="2:6" x14ac:dyDescent="0.3">
      <c r="B6" s="102">
        <v>2001</v>
      </c>
      <c r="C6" s="76">
        <v>-0.1618</v>
      </c>
      <c r="E6" t="s">
        <v>249</v>
      </c>
      <c r="F6" s="105">
        <v>1.2999999999999999E-2</v>
      </c>
    </row>
    <row r="7" spans="2:6" x14ac:dyDescent="0.3">
      <c r="B7" s="102">
        <v>2002</v>
      </c>
      <c r="C7" s="76">
        <v>3.2500000000000001E-2</v>
      </c>
      <c r="E7" s="24" t="s">
        <v>250</v>
      </c>
      <c r="F7" s="106">
        <f>SUM(F5:F6)</f>
        <v>0.16449230769230772</v>
      </c>
    </row>
    <row r="8" spans="2:6" x14ac:dyDescent="0.3">
      <c r="B8" s="102">
        <v>2003</v>
      </c>
      <c r="C8" s="76">
        <v>0.71900000000000008</v>
      </c>
    </row>
    <row r="9" spans="2:6" x14ac:dyDescent="0.3">
      <c r="B9" s="102">
        <v>2004</v>
      </c>
      <c r="C9" s="76">
        <v>0.10679999999999999</v>
      </c>
    </row>
    <row r="10" spans="2:6" x14ac:dyDescent="0.3">
      <c r="B10" s="102">
        <v>2005</v>
      </c>
      <c r="C10" s="76">
        <v>0.36340000000000006</v>
      </c>
    </row>
    <row r="11" spans="2:6" x14ac:dyDescent="0.3">
      <c r="B11" s="102">
        <v>2006</v>
      </c>
      <c r="C11" s="76">
        <v>0.39829999999999999</v>
      </c>
    </row>
    <row r="12" spans="2:6" x14ac:dyDescent="0.3">
      <c r="B12" s="102">
        <v>2007</v>
      </c>
      <c r="C12" s="76">
        <v>0.54770000000000008</v>
      </c>
    </row>
    <row r="13" spans="2:6" x14ac:dyDescent="0.3">
      <c r="B13" s="102">
        <v>2008</v>
      </c>
      <c r="C13" s="76">
        <v>-0.51790000000000003</v>
      </c>
    </row>
    <row r="14" spans="2:6" x14ac:dyDescent="0.3">
      <c r="B14" s="102">
        <v>2009</v>
      </c>
      <c r="C14" s="76">
        <v>0.75760000000000005</v>
      </c>
    </row>
    <row r="15" spans="2:6" x14ac:dyDescent="0.3">
      <c r="B15" s="102">
        <v>2010</v>
      </c>
      <c r="C15" s="76">
        <v>0.17949999999999999</v>
      </c>
    </row>
    <row r="16" spans="2:6" x14ac:dyDescent="0.3">
      <c r="B16" s="102">
        <v>2011</v>
      </c>
      <c r="C16" s="76">
        <v>-0.2462</v>
      </c>
    </row>
    <row r="17" spans="2:3" x14ac:dyDescent="0.3">
      <c r="B17" s="102">
        <v>2012</v>
      </c>
      <c r="C17" s="76">
        <v>0.27699999999999997</v>
      </c>
    </row>
    <row r="18" spans="2:3" x14ac:dyDescent="0.3">
      <c r="B18" s="102">
        <v>2013</v>
      </c>
      <c r="C18" s="76">
        <v>6.7599999999999993E-2</v>
      </c>
    </row>
    <row r="19" spans="2:3" x14ac:dyDescent="0.3">
      <c r="B19" s="102">
        <v>2014</v>
      </c>
      <c r="C19" s="76">
        <v>0.31390000000000001</v>
      </c>
    </row>
    <row r="20" spans="2:3" x14ac:dyDescent="0.3">
      <c r="B20" s="102">
        <v>2015</v>
      </c>
      <c r="C20" s="76">
        <v>-4.0599999999999997E-2</v>
      </c>
    </row>
    <row r="21" spans="2:3" x14ac:dyDescent="0.3">
      <c r="B21" s="102">
        <v>2016</v>
      </c>
      <c r="C21" s="76">
        <v>3.0099999999999998E-2</v>
      </c>
    </row>
    <row r="22" spans="2:3" x14ac:dyDescent="0.3">
      <c r="B22" s="102">
        <v>2017</v>
      </c>
      <c r="C22" s="76">
        <v>0.28649999999999998</v>
      </c>
    </row>
    <row r="23" spans="2:3" x14ac:dyDescent="0.3">
      <c r="B23" s="102">
        <v>2018</v>
      </c>
      <c r="C23" s="76">
        <v>3.15E-2</v>
      </c>
    </row>
    <row r="24" spans="2:3" x14ac:dyDescent="0.3">
      <c r="B24" s="102">
        <v>2019</v>
      </c>
      <c r="C24" s="76">
        <v>0.1202</v>
      </c>
    </row>
    <row r="25" spans="2:3" x14ac:dyDescent="0.3">
      <c r="B25" s="102">
        <v>2020</v>
      </c>
      <c r="C25" s="76">
        <v>0.14899999999999999</v>
      </c>
    </row>
    <row r="26" spans="2:3" x14ac:dyDescent="0.3">
      <c r="B26" s="102">
        <v>2021</v>
      </c>
      <c r="C26" s="76">
        <v>0.2412</v>
      </c>
    </row>
    <row r="27" spans="2:3" x14ac:dyDescent="0.3">
      <c r="B27" s="102">
        <v>2022</v>
      </c>
      <c r="C27" s="76">
        <v>4.3200000000000002E-2</v>
      </c>
    </row>
    <row r="28" spans="2:3" x14ac:dyDescent="0.3">
      <c r="B28" s="102">
        <v>2023</v>
      </c>
      <c r="C28" s="76">
        <v>0.19420000000000001</v>
      </c>
    </row>
    <row r="29" spans="2:3" x14ac:dyDescent="0.3">
      <c r="B29" s="102">
        <v>2024</v>
      </c>
      <c r="C29" s="76">
        <v>8.7499999999999994E-2</v>
      </c>
    </row>
    <row r="30" spans="2:3" x14ac:dyDescent="0.3">
      <c r="B30" s="102">
        <v>2025</v>
      </c>
      <c r="C30" s="76">
        <v>0.1051</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D4A1C-A757-45D7-822E-683B49C2F63E}">
  <sheetPr>
    <tabColor rgb="FF002060"/>
  </sheetPr>
  <dimension ref="B2:L34"/>
  <sheetViews>
    <sheetView showGridLines="0" zoomScale="80" zoomScaleNormal="80" workbookViewId="0">
      <selection activeCell="P18" sqref="P17:P18"/>
    </sheetView>
  </sheetViews>
  <sheetFormatPr defaultRowHeight="14.4" x14ac:dyDescent="0.3"/>
  <cols>
    <col min="1" max="1" width="1.88671875" customWidth="1"/>
    <col min="2" max="2" width="22.44140625" customWidth="1"/>
  </cols>
  <sheetData>
    <row r="2" spans="2:12" x14ac:dyDescent="0.3">
      <c r="B2" s="233" t="str">
        <f>"Common Size Statement-"&amp;'Data Sheet &gt;'!B1</f>
        <v>Common Size Statement-INFOSYS LTD</v>
      </c>
      <c r="C2" s="233"/>
      <c r="D2" s="233"/>
      <c r="E2" s="233"/>
      <c r="F2" s="233"/>
      <c r="G2" s="233"/>
      <c r="H2" s="233"/>
      <c r="I2" s="233"/>
      <c r="J2" s="233"/>
      <c r="K2" s="233"/>
      <c r="L2" s="233"/>
    </row>
    <row r="3" spans="2:12" ht="3.6" customHeight="1" x14ac:dyDescent="0.3"/>
    <row r="4" spans="2:12" x14ac:dyDescent="0.3">
      <c r="B4" s="89" t="s">
        <v>243</v>
      </c>
      <c r="C4" s="90">
        <f>'Cash Flow   '!C3</f>
        <v>44651</v>
      </c>
      <c r="D4" s="90">
        <f>'Cash Flow   '!D3</f>
        <v>45016</v>
      </c>
      <c r="E4" s="90">
        <f>'Cash Flow   '!E3</f>
        <v>45382</v>
      </c>
      <c r="F4" s="90">
        <f>'Cash Flow   '!F3</f>
        <v>45747</v>
      </c>
      <c r="G4" s="90">
        <f>'Cash Flow   '!G3</f>
        <v>46112</v>
      </c>
      <c r="H4" s="91">
        <f>'Cash Flow   '!H3</f>
        <v>46477</v>
      </c>
      <c r="I4" s="91">
        <f>'Cash Flow   '!I3</f>
        <v>46842</v>
      </c>
      <c r="J4" s="91">
        <f>'Cash Flow   '!J3</f>
        <v>47207</v>
      </c>
      <c r="K4" s="91">
        <f>'Cash Flow   '!K3</f>
        <v>47572</v>
      </c>
      <c r="L4" s="91">
        <f>'Cash Flow   '!L3</f>
        <v>47937</v>
      </c>
    </row>
    <row r="5" spans="2:12" ht="3.6" customHeight="1" x14ac:dyDescent="0.3"/>
    <row r="6" spans="2:12" x14ac:dyDescent="0.3">
      <c r="B6" s="96" t="str">
        <f>'Income Statement '!B5</f>
        <v>Sales</v>
      </c>
      <c r="C6" s="97">
        <f>'Income Statement '!C5/'Income Statement '!C5</f>
        <v>1</v>
      </c>
      <c r="D6" s="97">
        <f>'Income Statement '!D5/'Income Statement '!D5</f>
        <v>1</v>
      </c>
      <c r="E6" s="97">
        <f>'Income Statement '!E5/'Income Statement '!E5</f>
        <v>1</v>
      </c>
      <c r="F6" s="97">
        <f>'Income Statement '!F5/'Income Statement '!F5</f>
        <v>1</v>
      </c>
      <c r="G6" s="97">
        <f>'Income Statement '!G5/'Income Statement '!G5</f>
        <v>1</v>
      </c>
      <c r="H6" s="97">
        <f>'Income Statement '!H5/'Income Statement '!H5</f>
        <v>1</v>
      </c>
      <c r="I6" s="97">
        <f>'Income Statement '!I5/'Income Statement '!I5</f>
        <v>1</v>
      </c>
      <c r="J6" s="97">
        <f>'Income Statement '!J5/'Income Statement '!J5</f>
        <v>1</v>
      </c>
      <c r="K6" s="97">
        <f>'Income Statement '!K5/'Income Statement '!K5</f>
        <v>1</v>
      </c>
      <c r="L6" s="97">
        <f>'Income Statement '!L5/'Income Statement '!L5</f>
        <v>1</v>
      </c>
    </row>
    <row r="7" spans="2:12" x14ac:dyDescent="0.3">
      <c r="B7" s="92" t="str">
        <f>'Income Statement '!B8</f>
        <v>COGS</v>
      </c>
      <c r="C7" s="93">
        <f>'Income Statement '!C8/'Income Statement '!C5</f>
        <v>0.17117583709440073</v>
      </c>
      <c r="D7" s="93">
        <f>'Income Statement '!D8/'Income Statement '!D5</f>
        <v>0.18059918101480579</v>
      </c>
      <c r="E7" s="93">
        <f>'Income Statement '!E8/'Income Statement '!E5</f>
        <v>0.1782651135550205</v>
      </c>
      <c r="F7" s="93">
        <f>'Income Statement '!F8/'Income Statement '!F5</f>
        <v>0.1878458801153445</v>
      </c>
      <c r="G7" s="93">
        <f>'Income Statement '!G8/'Income Statement '!G5</f>
        <v>0.18553036663867897</v>
      </c>
      <c r="H7" s="93">
        <f>'Income Statement '!H8/'Income Statement '!H5</f>
        <v>0.18068327568365011</v>
      </c>
      <c r="I7" s="93">
        <f>'Income Statement '!I8/'Income Statement '!I5</f>
        <v>0.18068327568365009</v>
      </c>
      <c r="J7" s="93">
        <f>'Income Statement '!J8/'Income Statement '!J5</f>
        <v>0.18068327568365011</v>
      </c>
      <c r="K7" s="93">
        <f>'Income Statement '!K8/'Income Statement '!K5</f>
        <v>0.18068327568365011</v>
      </c>
      <c r="L7" s="93">
        <f>'Income Statement '!L8/'Income Statement '!L5</f>
        <v>0.18068327568365011</v>
      </c>
    </row>
    <row r="8" spans="2:12" x14ac:dyDescent="0.3">
      <c r="B8" s="92" t="str">
        <f>'Income Statement '!B14</f>
        <v>Selling &amp; Other Expenses</v>
      </c>
      <c r="C8" s="93">
        <f>'Income Statement '!C14/'Income Statement '!C5</f>
        <v>0.56993941187593</v>
      </c>
      <c r="D8" s="93">
        <f>'Income Statement '!D14/'Income Statement '!D5</f>
        <v>0.58004183501740858</v>
      </c>
      <c r="E8" s="93">
        <f>'Income Statement '!E14/'Income Statement '!E5</f>
        <v>0.58470098262510573</v>
      </c>
      <c r="F8" s="93">
        <f>'Income Statement '!F14/'Income Statement '!F5</f>
        <v>0.57142769495061052</v>
      </c>
      <c r="G8" s="93">
        <f>'Income Statement '!G14/'Income Statement '!G5</f>
        <v>0.57780576546319617</v>
      </c>
      <c r="H8" s="93">
        <f>'Income Statement '!H14/'Income Statement '!H5</f>
        <v>0.57780576546319617</v>
      </c>
      <c r="I8" s="93">
        <f>'Income Statement '!I14/'Income Statement '!I5</f>
        <v>0.57780576546319617</v>
      </c>
      <c r="J8" s="93">
        <f>'Income Statement '!J14/'Income Statement '!J5</f>
        <v>0.57780576546319617</v>
      </c>
      <c r="K8" s="93">
        <f>'Income Statement '!K14/'Income Statement '!K5</f>
        <v>0.57780576546319617</v>
      </c>
      <c r="L8" s="93">
        <f>'Income Statement '!L14/'Income Statement '!L5</f>
        <v>0.57780576546319617</v>
      </c>
    </row>
    <row r="9" spans="2:12" x14ac:dyDescent="0.3">
      <c r="B9" s="92" t="str">
        <f>'Income Statement '!B17</f>
        <v>EBITDA</v>
      </c>
      <c r="C9" s="93">
        <f>'Income Statement '!C17/'Income Statement '!C5</f>
        <v>0.25888475102966929</v>
      </c>
      <c r="D9" s="93">
        <f>'Income Statement '!D17/'Income Statement '!D5</f>
        <v>0.23935898396778568</v>
      </c>
      <c r="E9" s="93">
        <f>'Income Statement '!E17/'Income Statement '!E5</f>
        <v>0.23703390381987374</v>
      </c>
      <c r="F9" s="93">
        <f>'Income Statement '!F17/'Income Statement '!F5</f>
        <v>0.24072642493404503</v>
      </c>
      <c r="G9" s="93">
        <f>'Income Statement '!G17/'Income Statement '!G5</f>
        <v>0.23666386789812482</v>
      </c>
      <c r="H9" s="93">
        <f>'Income Statement '!H17/'Income Statement '!H5</f>
        <v>0.24151095885315368</v>
      </c>
      <c r="I9" s="93">
        <f>'Income Statement '!I17/'Income Statement '!I5</f>
        <v>0.24151095885315377</v>
      </c>
      <c r="J9" s="93">
        <f>'Income Statement '!J17/'Income Statement '!J5</f>
        <v>0.24151095885315371</v>
      </c>
      <c r="K9" s="93">
        <f>'Income Statement '!K17/'Income Statement '!K5</f>
        <v>0.2415109588531538</v>
      </c>
      <c r="L9" s="93">
        <f>'Income Statement '!L17/'Income Statement '!L5</f>
        <v>0.24151095885315368</v>
      </c>
    </row>
    <row r="10" spans="2:12" x14ac:dyDescent="0.3">
      <c r="B10" s="92" t="str">
        <f>'Income Statement '!B20</f>
        <v>Depreciation</v>
      </c>
      <c r="C10" s="93">
        <f>'Income Statement '!C20/'Income Statement '!C5</f>
        <v>2.8575891352422292E-2</v>
      </c>
      <c r="D10" s="93">
        <f>'Income Statement '!D20/'Income Statement '!D5</f>
        <v>2.8787125171189708E-2</v>
      </c>
      <c r="E10" s="93">
        <f>'Income Statement '!E20/'Income Statement '!E5</f>
        <v>3.0441855925034164E-2</v>
      </c>
      <c r="F10" s="93">
        <f>'Income Statement '!F20/'Income Statement '!F5</f>
        <v>2.9523283637032948E-2</v>
      </c>
      <c r="G10" s="93">
        <f>'Income Statement '!G20/'Income Statement '!G5</f>
        <v>2.7439126784214944E-2</v>
      </c>
      <c r="H10" s="93">
        <f>'Income Statement '!H20/'Income Statement '!H5</f>
        <v>2.8953456573978815E-2</v>
      </c>
      <c r="I10" s="93">
        <f>'Income Statement '!I20/'Income Statement '!I5</f>
        <v>2.8953456573978815E-2</v>
      </c>
      <c r="J10" s="93">
        <f>'Income Statement '!J20/'Income Statement '!J5</f>
        <v>2.8953456573978815E-2</v>
      </c>
      <c r="K10" s="93">
        <f>'Income Statement '!K20/'Income Statement '!K5</f>
        <v>2.8953456573978815E-2</v>
      </c>
      <c r="L10" s="93">
        <f>'Income Statement '!L20/'Income Statement '!L5</f>
        <v>2.8953456573978815E-2</v>
      </c>
    </row>
    <row r="11" spans="2:12" x14ac:dyDescent="0.3">
      <c r="B11" s="92" t="str">
        <f>'Income Statement '!B23</f>
        <v>EBIT</v>
      </c>
      <c r="C11" s="93">
        <f>'Income Statement '!C23/'Income Statement '!C5</f>
        <v>0.23030885967724699</v>
      </c>
      <c r="D11" s="93">
        <f>'Income Statement '!D23/'Income Statement '!D5</f>
        <v>0.21057185879659596</v>
      </c>
      <c r="E11" s="93">
        <f>'Income Statement '!E23/'Income Statement '!E5</f>
        <v>0.20659204789483959</v>
      </c>
      <c r="F11" s="93">
        <f>'Income Statement '!F23/'Income Statement '!F5</f>
        <v>0.21120314129701209</v>
      </c>
      <c r="G11" s="93">
        <f>'Income Statement '!G23/'Income Statement '!G5</f>
        <v>0.20922474111390987</v>
      </c>
      <c r="H11" s="93">
        <f>'Income Statement '!H23/'Income Statement '!H5</f>
        <v>0.21255750227917489</v>
      </c>
      <c r="I11" s="93">
        <f>'Income Statement '!I23/'Income Statement '!I5</f>
        <v>0.21255750227917494</v>
      </c>
      <c r="J11" s="93">
        <f>'Income Statement '!J23/'Income Statement '!J5</f>
        <v>0.21255750227917489</v>
      </c>
      <c r="K11" s="93">
        <f>'Income Statement '!K23/'Income Statement '!K5</f>
        <v>0.212557502279175</v>
      </c>
      <c r="L11" s="93">
        <f>'Income Statement '!L23/'Income Statement '!L5</f>
        <v>0.21255750227917486</v>
      </c>
    </row>
    <row r="12" spans="2:12" x14ac:dyDescent="0.3">
      <c r="B12" s="92" t="str">
        <f>'Income Statement '!B26</f>
        <v>Interest</v>
      </c>
      <c r="C12" s="93">
        <f>'Income Statement '!C26/'Income Statement '!C5</f>
        <v>1.6441824713706726E-3</v>
      </c>
      <c r="D12" s="93">
        <f>'Income Statement '!D26/'Income Statement '!D5</f>
        <v>1.9350398931639945E-3</v>
      </c>
      <c r="E12" s="93">
        <f>'Income Statement '!E26/'Income Statement '!E5</f>
        <v>3.0585019847725646E-3</v>
      </c>
      <c r="F12" s="93">
        <f>'Income Statement '!F26/'Income Statement '!F5</f>
        <v>2.5523038223203877E-3</v>
      </c>
      <c r="G12" s="93">
        <f>'Income Statement '!G26/'Income Statement '!G5</f>
        <v>2.3285754268122026E-3</v>
      </c>
      <c r="H12" s="93">
        <f>'Income Statement '!H26/'Income Statement '!H5</f>
        <v>1.8332534473144157E-3</v>
      </c>
      <c r="I12" s="93">
        <f>'Income Statement '!I26/'Income Statement '!I5</f>
        <v>1.672555160245041E-3</v>
      </c>
      <c r="J12" s="93">
        <f>'Income Statement '!J26/'Income Statement '!J5</f>
        <v>1.5259432721429567E-3</v>
      </c>
      <c r="K12" s="93">
        <f>'Income Statement '!K26/'Income Statement '!K5</f>
        <v>1.3921830054664454E-3</v>
      </c>
      <c r="L12" s="93">
        <f>'Income Statement '!L26/'Income Statement '!L5</f>
        <v>1.270147820100621E-3</v>
      </c>
    </row>
    <row r="13" spans="2:12" x14ac:dyDescent="0.3">
      <c r="B13" s="92" t="str">
        <f>'Income Statement '!B29</f>
        <v>EBT</v>
      </c>
      <c r="C13" s="93">
        <f>'Income Statement '!C29/'Income Statement '!C5</f>
        <v>0.2286646772058763</v>
      </c>
      <c r="D13" s="93">
        <f>'Income Statement '!D29/'Income Statement '!D5</f>
        <v>0.20863681890343197</v>
      </c>
      <c r="E13" s="93">
        <f>'Income Statement '!E29/'Income Statement '!E5</f>
        <v>0.20353354591006703</v>
      </c>
      <c r="F13" s="93">
        <f>'Income Statement '!F29/'Income Statement '!F5</f>
        <v>0.20865083747469171</v>
      </c>
      <c r="G13" s="93">
        <f>'Income Statement '!G29/'Income Statement '!G5</f>
        <v>0.20689616568709768</v>
      </c>
      <c r="H13" s="93">
        <f>'Income Statement '!H29/'Income Statement '!H5</f>
        <v>0.21072424883186047</v>
      </c>
      <c r="I13" s="93">
        <f>'Income Statement '!I29/'Income Statement '!I5</f>
        <v>0.21088494711892988</v>
      </c>
      <c r="J13" s="93">
        <f>'Income Statement '!J29/'Income Statement '!J5</f>
        <v>0.21103155900703191</v>
      </c>
      <c r="K13" s="93">
        <f>'Income Statement '!K29/'Income Statement '!K5</f>
        <v>0.21116531927370855</v>
      </c>
      <c r="L13" s="93">
        <f>'Income Statement '!L29/'Income Statement '!L5</f>
        <v>0.21128735445907423</v>
      </c>
    </row>
    <row r="14" spans="2:12" x14ac:dyDescent="0.3">
      <c r="B14" s="92" t="str">
        <f>'Income Statement '!B32</f>
        <v>Tax</v>
      </c>
      <c r="C14" s="93">
        <f>'Income Statement '!C32/'Income Statement '!C5</f>
        <v>6.5471346009980183E-2</v>
      </c>
      <c r="D14" s="93">
        <f>'Income Statement '!D32/'Income Statement '!D5</f>
        <v>6.2779780195820589E-2</v>
      </c>
      <c r="E14" s="93">
        <f>'Income Statement '!E32/'Income Statement '!E5</f>
        <v>6.3382573046137827E-2</v>
      </c>
      <c r="F14" s="93">
        <f>'Income Statement '!F32/'Income Statement '!F5</f>
        <v>6.6617583900852817E-2</v>
      </c>
      <c r="G14" s="93">
        <f>'Income Statement '!G32/'Income Statement '!G5</f>
        <v>5.8891687657430733E-2</v>
      </c>
      <c r="H14" s="93">
        <f>'Income Statement '!H32/'Income Statement '!H5</f>
        <v>6.3325055245597672E-2</v>
      </c>
      <c r="I14" s="93">
        <f>'Income Statement '!I32/'Income Statement '!I5</f>
        <v>6.3373346925188215E-2</v>
      </c>
      <c r="J14" s="93">
        <f>'Income Statement '!J32/'Income Statement '!J5</f>
        <v>6.3417405480220151E-2</v>
      </c>
      <c r="K14" s="93">
        <f>'Income Statement '!K32/'Income Statement '!K5</f>
        <v>6.3457601975516337E-2</v>
      </c>
      <c r="L14" s="93">
        <f>'Income Statement '!L32/'Income Statement '!L5</f>
        <v>6.3494274949310425E-2</v>
      </c>
    </row>
    <row r="15" spans="2:12" x14ac:dyDescent="0.3">
      <c r="B15" s="94" t="str">
        <f>'Income Statement '!B35</f>
        <v xml:space="preserve">Net Profit </v>
      </c>
      <c r="C15" s="95">
        <f>'Income Statement '!C35/'Income Statement '!C5</f>
        <v>0.16319333119589613</v>
      </c>
      <c r="D15" s="95">
        <f>'Income Statement '!D35/'Income Statement '!D5</f>
        <v>0.14585703870761138</v>
      </c>
      <c r="E15" s="95">
        <f>'Income Statement '!E35/'Income Statement '!E5</f>
        <v>0.14015097286392919</v>
      </c>
      <c r="F15" s="95">
        <f>'Income Statement '!F35/'Income Statement '!F5</f>
        <v>0.14203325357383889</v>
      </c>
      <c r="G15" s="95">
        <f>'Income Statement '!G35/'Income Statement '!G5</f>
        <v>0.14800447802966696</v>
      </c>
      <c r="H15" s="95">
        <f>'Income Statement '!H35/'Income Statement '!H5</f>
        <v>0.1473991935862628</v>
      </c>
      <c r="I15" s="95">
        <f>'Income Statement '!I35/'Income Statement '!I5</f>
        <v>0.14751160019374168</v>
      </c>
      <c r="J15" s="95">
        <f>'Income Statement '!J35/'Income Statement '!J5</f>
        <v>0.14761415352681176</v>
      </c>
      <c r="K15" s="95">
        <f>'Income Statement '!K35/'Income Statement '!K5</f>
        <v>0.14770771729819221</v>
      </c>
      <c r="L15" s="95">
        <f>'Income Statement '!L35/'Income Statement '!L5</f>
        <v>0.14779307950976381</v>
      </c>
    </row>
    <row r="17" spans="2:12" x14ac:dyDescent="0.3">
      <c r="B17" s="233" t="str">
        <f>"Common Size Statement-"&amp;'Data Sheet &gt;'!B16</f>
        <v>Common Size Statement-42825</v>
      </c>
      <c r="C17" s="233"/>
      <c r="D17" s="233"/>
      <c r="E17" s="233"/>
      <c r="F17" s="233"/>
      <c r="G17" s="233"/>
      <c r="H17" s="233"/>
      <c r="I17" s="233"/>
      <c r="J17" s="233"/>
      <c r="K17" s="233"/>
      <c r="L17" s="233"/>
    </row>
    <row r="18" spans="2:12" ht="3.6" customHeight="1" x14ac:dyDescent="0.3"/>
    <row r="19" spans="2:12" x14ac:dyDescent="0.3">
      <c r="B19" s="89" t="s">
        <v>243</v>
      </c>
      <c r="C19" s="90">
        <f>C4</f>
        <v>44651</v>
      </c>
      <c r="D19" s="90">
        <f t="shared" ref="D19:L19" si="0">D4</f>
        <v>45016</v>
      </c>
      <c r="E19" s="90">
        <f t="shared" si="0"/>
        <v>45382</v>
      </c>
      <c r="F19" s="90">
        <f t="shared" si="0"/>
        <v>45747</v>
      </c>
      <c r="G19" s="90">
        <f t="shared" si="0"/>
        <v>46112</v>
      </c>
      <c r="H19" s="91">
        <f>H4</f>
        <v>46477</v>
      </c>
      <c r="I19" s="91">
        <f t="shared" si="0"/>
        <v>46842</v>
      </c>
      <c r="J19" s="91">
        <f t="shared" si="0"/>
        <v>47207</v>
      </c>
      <c r="K19" s="91">
        <f t="shared" si="0"/>
        <v>47572</v>
      </c>
      <c r="L19" s="91">
        <f t="shared" si="0"/>
        <v>47937</v>
      </c>
    </row>
    <row r="20" spans="2:12" ht="3.6" customHeight="1" x14ac:dyDescent="0.3"/>
    <row r="21" spans="2:12" x14ac:dyDescent="0.3">
      <c r="B21" s="24" t="str">
        <f>'Balance Sheet'!B9</f>
        <v>Total Liabilitis</v>
      </c>
      <c r="C21" s="98">
        <f>'Balance Sheet'!C9/'Balance Sheet'!C9</f>
        <v>1</v>
      </c>
      <c r="D21" s="98">
        <f>'Balance Sheet'!D9/'Balance Sheet'!D9</f>
        <v>1</v>
      </c>
      <c r="E21" s="98">
        <f>'Balance Sheet'!E9/'Balance Sheet'!E9</f>
        <v>1</v>
      </c>
      <c r="F21" s="98">
        <f>'Balance Sheet'!F9/'Balance Sheet'!F9</f>
        <v>1</v>
      </c>
      <c r="G21" s="98">
        <f>'Balance Sheet'!G9/'Balance Sheet'!G9</f>
        <v>1</v>
      </c>
      <c r="H21" s="98">
        <f>'Balance Sheet'!H9/'Balance Sheet'!H9</f>
        <v>1</v>
      </c>
      <c r="I21" s="98">
        <f>'Balance Sheet'!I9/'Balance Sheet'!I9</f>
        <v>1</v>
      </c>
      <c r="J21" s="98">
        <f>'Balance Sheet'!J9/'Balance Sheet'!J9</f>
        <v>1</v>
      </c>
      <c r="K21" s="98">
        <f>'Balance Sheet'!K9/'Balance Sheet'!K9</f>
        <v>1</v>
      </c>
      <c r="L21" s="98">
        <f>'Balance Sheet'!L9/'Balance Sheet'!L9</f>
        <v>1</v>
      </c>
    </row>
    <row r="22" spans="2:12" x14ac:dyDescent="0.3">
      <c r="B22" s="92" t="str">
        <f>'Balance Sheet'!B5</f>
        <v>Equity Share Capital</v>
      </c>
      <c r="C22" s="93">
        <f>'Balance Sheet'!C5/'Balance Sheet'!C9</f>
        <v>1.7973254289850853E-2</v>
      </c>
      <c r="D22" s="93">
        <f>'Balance Sheet'!D5/'Balance Sheet'!D9</f>
        <v>1.6605669523901249E-2</v>
      </c>
      <c r="E22" s="93">
        <f>'Balance Sheet'!E5/'Balance Sheet'!E9</f>
        <v>1.5225702102631966E-2</v>
      </c>
      <c r="F22" s="93">
        <f>'Balance Sheet'!F5/'Balance Sheet'!F9</f>
        <v>1.4026184918298995E-2</v>
      </c>
      <c r="G22" s="93">
        <f>'Balance Sheet'!G5/'Balance Sheet'!G9</f>
        <v>1.3118324172975215E-2</v>
      </c>
      <c r="H22" s="93">
        <f>'Balance Sheet'!H5/'Balance Sheet'!H9</f>
        <v>1.2194405569249313E-2</v>
      </c>
      <c r="I22" s="93">
        <f>'Balance Sheet'!I5/'Balance Sheet'!I9</f>
        <v>1.1033248759076056E-2</v>
      </c>
      <c r="J22" s="93">
        <f>'Balance Sheet'!J5/'Balance Sheet'!J9</f>
        <v>9.8981544857632813E-3</v>
      </c>
      <c r="K22" s="93">
        <f>'Balance Sheet'!K5/'Balance Sheet'!K9</f>
        <v>8.8217925186442944E-3</v>
      </c>
      <c r="L22" s="93">
        <f>'Balance Sheet'!L5/'Balance Sheet'!L9</f>
        <v>7.8246656664654312E-3</v>
      </c>
    </row>
    <row r="23" spans="2:12" x14ac:dyDescent="0.3">
      <c r="B23" s="92" t="str">
        <f>'Balance Sheet'!B6</f>
        <v>Reserves</v>
      </c>
      <c r="C23" s="93">
        <f>'Balance Sheet'!C6/'Balance Sheet'!C9</f>
        <v>0.62753900059111278</v>
      </c>
      <c r="D23" s="93">
        <f>'Balance Sheet'!D6/'Balance Sheet'!D9</f>
        <v>0.58860637580660691</v>
      </c>
      <c r="E23" s="93">
        <f>'Balance Sheet'!E6/'Balance Sheet'!E9</f>
        <v>0.63259079547125419</v>
      </c>
      <c r="F23" s="93">
        <f>'Balance Sheet'!F6/'Balance Sheet'!F9</f>
        <v>0.63429074055279266</v>
      </c>
      <c r="G23" s="93">
        <f>'Balance Sheet'!G6/'Balance Sheet'!G9</f>
        <v>0.58869127864772375</v>
      </c>
      <c r="H23" s="93">
        <f>'Balance Sheet'!H6/'Balance Sheet'!H9</f>
        <v>0.60405997096926201</v>
      </c>
      <c r="I23" s="93">
        <f>'Balance Sheet'!I6/'Balance Sheet'!I9</f>
        <v>0.61320817966970342</v>
      </c>
      <c r="J23" s="93">
        <f>'Balance Sheet'!J6/'Balance Sheet'!J9</f>
        <v>0.62492411867152386</v>
      </c>
      <c r="K23" s="93">
        <f>'Balance Sheet'!K6/'Balance Sheet'!K9</f>
        <v>0.63828319984338777</v>
      </c>
      <c r="L23" s="93">
        <f>'Balance Sheet'!L6/'Balance Sheet'!L9</f>
        <v>0.65250275905867494</v>
      </c>
    </row>
    <row r="24" spans="2:12" x14ac:dyDescent="0.3">
      <c r="B24" s="92" t="str">
        <f>'Balance Sheet'!B7</f>
        <v>Borrowings</v>
      </c>
      <c r="C24" s="93">
        <f>'Balance Sheet'!C7/'Balance Sheet'!C9</f>
        <v>4.6894944700974051E-2</v>
      </c>
      <c r="D24" s="93">
        <f>'Balance Sheet'!D7/'Balance Sheet'!D9</f>
        <v>6.6607274711868766E-2</v>
      </c>
      <c r="E24" s="93">
        <f>'Balance Sheet'!E7/'Balance Sheet'!E9</f>
        <v>6.1454197912071754E-2</v>
      </c>
      <c r="F24" s="93">
        <f>'Balance Sheet'!F7/'Balance Sheet'!F9</f>
        <v>5.566494130383301E-2</v>
      </c>
      <c r="G24" s="93">
        <f>'Balance Sheet'!G7/'Balance Sheet'!G9</f>
        <v>5.9473192989733484E-2</v>
      </c>
      <c r="H24" s="93">
        <f>'Balance Sheet'!H7/'Balance Sheet'!H9</f>
        <v>5.5284518529363481E-2</v>
      </c>
      <c r="I24" s="93">
        <f>'Balance Sheet'!I7/'Balance Sheet'!I9</f>
        <v>5.0020301686404096E-2</v>
      </c>
      <c r="J24" s="93">
        <f>'Balance Sheet'!J7/'Balance Sheet'!J9</f>
        <v>4.4874241878144205E-2</v>
      </c>
      <c r="K24" s="93">
        <f>'Balance Sheet'!K7/'Balance Sheet'!K9</f>
        <v>3.9994450667529664E-2</v>
      </c>
      <c r="L24" s="93">
        <f>'Balance Sheet'!L7/'Balance Sheet'!L9</f>
        <v>3.5473879523461857E-2</v>
      </c>
    </row>
    <row r="25" spans="2:12" x14ac:dyDescent="0.3">
      <c r="B25" t="str">
        <f>'Balance Sheet'!B8</f>
        <v>Other Liabilities</v>
      </c>
      <c r="C25" s="76">
        <f>'Balance Sheet'!C8/'Balance Sheet'!C9</f>
        <v>0.30759280041806236</v>
      </c>
      <c r="D25" s="76">
        <f>'Balance Sheet'!D8/'Balance Sheet'!D9</f>
        <v>0.32818067995762301</v>
      </c>
      <c r="E25" s="76">
        <f>'Balance Sheet'!E8/'Balance Sheet'!E9</f>
        <v>0.29072930451404205</v>
      </c>
      <c r="F25" s="76">
        <f>'Balance Sheet'!F8/'Balance Sheet'!F9</f>
        <v>0.29601813322507525</v>
      </c>
      <c r="G25" s="76">
        <f>'Balance Sheet'!G8/'Balance Sheet'!G9</f>
        <v>0.33871720418956758</v>
      </c>
      <c r="H25" s="76">
        <f>'Balance Sheet'!H8/'Balance Sheet'!H9</f>
        <v>0.32846110493212527</v>
      </c>
      <c r="I25" s="76">
        <f>'Balance Sheet'!I8/'Balance Sheet'!I9</f>
        <v>0.32573826988481652</v>
      </c>
      <c r="J25" s="76">
        <f>'Balance Sheet'!J8/'Balance Sheet'!J9</f>
        <v>0.32030348496456862</v>
      </c>
      <c r="K25" s="76">
        <f>'Balance Sheet'!K8/'Balance Sheet'!K9</f>
        <v>0.31290055697043823</v>
      </c>
      <c r="L25" s="76">
        <f>'Balance Sheet'!L8/'Balance Sheet'!L9</f>
        <v>0.30419869575139774</v>
      </c>
    </row>
    <row r="26" spans="2:12" ht="3.6" customHeight="1" x14ac:dyDescent="0.3"/>
    <row r="27" spans="2:12" x14ac:dyDescent="0.3">
      <c r="B27" s="99" t="str">
        <f>'Balance Sheet'!B20</f>
        <v>Total Assets</v>
      </c>
      <c r="C27" s="100">
        <f>'Balance Sheet'!C20/'Balance Sheet'!C20</f>
        <v>1</v>
      </c>
      <c r="D27" s="100">
        <f>'Balance Sheet'!D20/'Balance Sheet'!D20</f>
        <v>1</v>
      </c>
      <c r="E27" s="100">
        <f>'Balance Sheet'!E20/'Balance Sheet'!E20</f>
        <v>1</v>
      </c>
      <c r="F27" s="100">
        <f>'Balance Sheet'!F20/'Balance Sheet'!F20</f>
        <v>1</v>
      </c>
      <c r="G27" s="100">
        <f>'Balance Sheet'!G20/'Balance Sheet'!G20</f>
        <v>1</v>
      </c>
      <c r="H27" s="100">
        <f>'Balance Sheet'!H20/'Balance Sheet'!H20</f>
        <v>1</v>
      </c>
      <c r="I27" s="100">
        <f>'Balance Sheet'!I20/'Balance Sheet'!I20</f>
        <v>1</v>
      </c>
      <c r="J27" s="100">
        <f>'Balance Sheet'!J20/'Balance Sheet'!J20</f>
        <v>1</v>
      </c>
      <c r="K27" s="100">
        <f>'Balance Sheet'!K20/'Balance Sheet'!K20</f>
        <v>1</v>
      </c>
      <c r="L27" s="100">
        <f>'Balance Sheet'!L20/'Balance Sheet'!L20</f>
        <v>1</v>
      </c>
    </row>
    <row r="28" spans="2:12" x14ac:dyDescent="0.3">
      <c r="B28" s="92" t="str">
        <f>'Balance Sheet'!B10</f>
        <v>Net Block</v>
      </c>
      <c r="C28" s="93">
        <f>'Balance Sheet'!C10/'Balance Sheet'!C20</f>
        <v>0.22102476676746996</v>
      </c>
      <c r="D28" s="93">
        <f>'Balance Sheet'!D10/'Balance Sheet'!D20</f>
        <v>0.23455809175254422</v>
      </c>
      <c r="E28" s="93">
        <f>'Balance Sheet'!E10/'Balance Sheet'!E20</f>
        <v>0.20307307748860462</v>
      </c>
      <c r="F28" s="93">
        <f>'Balance Sheet'!F10/'Balance Sheet'!F20</f>
        <v>0.20948611252072127</v>
      </c>
      <c r="G28" s="93">
        <f>'Balance Sheet'!G10/'Balance Sheet'!G20</f>
        <v>0.21887638701648865</v>
      </c>
      <c r="H28" s="93">
        <f>'Balance Sheet'!H10/'Balance Sheet'!H20</f>
        <v>0.25079504226399024</v>
      </c>
      <c r="I28" s="93">
        <f>'Balance Sheet'!I10/'Balance Sheet'!I20</f>
        <v>0.26153969407954269</v>
      </c>
      <c r="J28" s="93">
        <f>'Balance Sheet'!J10/'Balance Sheet'!J20</f>
        <v>0.25841533364760422</v>
      </c>
      <c r="K28" s="93">
        <f>'Balance Sheet'!K10/'Balance Sheet'!K20</f>
        <v>0.24504769999769344</v>
      </c>
      <c r="L28" s="93">
        <f>'Balance Sheet'!L10/'Balance Sheet'!L20</f>
        <v>0.22466968427674133</v>
      </c>
    </row>
    <row r="29" spans="2:12" x14ac:dyDescent="0.3">
      <c r="B29" s="92" t="str">
        <f>'Balance Sheet'!B11</f>
        <v>Capital Work in Progress</v>
      </c>
      <c r="C29" s="93">
        <f>'Balance Sheet'!C11/'Balance Sheet'!C20</f>
        <v>3.5638101928398254E-3</v>
      </c>
      <c r="D29" s="93">
        <f>'Balance Sheet'!D11/'Balance Sheet'!D20</f>
        <v>2.3114706732158337E-3</v>
      </c>
      <c r="E29" s="93">
        <f>'Balance Sheet'!E11/'Balance Sheet'!E20</f>
        <v>2.1540949860314662E-3</v>
      </c>
      <c r="F29" s="93">
        <f>'Balance Sheet'!F11/'Balance Sheet'!F20</f>
        <v>5.5076288101762573E-3</v>
      </c>
      <c r="G29" s="93">
        <f>'Balance Sheet'!G11/'Balance Sheet'!G20</f>
        <v>3.4092087524629265E-3</v>
      </c>
      <c r="H29" s="93">
        <f>'Balance Sheet'!H11/'Balance Sheet'!H20</f>
        <v>3.5929370475815126E-3</v>
      </c>
      <c r="I29" s="93">
        <f>'Balance Sheet'!I11/'Balance Sheet'!I20</f>
        <v>3.5631527755047607E-3</v>
      </c>
      <c r="J29" s="93">
        <f>'Balance Sheet'!J11/'Balance Sheet'!J20</f>
        <v>3.5037033009935208E-3</v>
      </c>
      <c r="K29" s="93">
        <f>'Balance Sheet'!K11/'Balance Sheet'!K20</f>
        <v>3.4227249024821179E-3</v>
      </c>
      <c r="L29" s="93">
        <f>'Balance Sheet'!L11/'Balance Sheet'!L20</f>
        <v>3.327537864847132E-3</v>
      </c>
    </row>
    <row r="30" spans="2:12" x14ac:dyDescent="0.3">
      <c r="B30" s="92" t="str">
        <f>'Balance Sheet'!B12</f>
        <v>Investments</v>
      </c>
      <c r="C30" s="93">
        <f>'Balance Sheet'!C12/'Balance Sheet'!C20</f>
        <v>0.17411268836364571</v>
      </c>
      <c r="D30" s="93">
        <f>'Balance Sheet'!D12/'Balance Sheet'!D20</f>
        <v>0.15632925615589585</v>
      </c>
      <c r="E30" s="93">
        <f>'Balance Sheet'!E12/'Balance Sheet'!E20</f>
        <v>0.18102484928686957</v>
      </c>
      <c r="F30" s="93">
        <f>'Balance Sheet'!F12/'Balance Sheet'!F20</f>
        <v>0.15928143712574849</v>
      </c>
      <c r="G30" s="93">
        <f>'Balance Sheet'!G12/'Balance Sheet'!G20</f>
        <v>0.1418127138857202</v>
      </c>
      <c r="H30" s="93">
        <f>'Balance Sheet'!H12/'Balance Sheet'!H20</f>
        <v>0.17152233599747799</v>
      </c>
      <c r="I30" s="93">
        <f>'Balance Sheet'!I12/'Balance Sheet'!I20</f>
        <v>0.17010047197511008</v>
      </c>
      <c r="J30" s="93">
        <f>'Balance Sheet'!J12/'Balance Sheet'!J20</f>
        <v>0.16726242816667378</v>
      </c>
      <c r="K30" s="93">
        <f>'Balance Sheet'!K12/'Balance Sheet'!K20</f>
        <v>0.16339662036262109</v>
      </c>
      <c r="L30" s="93">
        <f>'Balance Sheet'!L12/'Balance Sheet'!L20</f>
        <v>0.15885250983810673</v>
      </c>
    </row>
    <row r="31" spans="2:12" x14ac:dyDescent="0.3">
      <c r="B31" s="92" t="str">
        <f>'Balance Sheet'!B13</f>
        <v>Other Assets</v>
      </c>
      <c r="C31" s="93">
        <f>'Balance Sheet'!C13/'Balance Sheet'!C20</f>
        <v>0.25716831292994885</v>
      </c>
      <c r="D31" s="93">
        <f>'Balance Sheet'!D13/'Balance Sheet'!D20</f>
        <v>0.30504992134578957</v>
      </c>
      <c r="E31" s="93">
        <f>'Balance Sheet'!E13/'Balance Sheet'!E20</f>
        <v>0.28306866637259226</v>
      </c>
      <c r="F31" s="93">
        <f>'Balance Sheet'!F13/'Balance Sheet'!F20</f>
        <v>0.24944010284515714</v>
      </c>
      <c r="G31" s="93">
        <f>'Balance Sheet'!G13/'Balance Sheet'!G20</f>
        <v>0.26364331639531269</v>
      </c>
      <c r="H31" s="93">
        <f>'Balance Sheet'!H13/'Balance Sheet'!H20</f>
        <v>0.28554656614429152</v>
      </c>
      <c r="I31" s="93">
        <f>'Balance Sheet'!I13/'Balance Sheet'!I20</f>
        <v>0.28317947857665698</v>
      </c>
      <c r="J31" s="93">
        <f>'Balance Sheet'!J13/'Balance Sheet'!J20</f>
        <v>0.27845476643142369</v>
      </c>
      <c r="K31" s="93">
        <f>'Balance Sheet'!K13/'Balance Sheet'!K20</f>
        <v>0.27201905566873169</v>
      </c>
      <c r="L31" s="93">
        <f>'Balance Sheet'!L13/'Balance Sheet'!L20</f>
        <v>0.2644541216389486</v>
      </c>
    </row>
    <row r="32" spans="2:12" x14ac:dyDescent="0.3">
      <c r="B32" s="92" t="str">
        <f>'Balance Sheet'!B15</f>
        <v>Receivables</v>
      </c>
      <c r="C32" s="93">
        <f>'Balance Sheet'!C15/'Balance Sheet'!C20</f>
        <v>0.19445039364682298</v>
      </c>
      <c r="D32" s="93">
        <f>'Balance Sheet'!D15/'Balance Sheet'!D20</f>
        <v>0.20405149442999776</v>
      </c>
      <c r="E32" s="93">
        <f>'Balance Sheet'!E15/'Balance Sheet'!E20</f>
        <v>0.22197470960152918</v>
      </c>
      <c r="F32" s="93">
        <f>'Balance Sheet'!F15/'Balance Sheet'!F20</f>
        <v>0.21081903988632902</v>
      </c>
      <c r="G32" s="93">
        <f>'Balance Sheet'!G15/'Balance Sheet'!G20</f>
        <v>0.22836513533132843</v>
      </c>
      <c r="H32" s="93">
        <f>'Balance Sheet'!H15/'Balance Sheet'!H20</f>
        <v>0.22290309104299419</v>
      </c>
      <c r="I32" s="93">
        <f>'Balance Sheet'!I15/'Balance Sheet'!I20</f>
        <v>0.22105529737935556</v>
      </c>
      <c r="J32" s="93">
        <f>'Balance Sheet'!J15/'Balance Sheet'!J20</f>
        <v>0.21736709704243151</v>
      </c>
      <c r="K32" s="93">
        <f>'Balance Sheet'!K15/'Balance Sheet'!K20</f>
        <v>0.21234325857911829</v>
      </c>
      <c r="L32" s="93">
        <f>'Balance Sheet'!L15/'Balance Sheet'!L20</f>
        <v>0.20643792691449972</v>
      </c>
    </row>
    <row r="33" spans="2:12" x14ac:dyDescent="0.3">
      <c r="B33" s="92" t="str">
        <f>'Balance Sheet'!B16</f>
        <v>Inventory</v>
      </c>
      <c r="C33" s="93">
        <f>IFERROR('Balance Sheet'!C16/'Balance Sheet'!C20,0)</f>
        <v>0</v>
      </c>
      <c r="D33" s="93">
        <f>IFERROR('Balance Sheet'!D16/'Balance Sheet'!D20,0)</f>
        <v>0</v>
      </c>
      <c r="E33" s="93">
        <f>IFERROR('Balance Sheet'!E16/'Balance Sheet'!E20,0)</f>
        <v>0</v>
      </c>
      <c r="F33" s="93">
        <f>IFERROR('Balance Sheet'!F16/'Balance Sheet'!F20,0)</f>
        <v>0</v>
      </c>
      <c r="G33" s="93">
        <f>IFERROR('Balance Sheet'!G16/'Balance Sheet'!G20,0)</f>
        <v>0</v>
      </c>
      <c r="H33" s="93">
        <f>IFERROR('Balance Sheet'!H16/'Balance Sheet'!H20,0)</f>
        <v>0</v>
      </c>
      <c r="I33" s="93">
        <f>IFERROR('Balance Sheet'!I16/'Balance Sheet'!I20,0)</f>
        <v>0</v>
      </c>
      <c r="J33" s="93">
        <f>IFERROR('Balance Sheet'!J16/'Balance Sheet'!J20,0)</f>
        <v>0</v>
      </c>
      <c r="K33" s="93">
        <f>IFERROR('Balance Sheet'!K16/'Balance Sheet'!K20,0)</f>
        <v>0</v>
      </c>
      <c r="L33" s="93">
        <f>IFERROR('Balance Sheet'!L16/'Balance Sheet'!L20,0)</f>
        <v>0</v>
      </c>
    </row>
    <row r="34" spans="2:12" x14ac:dyDescent="0.3">
      <c r="B34" s="94" t="str">
        <f>'Balance Sheet'!B17</f>
        <v>Cash &amp; Bank</v>
      </c>
      <c r="C34" s="95">
        <f>'Balance Sheet'!C17/'Balance Sheet'!C20</f>
        <v>0.14968002809927267</v>
      </c>
      <c r="D34" s="95">
        <f>'Balance Sheet'!D17/'Balance Sheet'!D20</f>
        <v>9.7699765642556738E-2</v>
      </c>
      <c r="E34" s="95">
        <f>'Balance Sheet'!E17/'Balance Sheet'!E20</f>
        <v>0.10870460226437288</v>
      </c>
      <c r="F34" s="95">
        <f>'Balance Sheet'!F17/'Balance Sheet'!F20</f>
        <v>0.1654656788118678</v>
      </c>
      <c r="G34" s="95">
        <f>'Balance Sheet'!G17/'Balance Sheet'!G20</f>
        <v>0.14389323861868714</v>
      </c>
      <c r="H34" s="95">
        <f>'Balance Sheet'!H17/'Balance Sheet'!H20</f>
        <v>6.564002750366453E-2</v>
      </c>
      <c r="I34" s="95">
        <f>'Balance Sheet'!I17/'Balance Sheet'!I20</f>
        <v>6.0561905213829877E-2</v>
      </c>
      <c r="J34" s="95">
        <f>'Balance Sheet'!J17/'Balance Sheet'!J20</f>
        <v>7.4996671410873225E-2</v>
      </c>
      <c r="K34" s="95">
        <f>'Balance Sheet'!K17/'Balance Sheet'!K20</f>
        <v>0.10377064048935337</v>
      </c>
      <c r="L34" s="95">
        <f>'Balance Sheet'!L17/'Balance Sheet'!L20</f>
        <v>0.14225821946685649</v>
      </c>
    </row>
  </sheetData>
  <mergeCells count="2">
    <mergeCell ref="B2:L2"/>
    <mergeCell ref="B17:L17"/>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842D8-30AE-4C5B-BC49-E35C08E384C4}">
  <sheetPr>
    <tabColor rgb="FF002060"/>
  </sheetPr>
  <dimension ref="B2:O40"/>
  <sheetViews>
    <sheetView showGridLines="0" zoomScale="80" zoomScaleNormal="80" workbookViewId="0">
      <pane ySplit="3" topLeftCell="A4" activePane="bottomLeft" state="frozen"/>
      <selection pane="bottomLeft" activeCell="Q15" sqref="Q15"/>
    </sheetView>
  </sheetViews>
  <sheetFormatPr defaultRowHeight="14.4" x14ac:dyDescent="0.3"/>
  <cols>
    <col min="1" max="1" width="1.88671875" customWidth="1"/>
    <col min="2" max="2" width="28.44140625" customWidth="1"/>
    <col min="3" max="4" width="9.77734375" bestFit="1" customWidth="1"/>
    <col min="5" max="5" width="8.77734375" bestFit="1" customWidth="1"/>
    <col min="6" max="12" width="9.77734375" bestFit="1" customWidth="1"/>
    <col min="13" max="13" width="18" customWidth="1"/>
    <col min="14" max="15" width="10.88671875" bestFit="1" customWidth="1"/>
  </cols>
  <sheetData>
    <row r="2" spans="2:15" x14ac:dyDescent="0.3">
      <c r="B2" s="233" t="str">
        <f>"Ratio Analysis-"&amp;'Data Sheet &gt;'!B1</f>
        <v>Ratio Analysis-INFOSYS LTD</v>
      </c>
      <c r="C2" s="233"/>
      <c r="D2" s="233"/>
      <c r="E2" s="233"/>
      <c r="F2" s="233"/>
      <c r="G2" s="233"/>
      <c r="H2" s="233"/>
      <c r="I2" s="233"/>
      <c r="J2" s="233"/>
      <c r="K2" s="233"/>
      <c r="L2" s="233"/>
      <c r="M2" s="233"/>
      <c r="N2" s="233"/>
      <c r="O2" s="233"/>
    </row>
    <row r="3" spans="2:15" x14ac:dyDescent="0.3">
      <c r="B3" s="25" t="s">
        <v>126</v>
      </c>
      <c r="C3" s="26">
        <f>'Data Sheet &gt;'!G16</f>
        <v>44651</v>
      </c>
      <c r="D3" s="26">
        <f>'Data Sheet &gt;'!H16</f>
        <v>45016</v>
      </c>
      <c r="E3" s="26">
        <f>'Data Sheet &gt;'!I16</f>
        <v>45382</v>
      </c>
      <c r="F3" s="26">
        <f>'Data Sheet &gt;'!J16</f>
        <v>45747</v>
      </c>
      <c r="G3" s="26">
        <f>'Data Sheet &gt;'!K16</f>
        <v>46112</v>
      </c>
      <c r="H3" s="27">
        <f>G3+365</f>
        <v>46477</v>
      </c>
      <c r="I3" s="27">
        <f t="shared" ref="I3:L3" si="0">H3+365</f>
        <v>46842</v>
      </c>
      <c r="J3" s="27">
        <f t="shared" si="0"/>
        <v>47207</v>
      </c>
      <c r="K3" s="27">
        <f t="shared" si="0"/>
        <v>47572</v>
      </c>
      <c r="L3" s="27">
        <f t="shared" si="0"/>
        <v>47937</v>
      </c>
      <c r="M3" s="59" t="s">
        <v>240</v>
      </c>
      <c r="N3" s="59" t="s">
        <v>241</v>
      </c>
      <c r="O3" s="59" t="s">
        <v>242</v>
      </c>
    </row>
    <row r="4" spans="2:15" ht="3.6" customHeight="1" x14ac:dyDescent="0.3"/>
    <row r="5" spans="2:15" x14ac:dyDescent="0.3">
      <c r="B5" s="79" t="s">
        <v>1</v>
      </c>
      <c r="C5" s="79"/>
      <c r="D5" s="80">
        <f>'Income Statement '!D5/'Income Statement '!C5-1</f>
        <v>0.20655864387829759</v>
      </c>
      <c r="E5" s="80">
        <f>'Income Statement '!E5/'Income Statement '!D5-1</f>
        <v>4.7033733741236095E-2</v>
      </c>
      <c r="F5" s="80">
        <f>'Income Statement '!F5/'Income Statement '!E5-1</f>
        <v>6.0649443612936782E-2</v>
      </c>
      <c r="G5" s="80">
        <f>'Income Statement '!G5/'Income Statement '!F5-1</f>
        <v>9.6079514080618544E-2</v>
      </c>
      <c r="H5" s="168">
        <f>'Income Statement '!H5/'Income Statement '!G5-1</f>
        <v>9.6079514080618544E-2</v>
      </c>
      <c r="I5" s="168">
        <f>'Income Statement '!I5/'Income Statement '!H5-1</f>
        <v>9.6079514080618544E-2</v>
      </c>
      <c r="J5" s="168">
        <f>'Income Statement '!J5/'Income Statement '!I5-1</f>
        <v>9.6079514080618544E-2</v>
      </c>
      <c r="K5" s="168">
        <f>'Income Statement '!K5/'Income Statement '!J5-1</f>
        <v>9.6079514080618544E-2</v>
      </c>
      <c r="L5" s="168">
        <f>'Income Statement '!L5/'Income Statement '!K5-1</f>
        <v>9.6079514080618544E-2</v>
      </c>
      <c r="M5" s="79"/>
      <c r="N5" s="81">
        <f>AVERAGE(D5:L5)</f>
        <v>9.8968767301797975E-2</v>
      </c>
      <c r="O5" s="81">
        <f>MEDIAN(D5:L5)</f>
        <v>9.6079514080618544E-2</v>
      </c>
    </row>
    <row r="6" spans="2:15" x14ac:dyDescent="0.3">
      <c r="B6" t="s">
        <v>214</v>
      </c>
      <c r="D6" s="76">
        <f>'Income Statement '!D17/'Income Statement '!C17-1</f>
        <v>0.1155568257597408</v>
      </c>
      <c r="E6" s="76">
        <f>'Income Statement '!E17/'Income Statement '!D17-1</f>
        <v>3.6863079988613823E-2</v>
      </c>
      <c r="F6" s="76">
        <f>'Income Statement '!F17/'Income Statement '!E17-1</f>
        <v>7.7172271791352109E-2</v>
      </c>
      <c r="G6" s="76">
        <f>'Income Statement '!G17/'Income Statement '!F17-1</f>
        <v>7.758181262106234E-2</v>
      </c>
      <c r="H6" s="169">
        <f>'Income Statement '!H17/'Income Statement '!G17-1</f>
        <v>0.11852821799929014</v>
      </c>
      <c r="I6" s="169">
        <f>'Income Statement '!I17/'Income Statement '!H17-1</f>
        <v>9.6079514080618988E-2</v>
      </c>
      <c r="J6" s="169">
        <f>'Income Statement '!J17/'Income Statement '!I17-1</f>
        <v>9.6079514080618322E-2</v>
      </c>
      <c r="K6" s="169">
        <f>'Income Statement '!K17/'Income Statement '!J17-1</f>
        <v>9.6079514080618988E-2</v>
      </c>
      <c r="L6" s="169">
        <f>'Income Statement '!L17/'Income Statement '!K17-1</f>
        <v>9.6079514080617878E-2</v>
      </c>
      <c r="N6" s="18">
        <f t="shared" ref="N6:N9" si="1">AVERAGE(D6:L6)</f>
        <v>9.0002251609170372E-2</v>
      </c>
      <c r="O6" s="18">
        <f t="shared" ref="O6:O9" si="2">MEDIAN(D6:L6)</f>
        <v>9.6079514080618322E-2</v>
      </c>
    </row>
    <row r="7" spans="2:15" x14ac:dyDescent="0.3">
      <c r="B7" t="s">
        <v>215</v>
      </c>
      <c r="D7" s="76">
        <f>'Income Statement '!D23/'Income Statement '!C23-1</f>
        <v>0.10315902195252535</v>
      </c>
      <c r="E7" s="76">
        <f>'Income Statement '!E23/'Income Statement '!D23-1</f>
        <v>2.7244782397670253E-2</v>
      </c>
      <c r="F7" s="76">
        <f>'Income Statement '!F23/'Income Statement '!E23-1</f>
        <v>8.4322928150691423E-2</v>
      </c>
      <c r="G7" s="76">
        <f>'Income Statement '!G23/'Income Statement '!F23-1</f>
        <v>8.5812224029746753E-2</v>
      </c>
      <c r="H7" s="169">
        <f>'Income Statement '!H23/'Income Statement '!G23-1</f>
        <v>0.11353907081909065</v>
      </c>
      <c r="I7" s="169">
        <f>'Income Statement '!I23/'Income Statement '!H23-1</f>
        <v>9.6079514080618988E-2</v>
      </c>
      <c r="J7" s="169">
        <f>'Income Statement '!J23/'Income Statement '!I23-1</f>
        <v>9.6079514080618322E-2</v>
      </c>
      <c r="K7" s="169">
        <f>'Income Statement '!K23/'Income Statement '!J23-1</f>
        <v>9.6079514080619211E-2</v>
      </c>
      <c r="L7" s="169">
        <f>'Income Statement '!L23/'Income Statement '!K23-1</f>
        <v>9.6079514080617656E-2</v>
      </c>
      <c r="N7" s="18">
        <f t="shared" si="1"/>
        <v>8.8710675963577623E-2</v>
      </c>
      <c r="O7" s="18">
        <f t="shared" si="2"/>
        <v>9.6079514080618322E-2</v>
      </c>
    </row>
    <row r="8" spans="2:15" x14ac:dyDescent="0.3">
      <c r="B8" t="s">
        <v>216</v>
      </c>
      <c r="D8" s="76">
        <f>'Income Statement '!D35/'Income Statement '!C35-1</f>
        <v>7.8383960505767902E-2</v>
      </c>
      <c r="E8" s="76">
        <f>'Income Statement '!E35/'Income Statement '!D35-1</f>
        <v>6.0727799317981113E-3</v>
      </c>
      <c r="F8" s="76">
        <f>'Income Statement '!F35/'Income Statement '!E35-1</f>
        <v>7.4894367832102793E-2</v>
      </c>
      <c r="G8" s="76">
        <f>'Income Statement '!G35/'Income Statement '!F35-1</f>
        <v>0.14215982721382292</v>
      </c>
      <c r="H8" s="169">
        <f>'Income Statement '!H35/'Income Statement '!G35-1</f>
        <v>9.1596947826954267E-2</v>
      </c>
      <c r="I8" s="169">
        <f>'Income Statement '!I35/'Income Statement '!H35-1</f>
        <v>9.6915384187552522E-2</v>
      </c>
      <c r="J8" s="169">
        <f>'Income Statement '!J35/'Income Statement '!I35-1</f>
        <v>9.6841532846133616E-2</v>
      </c>
      <c r="K8" s="169">
        <f>'Income Statement '!K35/'Income Statement '!J35-1</f>
        <v>9.6774253240922814E-2</v>
      </c>
      <c r="L8" s="169">
        <f>'Income Statement '!L35/'Income Statement '!K35-1</f>
        <v>9.6712952692301402E-2</v>
      </c>
      <c r="N8" s="18">
        <f t="shared" si="1"/>
        <v>8.6705778475261813E-2</v>
      </c>
      <c r="O8" s="18">
        <f t="shared" si="2"/>
        <v>9.6712952692301402E-2</v>
      </c>
    </row>
    <row r="9" spans="2:15" x14ac:dyDescent="0.3">
      <c r="B9" s="82" t="s">
        <v>217</v>
      </c>
      <c r="C9" s="82"/>
      <c r="D9" s="83">
        <f>'Income Statement '!D43/'Income Statement '!C43-1</f>
        <v>9.6761529392781709E-2</v>
      </c>
      <c r="E9" s="83">
        <f>'Income Statement '!E43/'Income Statement '!D43-1</f>
        <v>0.35349861290755547</v>
      </c>
      <c r="F9" s="83">
        <f>'Income Statement '!F43/'Income Statement '!E43-1</f>
        <v>-6.4855345095345629E-2</v>
      </c>
      <c r="G9" s="83">
        <f>'Income Statement '!G43/'Income Statement '!F43-1</f>
        <v>0.11614900276192253</v>
      </c>
      <c r="H9" s="170">
        <f>'Income Statement '!H43/'Income Statement '!G43-1</f>
        <v>0</v>
      </c>
      <c r="I9" s="170">
        <f>'Income Statement '!I43/'Income Statement '!H43-1</f>
        <v>0</v>
      </c>
      <c r="J9" s="170">
        <f>'Income Statement '!J43/'Income Statement '!I43-1</f>
        <v>0</v>
      </c>
      <c r="K9" s="170">
        <f>'Income Statement '!K43/'Income Statement '!J43-1</f>
        <v>0</v>
      </c>
      <c r="L9" s="170">
        <f>'Income Statement '!L43/'Income Statement '!K43-1</f>
        <v>0</v>
      </c>
      <c r="M9" s="82"/>
      <c r="N9" s="84">
        <f t="shared" si="1"/>
        <v>5.5728199996323786E-2</v>
      </c>
      <c r="O9" s="84">
        <f t="shared" si="2"/>
        <v>0</v>
      </c>
    </row>
    <row r="10" spans="2:15" ht="4.2" customHeight="1" x14ac:dyDescent="0.3">
      <c r="H10" s="37"/>
      <c r="I10" s="37"/>
      <c r="J10" s="37"/>
      <c r="K10" s="37"/>
      <c r="L10" s="37"/>
    </row>
    <row r="11" spans="2:15" x14ac:dyDescent="0.3">
      <c r="B11" s="79" t="s">
        <v>218</v>
      </c>
      <c r="C11" s="81">
        <f>'Income Statement '!C12</f>
        <v>0.82882416290559924</v>
      </c>
      <c r="D11" s="81">
        <f>'Income Statement '!D12</f>
        <v>0.81940081898519423</v>
      </c>
      <c r="E11" s="81">
        <f>'Income Statement '!E12</f>
        <v>0.8217348864449795</v>
      </c>
      <c r="F11" s="81">
        <f>'Income Statement '!F12</f>
        <v>0.81215411988465547</v>
      </c>
      <c r="G11" s="81">
        <f>'Income Statement '!G12</f>
        <v>0.81446963336132105</v>
      </c>
      <c r="H11" s="171">
        <f>'Income Statement '!H12</f>
        <v>0.81931672431634983</v>
      </c>
      <c r="I11" s="171">
        <f>'Income Statement '!I12</f>
        <v>0.81931672431634994</v>
      </c>
      <c r="J11" s="171">
        <f>'Income Statement '!J12</f>
        <v>0.81931672431634994</v>
      </c>
      <c r="K11" s="171">
        <f>'Income Statement '!K12</f>
        <v>0.81931672431634994</v>
      </c>
      <c r="L11" s="171">
        <f>'Income Statement '!L12</f>
        <v>0.81931672431634983</v>
      </c>
      <c r="M11" s="79"/>
      <c r="N11" s="81">
        <f>AVERAGE(C11:L11)</f>
        <v>0.81931672431634994</v>
      </c>
      <c r="O11" s="81">
        <f>MEDIAN(C11:L11)</f>
        <v>0.81931672431634994</v>
      </c>
    </row>
    <row r="12" spans="2:15" x14ac:dyDescent="0.3">
      <c r="B12" t="s">
        <v>219</v>
      </c>
      <c r="C12" s="18">
        <f>'Income Statement '!C18</f>
        <v>0.25888475102966929</v>
      </c>
      <c r="D12" s="18">
        <f>'Income Statement '!D18</f>
        <v>0.23935898396778568</v>
      </c>
      <c r="E12" s="18">
        <f>'Income Statement '!E18</f>
        <v>0.23703390381987374</v>
      </c>
      <c r="F12" s="18">
        <f>'Income Statement '!F18</f>
        <v>0.24072642493404503</v>
      </c>
      <c r="G12" s="18">
        <f>'Income Statement '!G18</f>
        <v>0.23666386789812482</v>
      </c>
      <c r="H12" s="172">
        <f>'Income Statement '!H18</f>
        <v>0.24151095885315368</v>
      </c>
      <c r="I12" s="172">
        <f>'Income Statement '!I18</f>
        <v>0.24151095885315377</v>
      </c>
      <c r="J12" s="172">
        <f>'Income Statement '!J18</f>
        <v>0.24151095885315371</v>
      </c>
      <c r="K12" s="172">
        <f>'Income Statement '!K18</f>
        <v>0.2415109588531538</v>
      </c>
      <c r="L12" s="172">
        <f>'Income Statement '!L18</f>
        <v>0.24151095885315368</v>
      </c>
      <c r="N12" s="18">
        <f t="shared" ref="N12:N15" si="3">AVERAGE(C12:L12)</f>
        <v>0.2420222725915267</v>
      </c>
      <c r="O12" s="18">
        <f t="shared" ref="O12:O15" si="4">MEDIAN(C12:L12)</f>
        <v>0.24151095885315368</v>
      </c>
    </row>
    <row r="13" spans="2:15" x14ac:dyDescent="0.3">
      <c r="B13" t="s">
        <v>220</v>
      </c>
      <c r="C13" s="18">
        <f>'Income Statement '!C24</f>
        <v>0.23030885967724699</v>
      </c>
      <c r="D13" s="18">
        <f>'Income Statement '!D24</f>
        <v>0.21057185879659596</v>
      </c>
      <c r="E13" s="18">
        <f>'Income Statement '!E24</f>
        <v>0.20659204789483959</v>
      </c>
      <c r="F13" s="18">
        <f>'Income Statement '!F24</f>
        <v>0.21120314129701209</v>
      </c>
      <c r="G13" s="18">
        <f>'Income Statement '!G24</f>
        <v>0.20922474111390987</v>
      </c>
      <c r="H13" s="172">
        <f>'Income Statement '!H24</f>
        <v>0.21255750227917489</v>
      </c>
      <c r="I13" s="172">
        <f>'Income Statement '!I24</f>
        <v>0.21255750227917494</v>
      </c>
      <c r="J13" s="172">
        <f>'Income Statement '!J24</f>
        <v>0.21255750227917489</v>
      </c>
      <c r="K13" s="172">
        <f>'Income Statement '!K24</f>
        <v>0.212557502279175</v>
      </c>
      <c r="L13" s="172">
        <f>'Income Statement '!L24</f>
        <v>0.21255750227917486</v>
      </c>
      <c r="N13" s="18">
        <f t="shared" si="3"/>
        <v>0.21306881601754793</v>
      </c>
      <c r="O13" s="18">
        <f t="shared" si="4"/>
        <v>0.21255750227917486</v>
      </c>
    </row>
    <row r="14" spans="2:15" x14ac:dyDescent="0.3">
      <c r="B14" t="s">
        <v>221</v>
      </c>
      <c r="C14" s="18">
        <f>'Income Statement '!C30</f>
        <v>0.2286646772058763</v>
      </c>
      <c r="D14" s="18">
        <f>'Income Statement '!D30</f>
        <v>0.20863681890343197</v>
      </c>
      <c r="E14" s="18">
        <f>'Income Statement '!E30</f>
        <v>0.20353354591006703</v>
      </c>
      <c r="F14" s="18">
        <f>'Income Statement '!F30</f>
        <v>0.20865083747469171</v>
      </c>
      <c r="G14" s="18">
        <f>'Income Statement '!G30</f>
        <v>0.20689616568709768</v>
      </c>
      <c r="H14" s="172">
        <f>'Income Statement '!H30</f>
        <v>0.21072424883186047</v>
      </c>
      <c r="I14" s="172">
        <f>'Income Statement '!I30</f>
        <v>0.21088494711892988</v>
      </c>
      <c r="J14" s="172">
        <f>'Income Statement '!J30</f>
        <v>0.21103155900703191</v>
      </c>
      <c r="K14" s="172">
        <f>'Income Statement '!K30</f>
        <v>0.21116531927370855</v>
      </c>
      <c r="L14" s="172">
        <f>'Income Statement '!L30</f>
        <v>0.21128735445907423</v>
      </c>
      <c r="N14" s="18">
        <f t="shared" si="3"/>
        <v>0.21114754738717698</v>
      </c>
      <c r="O14" s="18">
        <f t="shared" si="4"/>
        <v>0.21080459797539519</v>
      </c>
    </row>
    <row r="15" spans="2:15" x14ac:dyDescent="0.3">
      <c r="B15" s="82" t="s">
        <v>55</v>
      </c>
      <c r="C15" s="84">
        <f>'Income Statement '!C36</f>
        <v>0.16319333119589613</v>
      </c>
      <c r="D15" s="84">
        <f>'Income Statement '!D36</f>
        <v>0.14585703870761138</v>
      </c>
      <c r="E15" s="84">
        <f>'Income Statement '!E36</f>
        <v>0.14015097286392919</v>
      </c>
      <c r="F15" s="84">
        <f>'Income Statement '!F36</f>
        <v>0.14203325357383889</v>
      </c>
      <c r="G15" s="84">
        <f>'Income Statement '!G36</f>
        <v>0.14800447802966696</v>
      </c>
      <c r="H15" s="173">
        <f>'Income Statement '!H36</f>
        <v>0.1473991935862628</v>
      </c>
      <c r="I15" s="173">
        <f>'Income Statement '!I36</f>
        <v>0.14751160019374168</v>
      </c>
      <c r="J15" s="173">
        <f>'Income Statement '!J36</f>
        <v>0.14761415352681176</v>
      </c>
      <c r="K15" s="173">
        <f>'Income Statement '!K36</f>
        <v>0.14770771729819221</v>
      </c>
      <c r="L15" s="173">
        <f>'Income Statement '!L36</f>
        <v>0.14779307950976381</v>
      </c>
      <c r="M15" s="82"/>
      <c r="N15" s="84">
        <f t="shared" si="3"/>
        <v>0.14772648184857148</v>
      </c>
      <c r="O15" s="84">
        <f t="shared" si="4"/>
        <v>0.14756287686027672</v>
      </c>
    </row>
    <row r="16" spans="2:15" ht="3.6" customHeight="1" x14ac:dyDescent="0.3">
      <c r="H16" s="37"/>
      <c r="I16" s="37"/>
      <c r="J16" s="37"/>
      <c r="K16" s="37"/>
      <c r="L16" s="37"/>
    </row>
    <row r="17" spans="2:15" x14ac:dyDescent="0.3">
      <c r="B17" s="79" t="s">
        <v>222</v>
      </c>
      <c r="C17" s="81">
        <f>'Income Statement '!C15</f>
        <v>0.56993941187593</v>
      </c>
      <c r="D17" s="81">
        <f>'Income Statement '!D15</f>
        <v>0.58004183501740858</v>
      </c>
      <c r="E17" s="81">
        <f>'Income Statement '!E15</f>
        <v>0.58470098262510573</v>
      </c>
      <c r="F17" s="81">
        <f>'Income Statement '!F15</f>
        <v>0.57142769495061052</v>
      </c>
      <c r="G17" s="81">
        <f>'Income Statement '!G15</f>
        <v>0.57780576546319617</v>
      </c>
      <c r="H17" s="171">
        <f>'Income Statement '!H15</f>
        <v>0.57780576546319617</v>
      </c>
      <c r="I17" s="171">
        <f>'Income Statement '!I15</f>
        <v>0.57780576546319617</v>
      </c>
      <c r="J17" s="171">
        <f>'Income Statement '!J15</f>
        <v>0.57780576546319617</v>
      </c>
      <c r="K17" s="171">
        <f>'Income Statement '!K15</f>
        <v>0.57780576546319617</v>
      </c>
      <c r="L17" s="171">
        <f>'Income Statement '!L15</f>
        <v>0.57780576546319617</v>
      </c>
      <c r="M17" s="79"/>
      <c r="N17" s="81">
        <f t="shared" ref="N17:N19" si="5">AVERAGE(C17:L17)</f>
        <v>0.5772944517248233</v>
      </c>
      <c r="O17" s="81">
        <f t="shared" ref="O17:O19" si="6">MEDIAN(C17:L17)</f>
        <v>0.57780576546319617</v>
      </c>
    </row>
    <row r="18" spans="2:15" x14ac:dyDescent="0.3">
      <c r="B18" t="s">
        <v>223</v>
      </c>
      <c r="C18" s="18">
        <f>'Income Statement '!C21</f>
        <v>2.8575891352422292E-2</v>
      </c>
      <c r="D18" s="18">
        <f>'Income Statement '!D21</f>
        <v>2.8787125171189708E-2</v>
      </c>
      <c r="E18" s="18">
        <f>'Income Statement '!E21</f>
        <v>3.0441855925034164E-2</v>
      </c>
      <c r="F18" s="18">
        <f>'Income Statement '!F21</f>
        <v>2.9523283637032948E-2</v>
      </c>
      <c r="G18" s="18">
        <f>'Income Statement '!G21</f>
        <v>2.7439126784214944E-2</v>
      </c>
      <c r="H18" s="172">
        <f>'Income Statement '!H21</f>
        <v>2.8953456573978815E-2</v>
      </c>
      <c r="I18" s="172">
        <f>'Income Statement '!I21</f>
        <v>2.8953456573978815E-2</v>
      </c>
      <c r="J18" s="172">
        <f>'Income Statement '!J21</f>
        <v>2.8953456573978815E-2</v>
      </c>
      <c r="K18" s="172">
        <f>'Income Statement '!K21</f>
        <v>2.8953456573978815E-2</v>
      </c>
      <c r="L18" s="172">
        <f>'Income Statement '!L21</f>
        <v>2.8953456573978815E-2</v>
      </c>
      <c r="N18" s="18">
        <f t="shared" si="5"/>
        <v>2.8953456573978815E-2</v>
      </c>
      <c r="O18" s="18">
        <f t="shared" si="6"/>
        <v>2.8953456573978815E-2</v>
      </c>
    </row>
    <row r="19" spans="2:15" x14ac:dyDescent="0.3">
      <c r="B19" s="82" t="s">
        <v>224</v>
      </c>
      <c r="C19" s="84">
        <f>C13</f>
        <v>0.23030885967724699</v>
      </c>
      <c r="D19" s="84">
        <f t="shared" ref="D19:L19" si="7">D13</f>
        <v>0.21057185879659596</v>
      </c>
      <c r="E19" s="84">
        <f t="shared" si="7"/>
        <v>0.20659204789483959</v>
      </c>
      <c r="F19" s="84">
        <f t="shared" si="7"/>
        <v>0.21120314129701209</v>
      </c>
      <c r="G19" s="84">
        <f t="shared" si="7"/>
        <v>0.20922474111390987</v>
      </c>
      <c r="H19" s="173">
        <f t="shared" si="7"/>
        <v>0.21255750227917489</v>
      </c>
      <c r="I19" s="173">
        <f t="shared" si="7"/>
        <v>0.21255750227917494</v>
      </c>
      <c r="J19" s="173">
        <f t="shared" si="7"/>
        <v>0.21255750227917489</v>
      </c>
      <c r="K19" s="173">
        <f t="shared" si="7"/>
        <v>0.212557502279175</v>
      </c>
      <c r="L19" s="173">
        <f t="shared" si="7"/>
        <v>0.21255750227917486</v>
      </c>
      <c r="M19" s="82"/>
      <c r="N19" s="84">
        <f t="shared" si="5"/>
        <v>0.21306881601754793</v>
      </c>
      <c r="O19" s="84">
        <f t="shared" si="6"/>
        <v>0.21255750227917486</v>
      </c>
    </row>
    <row r="20" spans="2:15" ht="4.2" customHeight="1" x14ac:dyDescent="0.3">
      <c r="H20" s="37"/>
      <c r="I20" s="37"/>
      <c r="J20" s="37"/>
      <c r="K20" s="37"/>
      <c r="L20" s="37"/>
    </row>
    <row r="21" spans="2:15" x14ac:dyDescent="0.3">
      <c r="B21" s="79" t="s">
        <v>225</v>
      </c>
      <c r="C21" s="80">
        <f>'Income Statement '!C23/SUM('Balance Sheet'!C5:C7)</f>
        <v>0.34661734138374739</v>
      </c>
      <c r="D21" s="80">
        <f>'Income Statement '!D23/SUM('Balance Sheet'!D5:D7)</f>
        <v>0.36920889780899818</v>
      </c>
      <c r="E21" s="80">
        <f>'Income Statement '!E23/SUM('Balance Sheet'!E5:E7)</f>
        <v>0.32906970717802542</v>
      </c>
      <c r="F21" s="80">
        <f>'Income Statement '!F23/SUM('Balance Sheet'!F5:F7)</f>
        <v>0.33085684079004279</v>
      </c>
      <c r="G21" s="80">
        <f>'Income Statement '!G23/SUM('Balance Sheet'!G5:G7)</f>
        <v>0.36635041361194964</v>
      </c>
      <c r="H21" s="168">
        <f>'Income Statement '!H23/SUM('Balance Sheet'!H5:H7)</f>
        <v>0.37342249340364675</v>
      </c>
      <c r="I21" s="168">
        <f>'Income Statement '!I23/SUM('Balance Sheet'!I5:I7)</f>
        <v>0.36883147169409086</v>
      </c>
      <c r="J21" s="168">
        <f>'Income Statement '!J23/SUM('Balance Sheet'!J5:J7)</f>
        <v>0.35977776325371302</v>
      </c>
      <c r="K21" s="168">
        <f>'Income Statement '!K23/SUM('Balance Sheet'!K5:K7)</f>
        <v>0.3476757790365067</v>
      </c>
      <c r="L21" s="168">
        <f>'Income Statement '!L23/SUM('Balance Sheet'!L5:L7)</f>
        <v>0.33377961236359588</v>
      </c>
      <c r="M21" s="79"/>
      <c r="N21" s="81">
        <f t="shared" ref="N21:N25" si="8">AVERAGE(C21:L21)</f>
        <v>0.35255903205243166</v>
      </c>
      <c r="O21" s="81">
        <f t="shared" ref="O21:O25" si="9">MEDIAN(C21:L21)</f>
        <v>0.35372677114510986</v>
      </c>
    </row>
    <row r="22" spans="2:15" x14ac:dyDescent="0.3">
      <c r="B22" t="s">
        <v>226</v>
      </c>
      <c r="C22" s="76">
        <f>'Income Statement '!C46</f>
        <v>16.267858416335841</v>
      </c>
      <c r="D22" s="76">
        <f>'Income Statement '!D46</f>
        <v>17.687412621125198</v>
      </c>
      <c r="E22" s="76">
        <f>'Income Statement '!E46</f>
        <v>5.9837625575176432</v>
      </c>
      <c r="F22" s="76">
        <f>'Income Statement '!F46</f>
        <v>12.814388558495658</v>
      </c>
      <c r="G22" s="76">
        <f>'Income Statement '!G46</f>
        <v>17.286221520860039</v>
      </c>
      <c r="H22" s="169">
        <f>'Income Statement '!H46</f>
        <v>23.258001029422275</v>
      </c>
      <c r="I22" s="169">
        <f>'Income Statement '!I46</f>
        <v>30.155280065972022</v>
      </c>
      <c r="J22" s="169">
        <f>'Income Statement '!J46</f>
        <v>37.715246320831852</v>
      </c>
      <c r="K22" s="169">
        <f>'Income Statement '!K46</f>
        <v>46.001570459924594</v>
      </c>
      <c r="L22" s="169">
        <f>'Income Statement '!L46</f>
        <v>55.084040595815708</v>
      </c>
      <c r="N22" s="18">
        <f t="shared" si="8"/>
        <v>26.225378214630087</v>
      </c>
      <c r="O22" s="18">
        <f t="shared" si="9"/>
        <v>20.472706825273736</v>
      </c>
    </row>
    <row r="23" spans="2:15" x14ac:dyDescent="0.3">
      <c r="B23" t="s">
        <v>227</v>
      </c>
      <c r="C23" s="76">
        <f>'Income Statement '!C35/SUM('Balance Sheet'!C5:C6)</f>
        <v>0.26345056403450562</v>
      </c>
      <c r="D23" s="76">
        <f>'Income Statement '!D35/SUM('Balance Sheet'!D5:D6)</f>
        <v>0.28388611136897107</v>
      </c>
      <c r="E23" s="76">
        <f>'Income Statement '!E35/SUM('Balance Sheet'!E5:E6)</f>
        <v>0.24441645104180854</v>
      </c>
      <c r="F23" s="76">
        <f>'Income Statement '!F35/SUM('Balance Sheet'!F5:F6)</f>
        <v>0.24160387401114614</v>
      </c>
      <c r="G23" s="76">
        <f>'Income Statement '!G35/SUM('Balance Sheet'!G5:G6)</f>
        <v>0.28476500236936197</v>
      </c>
      <c r="H23" s="169">
        <f>'Income Statement '!H35/SUM('Balance Sheet'!H5:H6)</f>
        <v>0.28218264442489982</v>
      </c>
      <c r="I23" s="169">
        <f>'Income Statement '!I35/SUM('Balance Sheet'!I5:I6)</f>
        <v>0.2764735764056454</v>
      </c>
      <c r="J23" s="169">
        <f>'Income Statement '!J35/SUM('Balance Sheet'!J5:J6)</f>
        <v>0.26751538713656414</v>
      </c>
      <c r="K23" s="169">
        <f>'Income Statement '!K35/SUM('Balance Sheet'!K5:K6)</f>
        <v>0.2565346486005623</v>
      </c>
      <c r="L23" s="169">
        <f>'Income Statement '!L35/SUM('Balance Sheet'!L5:L6)</f>
        <v>0.24454758029545098</v>
      </c>
      <c r="N23" s="18">
        <f t="shared" si="8"/>
        <v>0.2645375839688916</v>
      </c>
      <c r="O23" s="18">
        <f t="shared" si="9"/>
        <v>0.26548297558553491</v>
      </c>
    </row>
    <row r="24" spans="2:15" x14ac:dyDescent="0.3">
      <c r="B24" t="s">
        <v>228</v>
      </c>
      <c r="C24" s="76">
        <f>C22*C23</f>
        <v>4.2857764754171566</v>
      </c>
      <c r="D24" s="76">
        <f t="shared" ref="D24:L24" si="10">D22*D23</f>
        <v>5.0212107891896922</v>
      </c>
      <c r="E24" s="76">
        <f t="shared" si="10"/>
        <v>1.4625300081853181</v>
      </c>
      <c r="F24" s="76">
        <f t="shared" si="10"/>
        <v>3.0960059188166573</v>
      </c>
      <c r="G24" s="76">
        <f t="shared" si="10"/>
        <v>4.9225109123450252</v>
      </c>
      <c r="H24" s="169">
        <f t="shared" si="10"/>
        <v>6.5630042345194193</v>
      </c>
      <c r="I24" s="169">
        <f t="shared" si="10"/>
        <v>8.3371381273531515</v>
      </c>
      <c r="J24" s="169">
        <f t="shared" si="10"/>
        <v>10.08940872046821</v>
      </c>
      <c r="K24" s="169">
        <f t="shared" si="10"/>
        <v>11.800996713010763</v>
      </c>
      <c r="L24" s="169">
        <f t="shared" si="10"/>
        <v>13.470668840603123</v>
      </c>
      <c r="N24" s="18">
        <f t="shared" si="8"/>
        <v>6.9049250739908512</v>
      </c>
      <c r="O24" s="18">
        <f t="shared" si="9"/>
        <v>5.7921075118545557</v>
      </c>
    </row>
    <row r="25" spans="2:15" x14ac:dyDescent="0.3">
      <c r="B25" s="82" t="s">
        <v>229</v>
      </c>
      <c r="C25" s="77">
        <f>'Income Statement '!C23/'Income Statement '!C26</f>
        <v>140.07499999999999</v>
      </c>
      <c r="D25" s="77">
        <f>'Income Statement '!D23/'Income Statement '!D26</f>
        <v>108.82042253521126</v>
      </c>
      <c r="E25" s="77">
        <f>'Income Statement '!E23/'Income Statement '!E26</f>
        <v>67.5468085106383</v>
      </c>
      <c r="F25" s="77">
        <f>'Income Statement '!F23/'Income Statement '!F26</f>
        <v>82.75</v>
      </c>
      <c r="G25" s="77">
        <f>'Income Statement '!G23/'Income Statement '!G26</f>
        <v>89.850961538461533</v>
      </c>
      <c r="H25" s="174">
        <f>'Income Statement '!H23/'Income Statement '!H26</f>
        <v>115.94550802048474</v>
      </c>
      <c r="I25" s="174">
        <f>'Income Statement '!I23/'Income Statement '!I26</f>
        <v>127.08549609092341</v>
      </c>
      <c r="J25" s="174">
        <f>'Income Statement '!J23/'Income Statement '!J26</f>
        <v>139.29580880203363</v>
      </c>
      <c r="K25" s="174">
        <f>'Income Statement '!K23/'Income Statement '!K26</f>
        <v>152.67928242519986</v>
      </c>
      <c r="L25" s="174">
        <f>'Income Statement '!L23/'Income Statement '!L26</f>
        <v>167.34863369079048</v>
      </c>
      <c r="M25" s="82"/>
      <c r="N25" s="77">
        <f t="shared" si="8"/>
        <v>119.13979216137432</v>
      </c>
      <c r="O25" s="77">
        <f t="shared" si="9"/>
        <v>121.51550205570408</v>
      </c>
    </row>
    <row r="26" spans="2:15" ht="3.6" customHeight="1" x14ac:dyDescent="0.3">
      <c r="H26" s="37"/>
      <c r="I26" s="37"/>
      <c r="J26" s="37"/>
      <c r="K26" s="37"/>
      <c r="L26" s="37"/>
    </row>
    <row r="27" spans="2:15" x14ac:dyDescent="0.3">
      <c r="B27" s="79" t="s">
        <v>230</v>
      </c>
      <c r="C27" s="85">
        <f>'Income Statement '!C5/'Balance Sheet'!C15</f>
        <v>5.3591065292096216</v>
      </c>
      <c r="D27" s="85">
        <f>'Income Statement '!D5/'Balance Sheet'!D15</f>
        <v>5.7727737570799249</v>
      </c>
      <c r="E27" s="85">
        <f>'Income Statement '!E5/'Balance Sheet'!E15</f>
        <v>5.0895903023879709</v>
      </c>
      <c r="F27" s="85">
        <f>'Income Statement '!F5/'Balance Sheet'!F15</f>
        <v>5.2310803004043906</v>
      </c>
      <c r="G27" s="85">
        <f>'Income Statement '!G5/'Balance Sheet'!G15</f>
        <v>5.0703865584378729</v>
      </c>
      <c r="H27" s="175">
        <f>'Income Statement '!H5/'Balance Sheet'!H15</f>
        <v>5.2927224126311332</v>
      </c>
      <c r="I27" s="175">
        <f>'Income Statement '!I5/'Balance Sheet'!I15</f>
        <v>5.2927224126311341</v>
      </c>
      <c r="J27" s="175">
        <f>'Income Statement '!J5/'Balance Sheet'!J15</f>
        <v>5.292722412631135</v>
      </c>
      <c r="K27" s="175">
        <f>'Income Statement '!K5/'Balance Sheet'!K15</f>
        <v>5.2927224126311341</v>
      </c>
      <c r="L27" s="175">
        <f>'Income Statement '!L5/'Balance Sheet'!L15</f>
        <v>5.292722412631135</v>
      </c>
      <c r="M27" s="79"/>
      <c r="N27" s="85">
        <f t="shared" ref="N27:N31" si="11">AVERAGE(C27:L27)</f>
        <v>5.2986549510675456</v>
      </c>
      <c r="O27" s="85">
        <f t="shared" ref="O27:O31" si="12">MEDIAN(C27:L27)</f>
        <v>5.2927224126311341</v>
      </c>
    </row>
    <row r="28" spans="2:15" x14ac:dyDescent="0.3">
      <c r="B28" t="s">
        <v>231</v>
      </c>
      <c r="C28" s="78">
        <v>0</v>
      </c>
      <c r="D28" s="78">
        <v>0</v>
      </c>
      <c r="E28" s="78">
        <v>0</v>
      </c>
      <c r="F28" s="78">
        <v>0</v>
      </c>
      <c r="G28" s="78">
        <v>0</v>
      </c>
      <c r="H28" s="176">
        <v>0</v>
      </c>
      <c r="I28" s="176">
        <v>0</v>
      </c>
      <c r="J28" s="176">
        <v>0</v>
      </c>
      <c r="K28" s="176">
        <v>0</v>
      </c>
      <c r="L28" s="176">
        <v>0</v>
      </c>
      <c r="N28" s="78">
        <f t="shared" si="11"/>
        <v>0</v>
      </c>
      <c r="O28" s="78">
        <f t="shared" si="12"/>
        <v>0</v>
      </c>
    </row>
    <row r="29" spans="2:15" x14ac:dyDescent="0.3">
      <c r="B29" t="s">
        <v>56</v>
      </c>
      <c r="C29" s="78">
        <f>IFERROR('Income Statement '!C5/'Balance Sheet'!C16,0)</f>
        <v>0</v>
      </c>
      <c r="D29" s="78">
        <f>IFERROR('Income Statement '!D5/'Balance Sheet'!D16,0)</f>
        <v>0</v>
      </c>
      <c r="E29" s="78">
        <f>IFERROR('Income Statement '!E5/'Balance Sheet'!E16,0)</f>
        <v>0</v>
      </c>
      <c r="F29" s="78">
        <f>IFERROR('Income Statement '!F5/'Balance Sheet'!F16,0)</f>
        <v>0</v>
      </c>
      <c r="G29" s="78">
        <f>IFERROR('Income Statement '!G5/'Balance Sheet'!G16,0)</f>
        <v>0</v>
      </c>
      <c r="H29" s="176">
        <f>IFERROR('Income Statement '!H5/'Balance Sheet'!H16,0)</f>
        <v>0</v>
      </c>
      <c r="I29" s="176">
        <f>IFERROR('Income Statement '!I5/'Balance Sheet'!I16,0)</f>
        <v>0</v>
      </c>
      <c r="J29" s="176">
        <f>IFERROR('Income Statement '!J5/'Balance Sheet'!J16,0)</f>
        <v>0</v>
      </c>
      <c r="K29" s="176">
        <f>IFERROR('Income Statement '!K5/'Balance Sheet'!K16,0)</f>
        <v>0</v>
      </c>
      <c r="L29" s="176">
        <f>IFERROR('Income Statement '!L5/'Balance Sheet'!L16,0)</f>
        <v>0</v>
      </c>
      <c r="N29" s="78">
        <f t="shared" si="11"/>
        <v>0</v>
      </c>
      <c r="O29" s="78">
        <f t="shared" si="12"/>
        <v>0</v>
      </c>
    </row>
    <row r="30" spans="2:15" x14ac:dyDescent="0.3">
      <c r="B30" t="s">
        <v>232</v>
      </c>
      <c r="C30" s="78">
        <f>'Income Statement '!C5/'Balance Sheet'!C10</f>
        <v>4.7147674418604648</v>
      </c>
      <c r="D30" s="78">
        <f>'Income Statement '!D5/'Balance Sheet'!D10</f>
        <v>5.0219674935842598</v>
      </c>
      <c r="E30" s="78">
        <f>'Income Statement '!E5/'Balance Sheet'!E10</f>
        <v>5.5633190934762142</v>
      </c>
      <c r="F30" s="78">
        <f>'Income Statement '!F5/'Balance Sheet'!F10</f>
        <v>5.2643648460967025</v>
      </c>
      <c r="G30" s="78">
        <f>'Income Statement '!G5/'Balance Sheet'!G10</f>
        <v>5.2901984009475864</v>
      </c>
      <c r="H30" s="176">
        <f>'Income Statement '!H5/'Balance Sheet'!H10</f>
        <v>4.7040969197715548</v>
      </c>
      <c r="I30" s="176">
        <f>'Income Statement '!I5/'Balance Sheet'!I10</f>
        <v>4.4734484032650332</v>
      </c>
      <c r="J30" s="176">
        <f>'Income Statement '!J5/'Balance Sheet'!J10</f>
        <v>4.4519947405826477</v>
      </c>
      <c r="K30" s="176">
        <f>'Income Statement '!K5/'Balance Sheet'!K10</f>
        <v>4.5863475717723796</v>
      </c>
      <c r="L30" s="176">
        <f>'Income Statement '!L5/'Balance Sheet'!L10</f>
        <v>4.8632224063288669</v>
      </c>
      <c r="N30" s="78">
        <f t="shared" si="11"/>
        <v>4.8933727317685713</v>
      </c>
      <c r="O30" s="78">
        <f t="shared" si="12"/>
        <v>4.7889949240946663</v>
      </c>
    </row>
    <row r="31" spans="2:15" x14ac:dyDescent="0.3">
      <c r="B31" s="82" t="s">
        <v>233</v>
      </c>
      <c r="C31" s="77">
        <f>'Income Statement '!C5/SUM('Balance Sheet'!C5:C6)</f>
        <v>1.6143463835434639</v>
      </c>
      <c r="D31" s="77">
        <f>'Income Statement '!D5/SUM('Balance Sheet'!D5:D6)</f>
        <v>1.9463312424575967</v>
      </c>
      <c r="E31" s="77">
        <f>'Income Statement '!E5/SUM('Balance Sheet'!E5:E6)</f>
        <v>1.7439511552952927</v>
      </c>
      <c r="F31" s="77">
        <f>'Income Statement '!F5/SUM('Balance Sheet'!F5:F6)</f>
        <v>1.701037383372644</v>
      </c>
      <c r="G31" s="77">
        <f>'Income Statement '!G5/SUM('Balance Sheet'!G5:G6)</f>
        <v>1.9240296385645974</v>
      </c>
      <c r="H31" s="174">
        <f>'Income Statement '!H5/SUM('Balance Sheet'!H5:H6)</f>
        <v>1.9144110463518742</v>
      </c>
      <c r="I31" s="174">
        <f>'Income Statement '!I5/SUM('Balance Sheet'!I5:I6)</f>
        <v>1.8742497270894294</v>
      </c>
      <c r="J31" s="174">
        <f>'Income Statement '!J5/SUM('Balance Sheet'!J5:J6)</f>
        <v>1.8122610924837519</v>
      </c>
      <c r="K31" s="174">
        <f>'Income Statement '!K5/SUM('Balance Sheet'!K5:K6)</f>
        <v>1.7367721422616691</v>
      </c>
      <c r="L31" s="174">
        <f>'Income Statement '!L5/SUM('Balance Sheet'!L5:L6)</f>
        <v>1.654661917233379</v>
      </c>
      <c r="M31" s="82"/>
      <c r="N31" s="77">
        <f t="shared" si="11"/>
        <v>1.7922051728653698</v>
      </c>
      <c r="O31" s="77">
        <f t="shared" si="12"/>
        <v>1.7781061238895224</v>
      </c>
    </row>
    <row r="32" spans="2:15" ht="3.6" customHeight="1" x14ac:dyDescent="0.3">
      <c r="H32" s="37"/>
      <c r="I32" s="37"/>
      <c r="J32" s="37"/>
      <c r="K32" s="37"/>
      <c r="L32" s="37"/>
    </row>
    <row r="33" spans="2:15" x14ac:dyDescent="0.3">
      <c r="B33" s="79" t="s">
        <v>57</v>
      </c>
      <c r="C33" s="86">
        <f>365/C27</f>
        <v>68.108368066688044</v>
      </c>
      <c r="D33" s="86">
        <f t="shared" ref="D33:L33" si="13">365/D27</f>
        <v>63.227837320378555</v>
      </c>
      <c r="E33" s="86">
        <f t="shared" si="13"/>
        <v>71.715006182078483</v>
      </c>
      <c r="F33" s="86">
        <f t="shared" si="13"/>
        <v>69.775262286029815</v>
      </c>
      <c r="G33" s="86">
        <f t="shared" si="13"/>
        <v>71.986621886369988</v>
      </c>
      <c r="H33" s="177">
        <f t="shared" si="13"/>
        <v>68.962619148309003</v>
      </c>
      <c r="I33" s="177">
        <f t="shared" si="13"/>
        <v>68.962619148308988</v>
      </c>
      <c r="J33" s="177">
        <f t="shared" si="13"/>
        <v>68.962619148308974</v>
      </c>
      <c r="K33" s="177">
        <f t="shared" si="13"/>
        <v>68.962619148308988</v>
      </c>
      <c r="L33" s="177">
        <f t="shared" si="13"/>
        <v>68.962619148308974</v>
      </c>
      <c r="M33" s="79"/>
      <c r="N33" s="86">
        <f t="shared" ref="N33:N36" si="14">AVERAGE(C33:L33)</f>
        <v>68.962619148308974</v>
      </c>
      <c r="O33" s="86">
        <f t="shared" ref="O33:O36" si="15">MEDIAN(C33:L33)</f>
        <v>68.962619148308988</v>
      </c>
    </row>
    <row r="34" spans="2:15" x14ac:dyDescent="0.3">
      <c r="B34" t="s">
        <v>234</v>
      </c>
      <c r="C34" s="87">
        <f>IFERROR(365/C28,0)</f>
        <v>0</v>
      </c>
      <c r="D34" s="87">
        <f t="shared" ref="D34:L34" si="16">IFERROR(365/D28,0)</f>
        <v>0</v>
      </c>
      <c r="E34" s="87">
        <f t="shared" si="16"/>
        <v>0</v>
      </c>
      <c r="F34" s="87">
        <f t="shared" si="16"/>
        <v>0</v>
      </c>
      <c r="G34" s="87">
        <f t="shared" si="16"/>
        <v>0</v>
      </c>
      <c r="H34" s="178">
        <f t="shared" si="16"/>
        <v>0</v>
      </c>
      <c r="I34" s="178">
        <f t="shared" si="16"/>
        <v>0</v>
      </c>
      <c r="J34" s="178">
        <f t="shared" si="16"/>
        <v>0</v>
      </c>
      <c r="K34" s="178">
        <f t="shared" si="16"/>
        <v>0</v>
      </c>
      <c r="L34" s="178">
        <f t="shared" si="16"/>
        <v>0</v>
      </c>
      <c r="N34" s="87">
        <f t="shared" si="14"/>
        <v>0</v>
      </c>
      <c r="O34" s="87">
        <f t="shared" si="15"/>
        <v>0</v>
      </c>
    </row>
    <row r="35" spans="2:15" x14ac:dyDescent="0.3">
      <c r="B35" t="s">
        <v>235</v>
      </c>
      <c r="C35" s="87">
        <f>IFERROR(365/C29,0)</f>
        <v>0</v>
      </c>
      <c r="D35" s="87">
        <f t="shared" ref="D35:L35" si="17">IFERROR(365/D29,0)</f>
        <v>0</v>
      </c>
      <c r="E35" s="87">
        <f t="shared" si="17"/>
        <v>0</v>
      </c>
      <c r="F35" s="87">
        <f t="shared" si="17"/>
        <v>0</v>
      </c>
      <c r="G35" s="87">
        <f t="shared" si="17"/>
        <v>0</v>
      </c>
      <c r="H35" s="178">
        <f t="shared" si="17"/>
        <v>0</v>
      </c>
      <c r="I35" s="178">
        <f t="shared" si="17"/>
        <v>0</v>
      </c>
      <c r="J35" s="178">
        <f t="shared" si="17"/>
        <v>0</v>
      </c>
      <c r="K35" s="178">
        <f t="shared" si="17"/>
        <v>0</v>
      </c>
      <c r="L35" s="178">
        <f t="shared" si="17"/>
        <v>0</v>
      </c>
      <c r="N35" s="87">
        <f t="shared" si="14"/>
        <v>0</v>
      </c>
      <c r="O35" s="87">
        <f t="shared" si="15"/>
        <v>0</v>
      </c>
    </row>
    <row r="36" spans="2:15" x14ac:dyDescent="0.3">
      <c r="B36" s="82" t="s">
        <v>236</v>
      </c>
      <c r="C36" s="88">
        <f>IFERROR(SUM(C33,C35)-C34,0)</f>
        <v>68.108368066688044</v>
      </c>
      <c r="D36" s="88">
        <f t="shared" ref="D36:L36" si="18">IFERROR(SUM(D33,D35)-D34,0)</f>
        <v>63.227837320378555</v>
      </c>
      <c r="E36" s="88">
        <f t="shared" si="18"/>
        <v>71.715006182078483</v>
      </c>
      <c r="F36" s="88">
        <f t="shared" si="18"/>
        <v>69.775262286029815</v>
      </c>
      <c r="G36" s="88">
        <f t="shared" si="18"/>
        <v>71.986621886369988</v>
      </c>
      <c r="H36" s="179">
        <f t="shared" si="18"/>
        <v>68.962619148309003</v>
      </c>
      <c r="I36" s="179">
        <f t="shared" si="18"/>
        <v>68.962619148308988</v>
      </c>
      <c r="J36" s="179">
        <f t="shared" si="18"/>
        <v>68.962619148308974</v>
      </c>
      <c r="K36" s="179">
        <f t="shared" si="18"/>
        <v>68.962619148308988</v>
      </c>
      <c r="L36" s="179">
        <f t="shared" si="18"/>
        <v>68.962619148308974</v>
      </c>
      <c r="M36" s="82"/>
      <c r="N36" s="88">
        <f t="shared" si="14"/>
        <v>68.962619148308974</v>
      </c>
      <c r="O36" s="88">
        <f t="shared" si="15"/>
        <v>68.962619148308988</v>
      </c>
    </row>
    <row r="37" spans="2:15" ht="3.6" customHeight="1" x14ac:dyDescent="0.3">
      <c r="H37" s="37"/>
      <c r="I37" s="37"/>
      <c r="J37" s="37"/>
      <c r="K37" s="37"/>
      <c r="L37" s="37"/>
    </row>
    <row r="38" spans="2:15" x14ac:dyDescent="0.3">
      <c r="B38" s="79" t="s">
        <v>237</v>
      </c>
      <c r="C38" s="80">
        <f>'Cash Flow   '!C13/'Income Statement '!C5</f>
        <v>0.36484409039715227</v>
      </c>
      <c r="D38" s="80">
        <f>'Cash Flow   '!D13/'Income Statement '!D5</f>
        <v>0.14773757043477076</v>
      </c>
      <c r="E38" s="80">
        <f>'Cash Flow   '!E13/'Income Statement '!E5</f>
        <v>0.13210776338908051</v>
      </c>
      <c r="F38" s="80">
        <f>'Cash Flow   '!F13/'Income Statement '!F5</f>
        <v>0.14195962942511811</v>
      </c>
      <c r="G38" s="80">
        <f>'Cash Flow   '!G13/'Income Statement '!G5</f>
        <v>0.196272040302267</v>
      </c>
      <c r="H38" s="168">
        <f>'Cash Flow   '!H13/'Income Statement '!H5</f>
        <v>0.14457210479083107</v>
      </c>
      <c r="I38" s="168">
        <f>'Cash Flow   '!I13/'Income Statement '!I5</f>
        <v>0.16309176213699728</v>
      </c>
      <c r="J38" s="168">
        <f>'Cash Flow   '!J13/'Income Statement '!J5</f>
        <v>0.16319431547006738</v>
      </c>
      <c r="K38" s="168">
        <f>'Cash Flow   '!K13/'Income Statement '!K5</f>
        <v>0.1632878792414478</v>
      </c>
      <c r="L38" s="168">
        <f>'Cash Flow   '!L13/'Income Statement '!L5</f>
        <v>0.16337324145301943</v>
      </c>
      <c r="M38" s="79"/>
      <c r="N38" s="81">
        <f t="shared" ref="N38:N40" si="19">AVERAGE(C38:L38)</f>
        <v>0.17804403970407515</v>
      </c>
      <c r="O38" s="81">
        <f t="shared" ref="O38:O40" si="20">MEDIAN(C38:L38)</f>
        <v>0.16314303880353231</v>
      </c>
    </row>
    <row r="39" spans="2:15" x14ac:dyDescent="0.3">
      <c r="B39" t="s">
        <v>238</v>
      </c>
      <c r="C39" s="76">
        <f>'Cash Flow   '!C13/'Balance Sheet'!C20</f>
        <v>0.38019686624574872</v>
      </c>
      <c r="D39" s="76">
        <f>'Cash Flow   '!D13/'Balance Sheet'!D20</f>
        <v>0.17402645349770457</v>
      </c>
      <c r="E39" s="76">
        <f>'Cash Flow   '!E13/'Balance Sheet'!E20</f>
        <v>0.14925011027790031</v>
      </c>
      <c r="F39" s="76">
        <f>'Cash Flow   '!F13/'Balance Sheet'!F20</f>
        <v>0.1565546872356981</v>
      </c>
      <c r="G39" s="76">
        <f>'Cash Flow   '!G13/'Balance Sheet'!G20</f>
        <v>0.22726329980296589</v>
      </c>
      <c r="H39" s="169">
        <f>'Cash Flow   '!H13/'Balance Sheet'!H20</f>
        <v>0.17056099149910559</v>
      </c>
      <c r="I39" s="169">
        <f>'Cash Flow   '!I13/'Balance Sheet'!I20</f>
        <v>0.19081480554198751</v>
      </c>
      <c r="J39" s="169">
        <f>'Cash Flow   '!J13/'Balance Sheet'!J20</f>
        <v>0.18774913702034443</v>
      </c>
      <c r="K39" s="169">
        <f>'Cash Flow   '!K13/'Balance Sheet'!K20</f>
        <v>0.18351498956069262</v>
      </c>
      <c r="L39" s="169">
        <f>'Cash Flow   '!L13/'Balance Sheet'!L20</f>
        <v>0.17850464931314855</v>
      </c>
      <c r="N39" s="18">
        <f t="shared" si="19"/>
        <v>0.19984359899952964</v>
      </c>
      <c r="O39" s="18">
        <f t="shared" si="20"/>
        <v>0.18100981943692057</v>
      </c>
    </row>
    <row r="40" spans="2:15" x14ac:dyDescent="0.3">
      <c r="B40" s="82" t="s">
        <v>239</v>
      </c>
      <c r="C40" s="83">
        <f>'Cash Flow   '!C13/'Balance Sheet'!C7</f>
        <v>8.1074168797953963</v>
      </c>
      <c r="D40" s="83">
        <f>'Cash Flow   '!D13/'Balance Sheet'!D7</f>
        <v>2.6127244246294734</v>
      </c>
      <c r="E40" s="83">
        <f>'Cash Flow   '!E13/'Balance Sheet'!E7</f>
        <v>2.4286397894484986</v>
      </c>
      <c r="F40" s="83">
        <f>'Cash Flow   '!F13/'Balance Sheet'!F7</f>
        <v>2.8124468214415947</v>
      </c>
      <c r="G40" s="83">
        <f>'Cash Flow   '!G13/'Balance Sheet'!G7</f>
        <v>3.821272885789015</v>
      </c>
      <c r="H40" s="170">
        <f>'Cash Flow   '!H13/'Balance Sheet'!H7</f>
        <v>3.0851492612441742</v>
      </c>
      <c r="I40" s="170">
        <f>'Cash Flow   '!I13/'Balance Sheet'!I7</f>
        <v>3.8147471948145495</v>
      </c>
      <c r="J40" s="170">
        <f>'Cash Flow   '!J13/'Balance Sheet'!J7</f>
        <v>4.1838954634637915</v>
      </c>
      <c r="K40" s="170">
        <f>'Cash Flow   '!K13/'Balance Sheet'!K7</f>
        <v>4.5885113183885551</v>
      </c>
      <c r="L40" s="170">
        <f>'Cash Flow   '!L13/'Balance Sheet'!L7</f>
        <v>5.0320024680438005</v>
      </c>
      <c r="M40" s="82"/>
      <c r="N40" s="84">
        <f t="shared" si="19"/>
        <v>4.0486806507058848</v>
      </c>
      <c r="O40" s="84">
        <f t="shared" si="20"/>
        <v>3.8180100403017825</v>
      </c>
    </row>
  </sheetData>
  <mergeCells count="1">
    <mergeCell ref="B2:O2"/>
  </mergeCells>
  <pageMargins left="0.7" right="0.7" top="0.75" bottom="0.75" header="0.3" footer="0.3"/>
  <pageSetup orientation="portrait" r:id="rId1"/>
  <extLst>
    <ext xmlns:x14="http://schemas.microsoft.com/office/spreadsheetml/2009/9/main" uri="{05C60535-1F16-4fd2-B633-F4F36F0B64E0}">
      <x14:sparklineGroups xmlns:xm="http://schemas.microsoft.com/office/excel/2006/main">
        <x14:sparklineGroup displayEmptyCellsAs="gap" markers="1" negative="1" xr2:uid="{0AEB9984-DBA2-417B-AD50-7A960C9192C2}">
          <x14:colorSeries rgb="FF0070C0"/>
          <x14:colorNegative rgb="FF000000"/>
          <x14:colorAxis rgb="FF000000"/>
          <x14:colorMarkers rgb="FF000000"/>
          <x14:colorFirst rgb="FF000000"/>
          <x14:colorLast rgb="FF000000"/>
          <x14:colorHigh rgb="FF000000"/>
          <x14:colorLow rgb="FF000000"/>
          <x14:sparklines>
            <x14:sparkline>
              <xm:f>'Ratio Analysis'!C11:L11</xm:f>
              <xm:sqref>M11</xm:sqref>
            </x14:sparkline>
            <x14:sparkline>
              <xm:f>'Ratio Analysis'!C12:L12</xm:f>
              <xm:sqref>M12</xm:sqref>
            </x14:sparkline>
            <x14:sparkline>
              <xm:f>'Ratio Analysis'!C13:L13</xm:f>
              <xm:sqref>M13</xm:sqref>
            </x14:sparkline>
            <x14:sparkline>
              <xm:f>'Ratio Analysis'!C14:L14</xm:f>
              <xm:sqref>M14</xm:sqref>
            </x14:sparkline>
            <x14:sparkline>
              <xm:f>'Ratio Analysis'!C15:L15</xm:f>
              <xm:sqref>M15</xm:sqref>
            </x14:sparkline>
            <x14:sparkline>
              <xm:f>'Ratio Analysis'!C16:L16</xm:f>
              <xm:sqref>M16</xm:sqref>
            </x14:sparkline>
            <x14:sparkline>
              <xm:f>'Ratio Analysis'!C17:L17</xm:f>
              <xm:sqref>M17</xm:sqref>
            </x14:sparkline>
            <x14:sparkline>
              <xm:f>'Ratio Analysis'!C18:L18</xm:f>
              <xm:sqref>M18</xm:sqref>
            </x14:sparkline>
            <x14:sparkline>
              <xm:f>'Ratio Analysis'!C19:L19</xm:f>
              <xm:sqref>M19</xm:sqref>
            </x14:sparkline>
            <x14:sparkline>
              <xm:f>'Ratio Analysis'!C20:L20</xm:f>
              <xm:sqref>M20</xm:sqref>
            </x14:sparkline>
            <x14:sparkline>
              <xm:f>'Ratio Analysis'!C21:L21</xm:f>
              <xm:sqref>M21</xm:sqref>
            </x14:sparkline>
            <x14:sparkline>
              <xm:f>'Ratio Analysis'!C22:L22</xm:f>
              <xm:sqref>M22</xm:sqref>
            </x14:sparkline>
            <x14:sparkline>
              <xm:f>'Ratio Analysis'!C23:L23</xm:f>
              <xm:sqref>M23</xm:sqref>
            </x14:sparkline>
            <x14:sparkline>
              <xm:f>'Ratio Analysis'!C24:L24</xm:f>
              <xm:sqref>M24</xm:sqref>
            </x14:sparkline>
            <x14:sparkline>
              <xm:f>'Ratio Analysis'!C25:L25</xm:f>
              <xm:sqref>M25</xm:sqref>
            </x14:sparkline>
            <x14:sparkline>
              <xm:f>'Ratio Analysis'!C26:L26</xm:f>
              <xm:sqref>M26</xm:sqref>
            </x14:sparkline>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
              <xm:f>'Ratio Analysis'!C31:L31</xm:f>
              <xm:sqref>M31</xm:sqref>
            </x14:sparkline>
            <x14:sparkline>
              <xm:f>'Ratio Analysis'!C32:L32</xm:f>
              <xm:sqref>M32</xm:sqref>
            </x14:sparkline>
            <x14:sparkline>
              <xm:f>'Ratio Analysis'!C33:L33</xm:f>
              <xm:sqref>M33</xm:sqref>
            </x14:sparkline>
            <x14:sparkline>
              <xm:f>'Ratio Analysis'!C34:L34</xm:f>
              <xm:sqref>M34</xm:sqref>
            </x14:sparkline>
            <x14:sparkline>
              <xm:f>'Ratio Analysis'!C35:L35</xm:f>
              <xm:sqref>M35</xm:sqref>
            </x14:sparkline>
            <x14:sparkline>
              <xm:f>'Ratio Analysis'!C36:L36</xm:f>
              <xm:sqref>M36</xm:sqref>
            </x14:sparkline>
            <x14:sparkline>
              <xm:f>'Ratio Analysis'!C37:L37</xm:f>
              <xm:sqref>M37</xm:sqref>
            </x14:sparkline>
            <x14:sparkline>
              <xm:f>'Ratio Analysis'!C38:L38</xm:f>
              <xm:sqref>M38</xm:sqref>
            </x14:sparkline>
            <x14:sparkline>
              <xm:f>'Ratio Analysis'!C39:L39</xm:f>
              <xm:sqref>M39</xm:sqref>
            </x14:sparkline>
            <x14:sparkline>
              <xm:f>'Ratio Analysis'!C40:L40</xm:f>
              <xm:sqref>M40</xm:sqref>
            </x14:sparkline>
          </x14:sparklines>
        </x14:sparklineGroup>
        <x14:sparklineGroup displayEmptyCellsAs="gap" markers="1" xr2:uid="{5941190E-D764-4316-98F6-D96404B410B2}">
          <x14:colorSeries rgb="FF00B0F0"/>
          <x14:colorNegative theme="8"/>
          <x14:colorAxis rgb="FF000000"/>
          <x14:colorMarkers rgb="FF002060"/>
          <x14:colorFirst theme="7" tint="-0.249977111117893"/>
          <x14:colorLast theme="7" tint="-0.249977111117893"/>
          <x14:colorHigh theme="7" tint="-0.249977111117893"/>
          <x14:colorLow theme="7" tint="-0.249977111117893"/>
          <x14:sparklines>
            <x14:sparkline>
              <xm:f>'Ratio Analysis'!D5:L5</xm:f>
              <xm:sqref>M5</xm:sqref>
            </x14:sparkline>
            <x14:sparkline>
              <xm:f>'Ratio Analysis'!D6:L6</xm:f>
              <xm:sqref>M6</xm:sqref>
            </x14:sparkline>
            <x14:sparkline>
              <xm:f>'Ratio Analysis'!D7:L7</xm:f>
              <xm:sqref>M7</xm:sqref>
            </x14:sparkline>
            <x14:sparkline>
              <xm:f>'Ratio Analysis'!D8:L8</xm:f>
              <xm:sqref>M8</xm:sqref>
            </x14:sparkline>
            <x14:sparkline>
              <xm:f>'Ratio Analysis'!D9:L9</xm:f>
              <xm:sqref>M9</xm:sqref>
            </x14:sparkline>
          </x14:sparklines>
        </x14:sparklineGroup>
      </x14:sparklineGroup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3D67E-352D-4EC4-B626-DC18B7F9D978}">
  <sheetPr>
    <tabColor rgb="FF002060"/>
    <pageSetUpPr fitToPage="1"/>
  </sheetPr>
  <dimension ref="B2:L38"/>
  <sheetViews>
    <sheetView showGridLines="0" zoomScale="80" zoomScaleNormal="80" workbookViewId="0">
      <pane ySplit="3" topLeftCell="A13" activePane="bottomLeft" state="frozen"/>
      <selection pane="bottomLeft" activeCell="B1" sqref="B1:L43"/>
    </sheetView>
  </sheetViews>
  <sheetFormatPr defaultRowHeight="14.4" x14ac:dyDescent="0.3"/>
  <cols>
    <col min="1" max="1" width="1.88671875" customWidth="1"/>
    <col min="2" max="2" width="26.88671875" bestFit="1" customWidth="1"/>
    <col min="3" max="12" width="10.88671875" bestFit="1" customWidth="1"/>
  </cols>
  <sheetData>
    <row r="2" spans="2:12" x14ac:dyDescent="0.3">
      <c r="B2" s="233" t="str">
        <f>"Cash Flow Statement-"&amp;'Data Sheet &gt;'!B1</f>
        <v>Cash Flow Statement-INFOSYS LTD</v>
      </c>
      <c r="C2" s="233"/>
      <c r="D2" s="233"/>
      <c r="E2" s="233"/>
      <c r="F2" s="233"/>
      <c r="G2" s="233"/>
      <c r="H2" s="233"/>
      <c r="I2" s="233"/>
      <c r="J2" s="233"/>
      <c r="K2" s="233"/>
      <c r="L2" s="233"/>
    </row>
    <row r="3" spans="2:12" x14ac:dyDescent="0.3">
      <c r="B3" s="25" t="s">
        <v>126</v>
      </c>
      <c r="C3" s="26">
        <f>'Data Sheet &gt;'!G16</f>
        <v>44651</v>
      </c>
      <c r="D3" s="26">
        <f>'Data Sheet &gt;'!H16</f>
        <v>45016</v>
      </c>
      <c r="E3" s="26">
        <f>'Data Sheet &gt;'!I16</f>
        <v>45382</v>
      </c>
      <c r="F3" s="26">
        <f>'Data Sheet &gt;'!J16</f>
        <v>45747</v>
      </c>
      <c r="G3" s="26">
        <f>'Data Sheet &gt;'!K16</f>
        <v>46112</v>
      </c>
      <c r="H3" s="27">
        <f>G3+365</f>
        <v>46477</v>
      </c>
      <c r="I3" s="27">
        <f t="shared" ref="I3:L3" si="0">H3+365</f>
        <v>46842</v>
      </c>
      <c r="J3" s="27">
        <f t="shared" si="0"/>
        <v>47207</v>
      </c>
      <c r="K3" s="27">
        <f t="shared" si="0"/>
        <v>47572</v>
      </c>
      <c r="L3" s="27">
        <f t="shared" si="0"/>
        <v>47937</v>
      </c>
    </row>
    <row r="4" spans="2:12" ht="3.6" customHeight="1" x14ac:dyDescent="0.3">
      <c r="H4" s="37"/>
      <c r="I4" s="37"/>
      <c r="J4" s="37"/>
      <c r="K4" s="37"/>
      <c r="L4" s="37"/>
    </row>
    <row r="5" spans="2:12" x14ac:dyDescent="0.3">
      <c r="B5" s="24" t="s">
        <v>26</v>
      </c>
      <c r="H5" s="37"/>
      <c r="I5" s="37"/>
      <c r="J5" s="37"/>
      <c r="K5" s="37"/>
      <c r="L5" s="37"/>
    </row>
    <row r="6" spans="2:12" x14ac:dyDescent="0.3">
      <c r="B6" t="s">
        <v>27</v>
      </c>
      <c r="C6" s="34">
        <f>IFERROR('Cash Flow Data'!J4,0)</f>
        <v>65900</v>
      </c>
      <c r="D6" s="34">
        <f>IFERROR('Cash Flow Data'!K4,0)</f>
        <v>30908</v>
      </c>
      <c r="E6" s="34">
        <f>IFERROR('Cash Flow Data'!L4,0)</f>
        <v>22237</v>
      </c>
      <c r="F6" s="34">
        <f>IFERROR('Cash Flow Data'!M4,0)</f>
        <v>23929</v>
      </c>
      <c r="G6" s="34">
        <f>IFERROR('Cash Flow Data'!N4,0)</f>
        <v>34219</v>
      </c>
      <c r="H6" s="51">
        <f>'Income Statement '!H35+'Income Statement '!H20</f>
        <v>34532.424565426518</v>
      </c>
      <c r="I6" s="51">
        <f>'Income Statement '!I35+'Income Statement '!I20</f>
        <v>37874.408785460109</v>
      </c>
      <c r="J6" s="51">
        <f>'Income Statement '!J35+'Income Statement '!J20</f>
        <v>41537.489225419595</v>
      </c>
      <c r="K6" s="51">
        <f>'Income Statement '!K35+'Income Statement '!K20</f>
        <v>45552.516654088642</v>
      </c>
      <c r="L6" s="51">
        <f>'Income Statement '!L35+'Income Statement '!L20</f>
        <v>49953.305967124514</v>
      </c>
    </row>
    <row r="7" spans="2:12" x14ac:dyDescent="0.3">
      <c r="B7" t="s">
        <v>22</v>
      </c>
      <c r="C7" s="34">
        <f>IFERROR('Cash Flow Data'!J5,0)</f>
        <v>0</v>
      </c>
      <c r="D7" s="34">
        <f>IFERROR('Cash Flow Data'!K5,0)</f>
        <v>0</v>
      </c>
      <c r="E7" s="34">
        <f>IFERROR('Cash Flow Data'!L5,0)</f>
        <v>0</v>
      </c>
      <c r="F7" s="34">
        <f>IFERROR('Cash Flow Data'!M5,0)</f>
        <v>0</v>
      </c>
      <c r="G7" s="34">
        <f>IFERROR('Cash Flow Data'!N5,0)</f>
        <v>0</v>
      </c>
      <c r="H7" s="51">
        <f>'Balance Sheet'!G15-'Balance Sheet'!H15</f>
        <v>-1762.9535381619571</v>
      </c>
      <c r="I7" s="51">
        <f>'Balance Sheet'!H15-'Balance Sheet'!I15</f>
        <v>-3554.6493184098217</v>
      </c>
      <c r="J7" s="51">
        <f>'Balance Sheet'!I15-'Balance Sheet'!J15</f>
        <v>-3896.1782976496324</v>
      </c>
      <c r="K7" s="51">
        <f>'Balance Sheet'!J15-'Balance Sheet'!K15</f>
        <v>-4270.5212152592721</v>
      </c>
      <c r="L7" s="51">
        <f>'Balance Sheet'!K15-'Balance Sheet'!L15</f>
        <v>-4680.8308184923444</v>
      </c>
    </row>
    <row r="8" spans="2:12" x14ac:dyDescent="0.3">
      <c r="B8" t="s">
        <v>23</v>
      </c>
      <c r="C8" s="34">
        <f>IFERROR('Cash Flow Data'!J6,0)</f>
        <v>-16917</v>
      </c>
      <c r="D8" s="34">
        <f>IFERROR('Cash Flow Data'!K6,0)</f>
        <v>-4031</v>
      </c>
      <c r="E8" s="34">
        <f>IFERROR('Cash Flow Data'!L6,0)</f>
        <v>5566</v>
      </c>
      <c r="F8" s="34">
        <f>IFERROR('Cash Flow Data'!M6,0)</f>
        <v>4776</v>
      </c>
      <c r="G8" s="34">
        <f>IFERROR('Cash Flow Data'!N6,0)</f>
        <v>1290</v>
      </c>
      <c r="H8" s="51">
        <v>0</v>
      </c>
      <c r="I8" s="51">
        <f>H8</f>
        <v>0</v>
      </c>
      <c r="J8" s="51">
        <f t="shared" ref="J8:L8" si="1">I8</f>
        <v>0</v>
      </c>
      <c r="K8" s="51">
        <f t="shared" si="1"/>
        <v>0</v>
      </c>
      <c r="L8" s="51">
        <f t="shared" si="1"/>
        <v>0</v>
      </c>
    </row>
    <row r="9" spans="2:12" x14ac:dyDescent="0.3">
      <c r="B9" t="s">
        <v>28</v>
      </c>
      <c r="C9" s="34">
        <f>IFERROR('Cash Flow Data'!J7,0)</f>
        <v>0</v>
      </c>
      <c r="D9" s="34">
        <f>IFERROR('Cash Flow Data'!K7,0)</f>
        <v>0</v>
      </c>
      <c r="E9" s="34">
        <f>IFERROR('Cash Flow Data'!L7,0)</f>
        <v>0</v>
      </c>
      <c r="F9" s="34">
        <f>IFERROR('Cash Flow Data'!M7,0)</f>
        <v>0</v>
      </c>
      <c r="G9" s="34">
        <f>IFERROR('Cash Flow Data'!N7,0)</f>
        <v>0</v>
      </c>
      <c r="H9" s="51">
        <f>G9</f>
        <v>0</v>
      </c>
      <c r="I9" s="51">
        <f t="shared" ref="I9:L9" si="2">H9</f>
        <v>0</v>
      </c>
      <c r="J9" s="51">
        <f t="shared" si="2"/>
        <v>0</v>
      </c>
      <c r="K9" s="51">
        <f t="shared" si="2"/>
        <v>0</v>
      </c>
      <c r="L9" s="51">
        <f t="shared" si="2"/>
        <v>0</v>
      </c>
    </row>
    <row r="10" spans="2:12" x14ac:dyDescent="0.3">
      <c r="B10" t="s">
        <v>29</v>
      </c>
      <c r="C10" s="34">
        <f>IFERROR('Cash Flow Data'!J8,0)</f>
        <v>7299</v>
      </c>
      <c r="D10" s="34">
        <f>IFERROR('Cash Flow Data'!K8,0)</f>
        <v>325</v>
      </c>
      <c r="E10" s="34">
        <f>IFERROR('Cash Flow Data'!L8,0)</f>
        <v>-2182</v>
      </c>
      <c r="F10" s="34">
        <f>IFERROR('Cash Flow Data'!M8,0)</f>
        <v>-2569</v>
      </c>
      <c r="G10" s="34">
        <f>IFERROR('Cash Flow Data'!N8,0)</f>
        <v>4152</v>
      </c>
      <c r="H10" s="51">
        <f>('Balance Sheet'!H8-'Balance Sheet'!G8)-('Balance Sheet'!H13-'Balance Sheet'!G13)</f>
        <v>-4460.1414060880197</v>
      </c>
      <c r="I10" s="51">
        <f>('Balance Sheet'!I8-'Balance Sheet'!H8)-('Balance Sheet'!I13-'Balance Sheet'!H13)</f>
        <v>684.36079256801895</v>
      </c>
      <c r="J10" s="51">
        <f>('Balance Sheet'!J8-'Balance Sheet'!I8)-('Balance Sheet'!J13-'Balance Sheet'!I13)</f>
        <v>750.11384497378458</v>
      </c>
      <c r="K10" s="51">
        <f>('Balance Sheet'!K8-'Balance Sheet'!J8)-('Balance Sheet'!K13-'Balance Sheet'!J13)</f>
        <v>822.18441870401148</v>
      </c>
      <c r="L10" s="51">
        <f>('Balance Sheet'!L8-'Balance Sheet'!K8)-('Balance Sheet'!L13-'Balance Sheet'!K13)</f>
        <v>901.17949813774612</v>
      </c>
    </row>
    <row r="11" spans="2:12" x14ac:dyDescent="0.3">
      <c r="B11" t="s">
        <v>30</v>
      </c>
      <c r="C11" s="34">
        <f>IFERROR('Cash Flow Data'!J9,0)</f>
        <v>-9618</v>
      </c>
      <c r="D11" s="34">
        <f>IFERROR('Cash Flow Data'!K9,0)</f>
        <v>-3706</v>
      </c>
      <c r="E11" s="34">
        <f>IFERROR('Cash Flow Data'!L9,0)</f>
        <v>3384</v>
      </c>
      <c r="F11" s="34">
        <f>IFERROR('Cash Flow Data'!M9,0)</f>
        <v>2207</v>
      </c>
      <c r="G11" s="34">
        <f>IFERROR('Cash Flow Data'!N9,0)</f>
        <v>5442</v>
      </c>
      <c r="H11" s="51">
        <f>SUM(H7:H10)</f>
        <v>-6223.0949442499768</v>
      </c>
      <c r="I11" s="51">
        <f t="shared" ref="I11:L11" si="3">SUM(I7:I10)</f>
        <v>-2870.2885258418028</v>
      </c>
      <c r="J11" s="51">
        <f t="shared" si="3"/>
        <v>-3146.0644526758479</v>
      </c>
      <c r="K11" s="51">
        <f t="shared" si="3"/>
        <v>-3448.3367965552607</v>
      </c>
      <c r="L11" s="51">
        <f t="shared" si="3"/>
        <v>-3779.6513203545983</v>
      </c>
    </row>
    <row r="12" spans="2:12" x14ac:dyDescent="0.3">
      <c r="B12" t="s">
        <v>31</v>
      </c>
      <c r="C12" s="34">
        <f>IFERROR('Cash Flow Data'!J10,0)</f>
        <v>-11902</v>
      </c>
      <c r="D12" s="34">
        <f>IFERROR('Cash Flow Data'!K10,0)</f>
        <v>-5519</v>
      </c>
      <c r="E12" s="34">
        <f>IFERROR('Cash Flow Data'!L10,0)</f>
        <v>-5320</v>
      </c>
      <c r="F12" s="34">
        <f>IFERROR('Cash Flow Data'!M10,0)</f>
        <v>-2998</v>
      </c>
      <c r="G12" s="34">
        <f>IFERROR('Cash Flow Data'!N10,0)</f>
        <v>-4597</v>
      </c>
      <c r="H12" s="51">
        <v>0</v>
      </c>
      <c r="I12" s="51">
        <f>H12</f>
        <v>0</v>
      </c>
      <c r="J12" s="51">
        <f t="shared" ref="J12:L12" si="4">I12</f>
        <v>0</v>
      </c>
      <c r="K12" s="51">
        <f t="shared" si="4"/>
        <v>0</v>
      </c>
      <c r="L12" s="51">
        <f t="shared" si="4"/>
        <v>0</v>
      </c>
    </row>
    <row r="13" spans="2:12" x14ac:dyDescent="0.3">
      <c r="B13" s="24" t="s">
        <v>32</v>
      </c>
      <c r="C13" s="35">
        <f>SUM(C6,C11,C12)</f>
        <v>44380</v>
      </c>
      <c r="D13" s="35">
        <f t="shared" ref="D13:L13" si="5">SUM(D6,D11,D12)</f>
        <v>21683</v>
      </c>
      <c r="E13" s="35">
        <f t="shared" si="5"/>
        <v>20301</v>
      </c>
      <c r="F13" s="35">
        <f t="shared" si="5"/>
        <v>23138</v>
      </c>
      <c r="G13" s="35">
        <f t="shared" si="5"/>
        <v>35064</v>
      </c>
      <c r="H13" s="56">
        <f t="shared" si="5"/>
        <v>28309.329621176541</v>
      </c>
      <c r="I13" s="56">
        <f t="shared" si="5"/>
        <v>35004.120259618307</v>
      </c>
      <c r="J13" s="56">
        <f t="shared" si="5"/>
        <v>38391.424772743747</v>
      </c>
      <c r="K13" s="56">
        <f t="shared" si="5"/>
        <v>42104.179857533381</v>
      </c>
      <c r="L13" s="56">
        <f t="shared" si="5"/>
        <v>46173.654646769915</v>
      </c>
    </row>
    <row r="14" spans="2:12" ht="3.6" customHeight="1" x14ac:dyDescent="0.3">
      <c r="C14" s="34"/>
      <c r="D14" s="34"/>
      <c r="E14" s="34"/>
      <c r="F14" s="34"/>
      <c r="G14" s="34"/>
      <c r="H14" s="51"/>
      <c r="I14" s="51"/>
      <c r="J14" s="51"/>
      <c r="K14" s="51"/>
      <c r="L14" s="51"/>
    </row>
    <row r="15" spans="2:12" x14ac:dyDescent="0.3">
      <c r="B15" s="24" t="s">
        <v>33</v>
      </c>
      <c r="C15" s="34"/>
      <c r="D15" s="34"/>
      <c r="E15" s="34"/>
      <c r="F15" s="34"/>
      <c r="G15" s="34"/>
      <c r="H15" s="51"/>
      <c r="I15" s="51"/>
      <c r="J15" s="51"/>
      <c r="K15" s="51"/>
      <c r="L15" s="51"/>
    </row>
    <row r="16" spans="2:12" x14ac:dyDescent="0.3">
      <c r="B16" t="s">
        <v>34</v>
      </c>
      <c r="C16" s="34">
        <f>IFERROR('Cash Flow Data'!J12,0)</f>
        <v>-10522</v>
      </c>
      <c r="D16" s="34">
        <f>IFERROR('Cash Flow Data'!K12,0)</f>
        <v>-14142</v>
      </c>
      <c r="E16" s="34">
        <f>IFERROR('Cash Flow Data'!L12,0)</f>
        <v>-18207</v>
      </c>
      <c r="F16" s="34">
        <f>IFERROR('Cash Flow Data'!M12,0)</f>
        <v>-15671</v>
      </c>
      <c r="G16" s="34">
        <f>IFERROR('Cash Flow Data'!N12,0)</f>
        <v>-14559</v>
      </c>
      <c r="H16" s="51">
        <f>-'Dep Capex'!H10</f>
        <v>-13525.906515219194</v>
      </c>
      <c r="I16" s="51">
        <f>-'Dep Capex'!I10</f>
        <v>-12566.120410635967</v>
      </c>
      <c r="J16" s="51">
        <f>-'Dep Capex'!J10</f>
        <v>-11674.439860790571</v>
      </c>
      <c r="K16" s="51">
        <f>-'Dep Capex'!K10</f>
        <v>-10846.032157057618</v>
      </c>
      <c r="L16" s="51">
        <f>-'Dep Capex'!L10</f>
        <v>-10076.407515449037</v>
      </c>
    </row>
    <row r="17" spans="2:12" x14ac:dyDescent="0.3">
      <c r="B17" t="s">
        <v>35</v>
      </c>
      <c r="C17" s="34">
        <f>IFERROR('Cash Flow Data'!J13,0)</f>
        <v>569</v>
      </c>
      <c r="D17" s="34">
        <f>IFERROR('Cash Flow Data'!K13,0)</f>
        <v>328</v>
      </c>
      <c r="E17" s="34">
        <f>IFERROR('Cash Flow Data'!L13,0)</f>
        <v>475</v>
      </c>
      <c r="F17" s="34">
        <f>IFERROR('Cash Flow Data'!M13,0)</f>
        <v>1264</v>
      </c>
      <c r="G17" s="34">
        <f>IFERROR('Cash Flow Data'!N13,0)</f>
        <v>1401</v>
      </c>
      <c r="H17" s="51">
        <v>0</v>
      </c>
      <c r="I17" s="51">
        <f>H17</f>
        <v>0</v>
      </c>
      <c r="J17" s="51">
        <f t="shared" ref="J17:L17" si="6">I17</f>
        <v>0</v>
      </c>
      <c r="K17" s="51">
        <f t="shared" si="6"/>
        <v>0</v>
      </c>
      <c r="L17" s="51">
        <f t="shared" si="6"/>
        <v>0</v>
      </c>
    </row>
    <row r="18" spans="2:12" x14ac:dyDescent="0.3">
      <c r="B18" t="s">
        <v>36</v>
      </c>
      <c r="C18" s="34">
        <f>IFERROR('Cash Flow Data'!J14,0)</f>
        <v>-1153</v>
      </c>
      <c r="D18" s="34">
        <f>IFERROR('Cash Flow Data'!K14,0)</f>
        <v>-326</v>
      </c>
      <c r="E18" s="34">
        <f>IFERROR('Cash Flow Data'!L14,0)</f>
        <v>-4</v>
      </c>
      <c r="F18" s="34">
        <f>IFERROR('Cash Flow Data'!M14,0)</f>
        <v>-393</v>
      </c>
      <c r="G18" s="34">
        <f>IFERROR('Cash Flow Data'!N14,0)</f>
        <v>-553</v>
      </c>
      <c r="H18" s="51">
        <f>'Balance Sheet'!G12-'Balance Sheet'!H12</f>
        <v>-6588.891418072355</v>
      </c>
      <c r="I18" s="51">
        <f>'Balance Sheet'!H12-'Balance Sheet'!I12</f>
        <v>-2735.2772538622849</v>
      </c>
      <c r="J18" s="51">
        <f>'Balance Sheet'!I12-'Balance Sheet'!J12</f>
        <v>-2998.0813632891441</v>
      </c>
      <c r="K18" s="51">
        <f>'Balance Sheet'!J12-'Balance Sheet'!K12</f>
        <v>-3286.1355638481182</v>
      </c>
      <c r="L18" s="51">
        <f>'Balance Sheet'!K12-'Balance Sheet'!L12</f>
        <v>-3601.865872025679</v>
      </c>
    </row>
    <row r="19" spans="2:12" x14ac:dyDescent="0.3">
      <c r="B19" t="s">
        <v>37</v>
      </c>
      <c r="C19" s="34">
        <f>IFERROR('Cash Flow Data'!J15,0)</f>
        <v>63</v>
      </c>
      <c r="D19" s="34">
        <f>IFERROR('Cash Flow Data'!K15,0)</f>
        <v>5191</v>
      </c>
      <c r="E19" s="34">
        <f>IFERROR('Cash Flow Data'!L15,0)</f>
        <v>3171</v>
      </c>
      <c r="F19" s="34">
        <f>IFERROR('Cash Flow Data'!M15,0)</f>
        <v>554</v>
      </c>
      <c r="G19" s="34">
        <f>IFERROR('Cash Flow Data'!N15,0)</f>
        <v>20</v>
      </c>
      <c r="H19" s="51">
        <v>0</v>
      </c>
      <c r="I19" s="51">
        <f t="shared" ref="I19:I24" si="7">H19</f>
        <v>0</v>
      </c>
      <c r="J19" s="51">
        <f t="shared" ref="J19:L19" si="8">I19</f>
        <v>0</v>
      </c>
      <c r="K19" s="51">
        <f t="shared" si="8"/>
        <v>0</v>
      </c>
      <c r="L19" s="51">
        <f t="shared" si="8"/>
        <v>0</v>
      </c>
    </row>
    <row r="20" spans="2:12" x14ac:dyDescent="0.3">
      <c r="B20" t="s">
        <v>38</v>
      </c>
      <c r="C20" s="34">
        <f>IFERROR('Cash Flow Data'!J16,0)</f>
        <v>137</v>
      </c>
      <c r="D20" s="34">
        <f>IFERROR('Cash Flow Data'!K16,0)</f>
        <v>248</v>
      </c>
      <c r="E20" s="34">
        <f>IFERROR('Cash Flow Data'!L16,0)</f>
        <v>333</v>
      </c>
      <c r="F20" s="34">
        <f>IFERROR('Cash Flow Data'!M16,0)</f>
        <v>616</v>
      </c>
      <c r="G20" s="34">
        <f>IFERROR('Cash Flow Data'!N16,0)</f>
        <v>650</v>
      </c>
      <c r="H20" s="51">
        <v>0</v>
      </c>
      <c r="I20" s="51">
        <f t="shared" si="7"/>
        <v>0</v>
      </c>
      <c r="J20" s="51">
        <f t="shared" ref="J20:L20" si="9">I20</f>
        <v>0</v>
      </c>
      <c r="K20" s="51">
        <f t="shared" si="9"/>
        <v>0</v>
      </c>
      <c r="L20" s="51">
        <f t="shared" si="9"/>
        <v>0</v>
      </c>
    </row>
    <row r="21" spans="2:12" x14ac:dyDescent="0.3">
      <c r="B21" t="s">
        <v>39</v>
      </c>
      <c r="C21" s="34">
        <f>IFERROR('Cash Flow Data'!J17,0)</f>
        <v>162</v>
      </c>
      <c r="D21" s="34">
        <f>IFERROR('Cash Flow Data'!K17,0)</f>
        <v>317</v>
      </c>
      <c r="E21" s="34">
        <f>IFERROR('Cash Flow Data'!L17,0)</f>
        <v>336</v>
      </c>
      <c r="F21" s="34">
        <f>IFERROR('Cash Flow Data'!M17,0)</f>
        <v>294</v>
      </c>
      <c r="G21" s="34">
        <f>IFERROR('Cash Flow Data'!N17,0)</f>
        <v>408</v>
      </c>
      <c r="H21" s="51">
        <v>0</v>
      </c>
      <c r="I21" s="51">
        <f t="shared" si="7"/>
        <v>0</v>
      </c>
      <c r="J21" s="51">
        <f t="shared" ref="J21:L24" si="10">I21</f>
        <v>0</v>
      </c>
      <c r="K21" s="51">
        <f t="shared" si="10"/>
        <v>0</v>
      </c>
      <c r="L21" s="51">
        <f t="shared" si="10"/>
        <v>0</v>
      </c>
    </row>
    <row r="22" spans="2:12" x14ac:dyDescent="0.3">
      <c r="B22" t="s">
        <v>40</v>
      </c>
      <c r="C22" s="34">
        <f>IFERROR('Cash Flow Data'!J18,0)</f>
        <v>1208</v>
      </c>
      <c r="D22" s="34">
        <f>IFERROR('Cash Flow Data'!K18,0)</f>
        <v>166</v>
      </c>
      <c r="E22" s="34">
        <f>IFERROR('Cash Flow Data'!L18,0)</f>
        <v>123</v>
      </c>
      <c r="F22" s="34">
        <f>IFERROR('Cash Flow Data'!M18,0)</f>
        <v>28</v>
      </c>
      <c r="G22" s="34">
        <f>IFERROR('Cash Flow Data'!N18,0)</f>
        <v>611</v>
      </c>
      <c r="H22" s="51">
        <v>0</v>
      </c>
      <c r="I22" s="51">
        <f t="shared" si="7"/>
        <v>0</v>
      </c>
      <c r="J22" s="51">
        <f t="shared" si="10"/>
        <v>0</v>
      </c>
      <c r="K22" s="51">
        <f t="shared" si="10"/>
        <v>0</v>
      </c>
      <c r="L22" s="51">
        <f t="shared" si="10"/>
        <v>0</v>
      </c>
    </row>
    <row r="23" spans="2:12" x14ac:dyDescent="0.3">
      <c r="B23" t="s">
        <v>41</v>
      </c>
      <c r="C23" s="34">
        <f>IFERROR('Cash Flow Data'!J19,0)</f>
        <v>-53</v>
      </c>
      <c r="D23" s="34">
        <f>IFERROR('Cash Flow Data'!K19,0)</f>
        <v>-10569</v>
      </c>
      <c r="E23" s="34">
        <f>IFERROR('Cash Flow Data'!L19,0)</f>
        <v>0</v>
      </c>
      <c r="F23" s="34">
        <f>IFERROR('Cash Flow Data'!M19,0)</f>
        <v>-6</v>
      </c>
      <c r="G23" s="34">
        <f>IFERROR('Cash Flow Data'!N19,0)</f>
        <v>-2846</v>
      </c>
      <c r="H23" s="51">
        <v>0</v>
      </c>
      <c r="I23" s="51">
        <f t="shared" si="7"/>
        <v>0</v>
      </c>
      <c r="J23" s="51">
        <f t="shared" si="10"/>
        <v>0</v>
      </c>
      <c r="K23" s="51">
        <f t="shared" si="10"/>
        <v>0</v>
      </c>
      <c r="L23" s="51">
        <f t="shared" si="10"/>
        <v>0</v>
      </c>
    </row>
    <row r="24" spans="2:12" x14ac:dyDescent="0.3">
      <c r="B24" t="s">
        <v>42</v>
      </c>
      <c r="C24" s="34">
        <f>IFERROR('Cash Flow Data'!J20,0)</f>
        <v>0</v>
      </c>
      <c r="D24" s="34">
        <f>IFERROR('Cash Flow Data'!K20,0)</f>
        <v>0</v>
      </c>
      <c r="E24" s="34">
        <f>IFERROR('Cash Flow Data'!L20,0)</f>
        <v>0</v>
      </c>
      <c r="F24" s="34">
        <f>IFERROR('Cash Flow Data'!M20,0)</f>
        <v>0</v>
      </c>
      <c r="G24" s="34">
        <f>IFERROR('Cash Flow Data'!N20,0)</f>
        <v>0</v>
      </c>
      <c r="H24" s="51">
        <v>0</v>
      </c>
      <c r="I24" s="51">
        <f t="shared" si="7"/>
        <v>0</v>
      </c>
      <c r="J24" s="51">
        <f t="shared" si="10"/>
        <v>0</v>
      </c>
      <c r="K24" s="51">
        <f t="shared" si="10"/>
        <v>0</v>
      </c>
      <c r="L24" s="51">
        <f t="shared" si="10"/>
        <v>0</v>
      </c>
    </row>
    <row r="25" spans="2:12" x14ac:dyDescent="0.3">
      <c r="B25" t="s">
        <v>43</v>
      </c>
      <c r="C25" s="34">
        <f>IFERROR('Cash Flow Data'!J21,0)</f>
        <v>-1315</v>
      </c>
      <c r="D25" s="34">
        <f>IFERROR('Cash Flow Data'!K21,0)</f>
        <v>609</v>
      </c>
      <c r="E25" s="34">
        <f>IFERROR('Cash Flow Data'!L21,0)</f>
        <v>-481</v>
      </c>
      <c r="F25" s="34">
        <f>IFERROR('Cash Flow Data'!M21,0)</f>
        <v>-298</v>
      </c>
      <c r="G25" s="34">
        <f>IFERROR('Cash Flow Data'!N21,0)</f>
        <v>472</v>
      </c>
      <c r="H25" s="51">
        <f>'Balance Sheet'!G11-'Balance Sheet'!H11</f>
        <v>-70.34760735226655</v>
      </c>
      <c r="I25" s="51">
        <f>'Balance Sheet'!H11-'Balance Sheet'!I11</f>
        <v>-57.296788337545308</v>
      </c>
      <c r="J25" s="51">
        <f>'Balance Sheet'!I11-'Balance Sheet'!J11</f>
        <v>-62.801835919396581</v>
      </c>
      <c r="K25" s="51">
        <f>'Balance Sheet'!J11-'Balance Sheet'!K11</f>
        <v>-68.835805797903049</v>
      </c>
      <c r="L25" s="51">
        <f>'Balance Sheet'!K11-'Balance Sheet'!L11</f>
        <v>-75.449516570313335</v>
      </c>
    </row>
    <row r="26" spans="2:12" x14ac:dyDescent="0.3">
      <c r="B26" s="24" t="s">
        <v>44</v>
      </c>
      <c r="C26" s="35">
        <f>SUM(C16:C25)</f>
        <v>-10904</v>
      </c>
      <c r="D26" s="35">
        <f t="shared" ref="D26:F26" si="11">SUM(D16:D25)</f>
        <v>-18178</v>
      </c>
      <c r="E26" s="35">
        <f t="shared" si="11"/>
        <v>-14254</v>
      </c>
      <c r="F26" s="35">
        <f t="shared" si="11"/>
        <v>-13612</v>
      </c>
      <c r="G26" s="35">
        <f t="shared" ref="G26:L26" si="12">SUM(G16:G25)</f>
        <v>-14396</v>
      </c>
      <c r="H26" s="56">
        <f t="shared" si="12"/>
        <v>-20185.145540643814</v>
      </c>
      <c r="I26" s="56">
        <f t="shared" si="12"/>
        <v>-15358.694452835798</v>
      </c>
      <c r="J26" s="56">
        <f t="shared" si="12"/>
        <v>-14735.323059999111</v>
      </c>
      <c r="K26" s="56">
        <f t="shared" si="12"/>
        <v>-14201.00352670364</v>
      </c>
      <c r="L26" s="56">
        <f t="shared" si="12"/>
        <v>-13753.722904045029</v>
      </c>
    </row>
    <row r="27" spans="2:12" ht="3.6" customHeight="1" x14ac:dyDescent="0.3">
      <c r="C27" s="34"/>
      <c r="D27" s="34"/>
      <c r="E27" s="34"/>
      <c r="F27" s="34"/>
      <c r="G27" s="34"/>
      <c r="H27" s="51"/>
      <c r="I27" s="51"/>
      <c r="J27" s="51"/>
      <c r="K27" s="51"/>
      <c r="L27" s="51"/>
    </row>
    <row r="28" spans="2:12" x14ac:dyDescent="0.3">
      <c r="B28" s="24" t="s">
        <v>45</v>
      </c>
      <c r="C28" s="34"/>
      <c r="D28" s="34"/>
      <c r="E28" s="34"/>
      <c r="F28" s="34"/>
      <c r="G28" s="34"/>
      <c r="H28" s="51"/>
      <c r="I28" s="51"/>
      <c r="J28" s="51"/>
      <c r="K28" s="51"/>
      <c r="L28" s="51"/>
    </row>
    <row r="29" spans="2:12" x14ac:dyDescent="0.3">
      <c r="B29" t="s">
        <v>46</v>
      </c>
      <c r="C29" s="34">
        <f>IFERROR('Cash Flow Data'!J23,0)</f>
        <v>326</v>
      </c>
      <c r="D29" s="34">
        <f>IFERROR('Cash Flow Data'!K23,0)</f>
        <v>1</v>
      </c>
      <c r="E29" s="34">
        <f>IFERROR('Cash Flow Data'!L23,0)</f>
        <v>0</v>
      </c>
      <c r="F29" s="34">
        <f>IFERROR('Cash Flow Data'!M23,0)</f>
        <v>0</v>
      </c>
      <c r="G29" s="34">
        <f>IFERROR('Cash Flow Data'!N23,0)</f>
        <v>0</v>
      </c>
      <c r="H29" s="51">
        <v>0</v>
      </c>
      <c r="I29" s="51">
        <f>H29</f>
        <v>0</v>
      </c>
      <c r="J29" s="51">
        <f t="shared" ref="J29:L29" si="13">I29</f>
        <v>0</v>
      </c>
      <c r="K29" s="51">
        <f t="shared" si="13"/>
        <v>0</v>
      </c>
      <c r="L29" s="51">
        <f t="shared" si="13"/>
        <v>0</v>
      </c>
    </row>
    <row r="30" spans="2:12" x14ac:dyDescent="0.3">
      <c r="B30" t="s">
        <v>47</v>
      </c>
      <c r="C30" s="34">
        <f>IFERROR('Cash Flow Data'!J24,0)</f>
        <v>12439</v>
      </c>
      <c r="D30" s="34">
        <f>IFERROR('Cash Flow Data'!K24,0)</f>
        <v>16769</v>
      </c>
      <c r="E30" s="34">
        <f>IFERROR('Cash Flow Data'!L24,0)</f>
        <v>14120</v>
      </c>
      <c r="F30" s="34">
        <f>IFERROR('Cash Flow Data'!M24,0)</f>
        <v>23893</v>
      </c>
      <c r="G30" s="34">
        <f>IFERROR('Cash Flow Data'!N24,0)</f>
        <v>15954</v>
      </c>
      <c r="H30" s="51">
        <v>0</v>
      </c>
      <c r="I30" s="51">
        <f>H30</f>
        <v>0</v>
      </c>
      <c r="J30" s="51">
        <f t="shared" ref="J30:L30" si="14">I30</f>
        <v>0</v>
      </c>
      <c r="K30" s="51">
        <f t="shared" si="14"/>
        <v>0</v>
      </c>
      <c r="L30" s="51">
        <f t="shared" si="14"/>
        <v>0</v>
      </c>
    </row>
    <row r="31" spans="2:12" x14ac:dyDescent="0.3">
      <c r="B31" t="s">
        <v>48</v>
      </c>
      <c r="C31" s="34">
        <f>IFERROR('Cash Flow Data'!J25,0)</f>
        <v>-26360</v>
      </c>
      <c r="D31" s="34">
        <f>IFERROR('Cash Flow Data'!K25,0)</f>
        <v>-10226</v>
      </c>
      <c r="E31" s="34">
        <f>IFERROR('Cash Flow Data'!L25,0)</f>
        <v>-11908</v>
      </c>
      <c r="F31" s="34">
        <f>IFERROR('Cash Flow Data'!M25,0)</f>
        <v>-17627</v>
      </c>
      <c r="G31" s="34">
        <f>IFERROR('Cash Flow Data'!N25,0)</f>
        <v>-23916</v>
      </c>
      <c r="H31" s="51">
        <v>0</v>
      </c>
      <c r="I31" s="51">
        <f>H31</f>
        <v>0</v>
      </c>
      <c r="J31" s="51">
        <f t="shared" ref="J31:L31" si="15">I31</f>
        <v>0</v>
      </c>
      <c r="K31" s="51">
        <f t="shared" si="15"/>
        <v>0</v>
      </c>
      <c r="L31" s="51">
        <f t="shared" si="15"/>
        <v>0</v>
      </c>
    </row>
    <row r="32" spans="2:12" x14ac:dyDescent="0.3">
      <c r="B32" t="s">
        <v>49</v>
      </c>
      <c r="C32" s="34">
        <f>IFERROR('Cash Flow Data'!J26,0)</f>
        <v>-4687</v>
      </c>
      <c r="D32" s="34">
        <f>IFERROR('Cash Flow Data'!K26,0)</f>
        <v>-6120</v>
      </c>
      <c r="E32" s="34">
        <f>IFERROR('Cash Flow Data'!L26,0)</f>
        <v>-8145</v>
      </c>
      <c r="F32" s="34">
        <f>IFERROR('Cash Flow Data'!M26,0)</f>
        <v>-8119</v>
      </c>
      <c r="G32" s="34">
        <f>IFERROR('Cash Flow Data'!N26,0)</f>
        <v>-8066</v>
      </c>
      <c r="H32" s="51">
        <v>0</v>
      </c>
      <c r="I32" s="51">
        <f>H32</f>
        <v>0</v>
      </c>
      <c r="J32" s="51">
        <f t="shared" ref="J32:L32" si="16">I32</f>
        <v>0</v>
      </c>
      <c r="K32" s="51">
        <f t="shared" si="16"/>
        <v>0</v>
      </c>
      <c r="L32" s="51">
        <f t="shared" si="16"/>
        <v>0</v>
      </c>
    </row>
    <row r="33" spans="2:12" x14ac:dyDescent="0.3">
      <c r="B33" t="s">
        <v>50</v>
      </c>
      <c r="C33" s="34">
        <f>IFERROR('Cash Flow Data'!J27,0)</f>
        <v>-3020</v>
      </c>
      <c r="D33" s="34">
        <f>IFERROR('Cash Flow Data'!K27,0)</f>
        <v>-6293</v>
      </c>
      <c r="E33" s="34">
        <f>IFERROR('Cash Flow Data'!L27,0)</f>
        <v>-4429</v>
      </c>
      <c r="F33" s="34">
        <f>IFERROR('Cash Flow Data'!M27,0)</f>
        <v>-4490</v>
      </c>
      <c r="G33" s="34">
        <f>IFERROR('Cash Flow Data'!N27,0)</f>
        <v>-4490</v>
      </c>
      <c r="H33" s="51">
        <f>-'Data Sheet &gt;'!$K$31</f>
        <v>-19430.400000000001</v>
      </c>
      <c r="I33" s="51">
        <f>-'Data Sheet &gt;'!$K$31</f>
        <v>-19430.400000000001</v>
      </c>
      <c r="J33" s="51">
        <f>-'Data Sheet &gt;'!$K$31</f>
        <v>-19430.400000000001</v>
      </c>
      <c r="K33" s="51">
        <f>-'Data Sheet &gt;'!$K$31</f>
        <v>-19430.400000000001</v>
      </c>
      <c r="L33" s="51">
        <f>-'Data Sheet &gt;'!$K$31</f>
        <v>-19430.400000000001</v>
      </c>
    </row>
    <row r="34" spans="2:12" x14ac:dyDescent="0.3">
      <c r="B34" t="s">
        <v>51</v>
      </c>
      <c r="C34" s="34">
        <f>IFERROR('Cash Flow Data'!J28,0)</f>
        <v>-1310</v>
      </c>
      <c r="D34" s="34">
        <f>IFERROR('Cash Flow Data'!K28,0)</f>
        <v>-1114</v>
      </c>
      <c r="E34" s="34">
        <f>IFERROR('Cash Flow Data'!L28,0)</f>
        <v>-1140</v>
      </c>
      <c r="F34" s="34">
        <f>IFERROR('Cash Flow Data'!M28,0)</f>
        <v>-971</v>
      </c>
      <c r="G34" s="34">
        <f>IFERROR('Cash Flow Data'!N28,0)</f>
        <v>-1162</v>
      </c>
      <c r="H34" s="51">
        <v>0</v>
      </c>
      <c r="I34" s="51">
        <f>H34</f>
        <v>0</v>
      </c>
      <c r="J34" s="51">
        <f t="shared" ref="J34:L35" si="17">I34</f>
        <v>0</v>
      </c>
      <c r="K34" s="51">
        <f t="shared" si="17"/>
        <v>0</v>
      </c>
      <c r="L34" s="51">
        <f t="shared" si="17"/>
        <v>0</v>
      </c>
    </row>
    <row r="35" spans="2:12" x14ac:dyDescent="0.3">
      <c r="B35" t="s">
        <v>52</v>
      </c>
      <c r="C35" s="34">
        <f>IFERROR('Cash Flow Data'!J29,0)</f>
        <v>-789</v>
      </c>
      <c r="D35" s="34">
        <f>IFERROR('Cash Flow Data'!K29,0)</f>
        <v>2</v>
      </c>
      <c r="E35" s="34">
        <f>IFERROR('Cash Flow Data'!L29,0)</f>
        <v>404</v>
      </c>
      <c r="F35" s="34">
        <f>IFERROR('Cash Flow Data'!M29,0)</f>
        <v>312</v>
      </c>
      <c r="G35" s="34">
        <f>IFERROR('Cash Flow Data'!N29,0)</f>
        <v>293</v>
      </c>
      <c r="H35" s="51">
        <v>0</v>
      </c>
      <c r="I35" s="51">
        <f>H35</f>
        <v>0</v>
      </c>
      <c r="J35" s="51">
        <f t="shared" si="17"/>
        <v>0</v>
      </c>
      <c r="K35" s="51">
        <f t="shared" si="17"/>
        <v>0</v>
      </c>
      <c r="L35" s="51">
        <f t="shared" si="17"/>
        <v>0</v>
      </c>
    </row>
    <row r="36" spans="2:12" x14ac:dyDescent="0.3">
      <c r="B36" s="24" t="s">
        <v>53</v>
      </c>
      <c r="C36" s="35">
        <f>SUM(C29:C35)</f>
        <v>-23401</v>
      </c>
      <c r="D36" s="35">
        <f t="shared" ref="D36:L36" si="18">SUM(D29:D35)</f>
        <v>-6981</v>
      </c>
      <c r="E36" s="35">
        <f t="shared" si="18"/>
        <v>-11098</v>
      </c>
      <c r="F36" s="35">
        <f t="shared" si="18"/>
        <v>-7002</v>
      </c>
      <c r="G36" s="35">
        <f t="shared" si="18"/>
        <v>-21387</v>
      </c>
      <c r="H36" s="56">
        <f t="shared" si="18"/>
        <v>-19430.400000000001</v>
      </c>
      <c r="I36" s="56">
        <f t="shared" si="18"/>
        <v>-19430.400000000001</v>
      </c>
      <c r="J36" s="56">
        <f t="shared" si="18"/>
        <v>-19430.400000000001</v>
      </c>
      <c r="K36" s="56">
        <f t="shared" si="18"/>
        <v>-19430.400000000001</v>
      </c>
      <c r="L36" s="56">
        <f t="shared" si="18"/>
        <v>-19430.400000000001</v>
      </c>
    </row>
    <row r="37" spans="2:12" x14ac:dyDescent="0.3">
      <c r="C37" s="34"/>
      <c r="D37" s="34"/>
      <c r="E37" s="34"/>
      <c r="F37" s="34"/>
      <c r="G37" s="34"/>
      <c r="H37" s="51"/>
      <c r="I37" s="51"/>
      <c r="J37" s="51"/>
      <c r="K37" s="51"/>
      <c r="L37" s="51"/>
    </row>
    <row r="38" spans="2:12" ht="15" thickBot="1" x14ac:dyDescent="0.35">
      <c r="B38" s="24" t="s">
        <v>54</v>
      </c>
      <c r="C38" s="36">
        <f>SUM(C13,C26,C36)</f>
        <v>10075</v>
      </c>
      <c r="D38" s="36">
        <f t="shared" ref="D38:L38" si="19">SUM(D13,D26,D36)</f>
        <v>-3476</v>
      </c>
      <c r="E38" s="36">
        <f t="shared" si="19"/>
        <v>-5051</v>
      </c>
      <c r="F38" s="36">
        <f t="shared" si="19"/>
        <v>2524</v>
      </c>
      <c r="G38" s="36">
        <f t="shared" si="19"/>
        <v>-719</v>
      </c>
      <c r="H38" s="71">
        <f t="shared" si="19"/>
        <v>-11306.215919467275</v>
      </c>
      <c r="I38" s="71">
        <f>SUM(I13,I26,I36)</f>
        <v>215.02580678250524</v>
      </c>
      <c r="J38" s="71">
        <f t="shared" si="19"/>
        <v>4225.7017127446343</v>
      </c>
      <c r="K38" s="71">
        <f t="shared" si="19"/>
        <v>8472.7763308297399</v>
      </c>
      <c r="L38" s="71">
        <f t="shared" si="19"/>
        <v>12989.531742724885</v>
      </c>
    </row>
  </sheetData>
  <mergeCells count="1">
    <mergeCell ref="B2:L2"/>
  </mergeCells>
  <pageMargins left="0.7" right="0.7" top="0.75" bottom="0.75" header="0.3" footer="0.3"/>
  <pageSetup scale="6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3466E-AA39-42C4-8C2D-6B9CA62543F6}">
  <sheetPr>
    <tabColor rgb="FF002060"/>
    <pageSetUpPr fitToPage="1"/>
  </sheetPr>
  <dimension ref="B2:N24"/>
  <sheetViews>
    <sheetView showGridLines="0" zoomScale="80" zoomScaleNormal="80" workbookViewId="0">
      <pane ySplit="3" topLeftCell="A4" activePane="bottomLeft" state="frozen"/>
      <selection pane="bottomLeft" activeCell="N30" sqref="N30"/>
    </sheetView>
  </sheetViews>
  <sheetFormatPr defaultRowHeight="14.4" x14ac:dyDescent="0.3"/>
  <cols>
    <col min="1" max="1" width="1.88671875" customWidth="1"/>
    <col min="2" max="2" width="32.77734375" bestFit="1" customWidth="1"/>
    <col min="3" max="7" width="11.109375" bestFit="1" customWidth="1"/>
    <col min="8" max="12" width="10.88671875" bestFit="1" customWidth="1"/>
    <col min="14" max="14" width="10.44140625" bestFit="1" customWidth="1"/>
    <col min="15" max="15" width="12" bestFit="1" customWidth="1"/>
  </cols>
  <sheetData>
    <row r="2" spans="2:12" x14ac:dyDescent="0.3">
      <c r="B2" s="233" t="str">
        <f>"Balance Sheet-"&amp;'Data Sheet &gt;'!B1</f>
        <v>Balance Sheet-INFOSYS LTD</v>
      </c>
      <c r="C2" s="233"/>
      <c r="D2" s="233"/>
      <c r="E2" s="233"/>
      <c r="F2" s="233"/>
      <c r="G2" s="233"/>
      <c r="H2" s="233"/>
      <c r="I2" s="233"/>
      <c r="J2" s="233"/>
      <c r="K2" s="233"/>
      <c r="L2" s="233"/>
    </row>
    <row r="3" spans="2:12" x14ac:dyDescent="0.3">
      <c r="B3" s="25" t="s">
        <v>126</v>
      </c>
      <c r="C3" s="26">
        <f>'Data Sheet &gt;'!G16</f>
        <v>44651</v>
      </c>
      <c r="D3" s="26">
        <f>'Data Sheet &gt;'!H16</f>
        <v>45016</v>
      </c>
      <c r="E3" s="26">
        <f>'Data Sheet &gt;'!I16</f>
        <v>45382</v>
      </c>
      <c r="F3" s="26">
        <f>'Data Sheet &gt;'!J16</f>
        <v>45747</v>
      </c>
      <c r="G3" s="26">
        <f>'Data Sheet &gt;'!K16</f>
        <v>46112</v>
      </c>
      <c r="H3" s="27">
        <f>G3+365</f>
        <v>46477</v>
      </c>
      <c r="I3" s="27">
        <f t="shared" ref="I3:L3" si="0">H3+365</f>
        <v>46842</v>
      </c>
      <c r="J3" s="27">
        <f t="shared" si="0"/>
        <v>47207</v>
      </c>
      <c r="K3" s="27">
        <f t="shared" si="0"/>
        <v>47572</v>
      </c>
      <c r="L3" s="27">
        <f t="shared" si="0"/>
        <v>47937</v>
      </c>
    </row>
    <row r="4" spans="2:12" ht="3.6" customHeight="1" x14ac:dyDescent="0.3">
      <c r="H4" s="37"/>
      <c r="I4" s="37"/>
      <c r="J4" s="37"/>
      <c r="K4" s="37"/>
      <c r="L4" s="37"/>
    </row>
    <row r="5" spans="2:12" x14ac:dyDescent="0.3">
      <c r="B5" t="s">
        <v>15</v>
      </c>
      <c r="C5" s="34">
        <f>IFERROR('Data Sheet &gt;'!G57,0)</f>
        <v>2098</v>
      </c>
      <c r="D5" s="34">
        <f>IFERROR('Data Sheet &gt;'!H57,0)</f>
        <v>2069</v>
      </c>
      <c r="E5" s="34">
        <f>IFERROR('Data Sheet &gt;'!I57,0)</f>
        <v>2071</v>
      </c>
      <c r="F5" s="34">
        <f>IFERROR('Data Sheet &gt;'!J57,0)</f>
        <v>2073</v>
      </c>
      <c r="G5" s="34">
        <f>IFERROR('Data Sheet &gt;'!K57,0)</f>
        <v>2024</v>
      </c>
      <c r="H5" s="51">
        <f>G5</f>
        <v>2024</v>
      </c>
      <c r="I5" s="51">
        <f t="shared" ref="I5:L5" si="1">H5</f>
        <v>2024</v>
      </c>
      <c r="J5" s="51">
        <f t="shared" si="1"/>
        <v>2024</v>
      </c>
      <c r="K5" s="51">
        <f t="shared" si="1"/>
        <v>2024</v>
      </c>
      <c r="L5" s="51">
        <f t="shared" si="1"/>
        <v>2024</v>
      </c>
    </row>
    <row r="6" spans="2:12" x14ac:dyDescent="0.3">
      <c r="B6" t="s">
        <v>16</v>
      </c>
      <c r="C6" s="34">
        <f>IFERROR('Data Sheet &gt;'!G58,0)</f>
        <v>73252</v>
      </c>
      <c r="D6" s="34">
        <f>IFERROR('Data Sheet &gt;'!H58,0)</f>
        <v>73338</v>
      </c>
      <c r="E6" s="34">
        <f>IFERROR('Data Sheet &gt;'!I58,0)</f>
        <v>86045</v>
      </c>
      <c r="F6" s="34">
        <f>IFERROR('Data Sheet &gt;'!J58,0)</f>
        <v>93745</v>
      </c>
      <c r="G6" s="34">
        <f>IFERROR('Data Sheet &gt;'!K58,0)</f>
        <v>90828</v>
      </c>
      <c r="H6" s="51">
        <f>'Warking '!H6</f>
        <v>100260.51489749251</v>
      </c>
      <c r="I6" s="51">
        <f>'Warking '!I6</f>
        <v>112490.29028104813</v>
      </c>
      <c r="J6" s="51">
        <f>'Warking '!J6</f>
        <v>127786.08557892471</v>
      </c>
      <c r="K6" s="51">
        <f>'Warking '!K6</f>
        <v>146442.48249465175</v>
      </c>
      <c r="L6" s="51">
        <f>'Warking '!L6</f>
        <v>168782.36599869077</v>
      </c>
    </row>
    <row r="7" spans="2:12" x14ac:dyDescent="0.3">
      <c r="B7" t="s">
        <v>17</v>
      </c>
      <c r="C7" s="34">
        <f>IFERROR('Data Sheet &gt;'!G59,0)</f>
        <v>5474</v>
      </c>
      <c r="D7" s="34">
        <f>IFERROR('Data Sheet &gt;'!H59,0)</f>
        <v>8299</v>
      </c>
      <c r="E7" s="34">
        <f>IFERROR('Data Sheet &gt;'!I59,0)</f>
        <v>8359</v>
      </c>
      <c r="F7" s="34">
        <f>IFERROR('Data Sheet &gt;'!J59,0)</f>
        <v>8227</v>
      </c>
      <c r="G7" s="34">
        <f>IFERROR('Data Sheet &gt;'!K59,0)</f>
        <v>9176</v>
      </c>
      <c r="H7" s="51">
        <f>G7</f>
        <v>9176</v>
      </c>
      <c r="I7" s="51">
        <f t="shared" ref="I7:L7" si="2">H7</f>
        <v>9176</v>
      </c>
      <c r="J7" s="51">
        <f t="shared" si="2"/>
        <v>9176</v>
      </c>
      <c r="K7" s="51">
        <f t="shared" si="2"/>
        <v>9176</v>
      </c>
      <c r="L7" s="51">
        <f t="shared" si="2"/>
        <v>9176</v>
      </c>
    </row>
    <row r="8" spans="2:12" x14ac:dyDescent="0.3">
      <c r="B8" t="s">
        <v>18</v>
      </c>
      <c r="C8" s="34">
        <f>IFERROR('Data Sheet &gt;'!G60,0)</f>
        <v>35905</v>
      </c>
      <c r="D8" s="34">
        <f>IFERROR('Data Sheet &gt;'!H60,0)</f>
        <v>40890</v>
      </c>
      <c r="E8" s="34">
        <f>IFERROR('Data Sheet &gt;'!I60,0)</f>
        <v>39545</v>
      </c>
      <c r="F8" s="34">
        <f>IFERROR('Data Sheet &gt;'!J60,0)</f>
        <v>43750</v>
      </c>
      <c r="G8" s="34">
        <f>IFERROR('Data Sheet &gt;'!K60,0)</f>
        <v>52260</v>
      </c>
      <c r="H8" s="51">
        <f>'Warking '!H8</f>
        <v>54517.235186851918</v>
      </c>
      <c r="I8" s="51">
        <f>'Warking '!I8</f>
        <v>59755.224652623452</v>
      </c>
      <c r="J8" s="51">
        <f>'Warking '!J8</f>
        <v>65496.477601025712</v>
      </c>
      <c r="K8" s="51">
        <f>'Warking '!K8</f>
        <v>71789.347342924375</v>
      </c>
      <c r="L8" s="51">
        <f>'Warking '!L8</f>
        <v>78686.832951797289</v>
      </c>
    </row>
    <row r="9" spans="2:12" x14ac:dyDescent="0.3">
      <c r="B9" s="24" t="s">
        <v>138</v>
      </c>
      <c r="C9" s="35">
        <f>SUM(C5:C8)</f>
        <v>116729</v>
      </c>
      <c r="D9" s="35">
        <f t="shared" ref="D9:L9" si="3">SUM(D5:D8)</f>
        <v>124596</v>
      </c>
      <c r="E9" s="35">
        <f t="shared" si="3"/>
        <v>136020</v>
      </c>
      <c r="F9" s="35">
        <f t="shared" si="3"/>
        <v>147795</v>
      </c>
      <c r="G9" s="35">
        <f t="shared" si="3"/>
        <v>154288</v>
      </c>
      <c r="H9" s="56">
        <f t="shared" si="3"/>
        <v>165977.75008434441</v>
      </c>
      <c r="I9" s="56">
        <f t="shared" si="3"/>
        <v>183445.51493367157</v>
      </c>
      <c r="J9" s="56">
        <f t="shared" si="3"/>
        <v>204482.56317995043</v>
      </c>
      <c r="K9" s="56">
        <f t="shared" si="3"/>
        <v>229431.82983757614</v>
      </c>
      <c r="L9" s="56">
        <f t="shared" si="3"/>
        <v>258669.19895048806</v>
      </c>
    </row>
    <row r="10" spans="2:12" x14ac:dyDescent="0.3">
      <c r="B10" t="s">
        <v>87</v>
      </c>
      <c r="C10" s="34">
        <f>IFERROR('Data Sheet &gt;'!G62,0)</f>
        <v>25800</v>
      </c>
      <c r="D10" s="34">
        <f>IFERROR('Data Sheet &gt;'!H62,0)</f>
        <v>29225</v>
      </c>
      <c r="E10" s="34">
        <f>IFERROR('Data Sheet &gt;'!I62,0)</f>
        <v>27622</v>
      </c>
      <c r="F10" s="34">
        <f>IFERROR('Data Sheet &gt;'!J62,0)</f>
        <v>30961</v>
      </c>
      <c r="G10" s="34">
        <f>IFERROR('Data Sheet &gt;'!K62,0)</f>
        <v>33770</v>
      </c>
      <c r="H10" s="51">
        <f>'Dep Capex'!H13</f>
        <v>41626.39684728517</v>
      </c>
      <c r="I10" s="51">
        <f>'Dep Capex'!I13</f>
        <v>47978.283856016642</v>
      </c>
      <c r="J10" s="51">
        <f>'Dep Capex'!J13</f>
        <v>52841.429789264192</v>
      </c>
      <c r="K10" s="51">
        <f>'Dep Capex'!K13</f>
        <v>56221.742207960189</v>
      </c>
      <c r="L10" s="51">
        <f>'Dep Capex'!L13</f>
        <v>58115.12726032373</v>
      </c>
    </row>
    <row r="11" spans="2:12" x14ac:dyDescent="0.3">
      <c r="B11" t="s">
        <v>19</v>
      </c>
      <c r="C11" s="34">
        <f>IFERROR('Data Sheet &gt;'!G63,0)</f>
        <v>416</v>
      </c>
      <c r="D11" s="34">
        <f>IFERROR('Data Sheet &gt;'!H63,0)</f>
        <v>288</v>
      </c>
      <c r="E11" s="34">
        <f>IFERROR('Data Sheet &gt;'!I63,0)</f>
        <v>293</v>
      </c>
      <c r="F11" s="34">
        <f>IFERROR('Data Sheet &gt;'!J63,0)</f>
        <v>814</v>
      </c>
      <c r="G11" s="34">
        <f>IFERROR('Data Sheet &gt;'!K63,0)</f>
        <v>526</v>
      </c>
      <c r="H11" s="51">
        <f>'Warking '!H12</f>
        <v>596.34760735226655</v>
      </c>
      <c r="I11" s="51">
        <f>'Warking '!I12</f>
        <v>653.64439568981186</v>
      </c>
      <c r="J11" s="51">
        <f>'Warking '!J12</f>
        <v>716.44623160920844</v>
      </c>
      <c r="K11" s="51">
        <f>'Warking '!K12</f>
        <v>785.28203740711149</v>
      </c>
      <c r="L11" s="51">
        <f>'Warking '!L12</f>
        <v>860.73155397742482</v>
      </c>
    </row>
    <row r="12" spans="2:12" x14ac:dyDescent="0.3">
      <c r="B12" t="s">
        <v>20</v>
      </c>
      <c r="C12" s="34">
        <f>IFERROR('Data Sheet &gt;'!G64,0)</f>
        <v>20324</v>
      </c>
      <c r="D12" s="34">
        <f>IFERROR('Data Sheet &gt;'!H64,0)</f>
        <v>19478</v>
      </c>
      <c r="E12" s="34">
        <f>IFERROR('Data Sheet &gt;'!I64,0)</f>
        <v>24623</v>
      </c>
      <c r="F12" s="34">
        <f>IFERROR('Data Sheet &gt;'!J64,0)</f>
        <v>23541</v>
      </c>
      <c r="G12" s="34">
        <f>IFERROR('Data Sheet &gt;'!K64,0)</f>
        <v>21880</v>
      </c>
      <c r="H12" s="51">
        <f>'Warking '!H16</f>
        <v>28468.891418072355</v>
      </c>
      <c r="I12" s="51">
        <f>'Warking '!I16</f>
        <v>31204.16867193464</v>
      </c>
      <c r="J12" s="51">
        <f>'Warking '!J16</f>
        <v>34202.250035223784</v>
      </c>
      <c r="K12" s="51">
        <f>'Warking '!K16</f>
        <v>37488.385599071902</v>
      </c>
      <c r="L12" s="51">
        <f>'Warking '!L16</f>
        <v>41090.251471097581</v>
      </c>
    </row>
    <row r="13" spans="2:12" x14ac:dyDescent="0.3">
      <c r="B13" t="s">
        <v>21</v>
      </c>
      <c r="C13" s="34">
        <f>IFERROR('Data Sheet &gt;'!G65-(SUM('Data Sheet &gt;'!G67:G69)),0)</f>
        <v>30019</v>
      </c>
      <c r="D13" s="34">
        <f>IFERROR('Data Sheet &gt;'!H65-(SUM('Data Sheet &gt;'!H67:H69)),0)</f>
        <v>38008</v>
      </c>
      <c r="E13" s="34">
        <f>IFERROR('Data Sheet &gt;'!I65-(SUM('Data Sheet &gt;'!I67:I69)),0)</f>
        <v>38503</v>
      </c>
      <c r="F13" s="34">
        <f>IFERROR('Data Sheet &gt;'!J65-(SUM('Data Sheet &gt;'!J67:J69)),0)</f>
        <v>36866</v>
      </c>
      <c r="G13" s="34">
        <f>IFERROR('Data Sheet &gt;'!K65-(SUM('Data Sheet &gt;'!K67:K69)),0)</f>
        <v>40677</v>
      </c>
      <c r="H13" s="51">
        <f>'Warking '!H20</f>
        <v>47394.376592939938</v>
      </c>
      <c r="I13" s="51">
        <f>'Warking '!I20</f>
        <v>51948.005266143453</v>
      </c>
      <c r="J13" s="51">
        <f>'Warking '!J20</f>
        <v>56939.144369571928</v>
      </c>
      <c r="K13" s="51">
        <f>'Warking '!K20</f>
        <v>62409.82969276658</v>
      </c>
      <c r="L13" s="51">
        <f>'Warking '!L20</f>
        <v>68406.135803501747</v>
      </c>
    </row>
    <row r="14" spans="2:12" x14ac:dyDescent="0.3">
      <c r="B14" s="24" t="s">
        <v>139</v>
      </c>
      <c r="C14" s="35">
        <f>SUM(C10:C13)</f>
        <v>76559</v>
      </c>
      <c r="D14" s="35">
        <f t="shared" ref="D14:L14" si="4">SUM(D10:D13)</f>
        <v>86999</v>
      </c>
      <c r="E14" s="35">
        <f t="shared" si="4"/>
        <v>91041</v>
      </c>
      <c r="F14" s="35">
        <f t="shared" si="4"/>
        <v>92182</v>
      </c>
      <c r="G14" s="35">
        <f t="shared" si="4"/>
        <v>96853</v>
      </c>
      <c r="H14" s="56">
        <f t="shared" si="4"/>
        <v>118086.01246564974</v>
      </c>
      <c r="I14" s="56">
        <f t="shared" si="4"/>
        <v>131784.10218978455</v>
      </c>
      <c r="J14" s="56">
        <f t="shared" si="4"/>
        <v>144699.27042566912</v>
      </c>
      <c r="K14" s="56">
        <f t="shared" si="4"/>
        <v>156905.23953720578</v>
      </c>
      <c r="L14" s="56">
        <f t="shared" si="4"/>
        <v>168472.24608890049</v>
      </c>
    </row>
    <row r="15" spans="2:12" x14ac:dyDescent="0.3">
      <c r="B15" t="s">
        <v>22</v>
      </c>
      <c r="C15" s="34">
        <f>IFERROR('Data Sheet &gt;'!G67,0)</f>
        <v>22698</v>
      </c>
      <c r="D15" s="34">
        <f>IFERROR('Data Sheet &gt;'!H67,0)</f>
        <v>25424</v>
      </c>
      <c r="E15" s="34">
        <f>IFERROR('Data Sheet &gt;'!I67,0)</f>
        <v>30193</v>
      </c>
      <c r="F15" s="34">
        <f>IFERROR('Data Sheet &gt;'!J67,0)</f>
        <v>31158</v>
      </c>
      <c r="G15" s="34">
        <f>IFERROR('Data Sheet &gt;'!K67,0)</f>
        <v>35234</v>
      </c>
      <c r="H15" s="51">
        <f>'Warking '!H24</f>
        <v>36996.953538161957</v>
      </c>
      <c r="I15" s="51">
        <f>'Warking '!I24</f>
        <v>40551.602856571779</v>
      </c>
      <c r="J15" s="51">
        <f>'Warking '!J24</f>
        <v>44447.781154221411</v>
      </c>
      <c r="K15" s="51">
        <f>'Warking '!K24</f>
        <v>48718.302369480683</v>
      </c>
      <c r="L15" s="51">
        <f>'Warking '!L24</f>
        <v>53399.133187973028</v>
      </c>
    </row>
    <row r="16" spans="2:12" x14ac:dyDescent="0.3">
      <c r="B16" t="s">
        <v>23</v>
      </c>
      <c r="C16" s="34">
        <f>IFERROR('Data Sheet &gt;'!G68,0)</f>
        <v>0</v>
      </c>
      <c r="D16" s="34">
        <f>IFERROR('Data Sheet &gt;'!H68,0)</f>
        <v>0</v>
      </c>
      <c r="E16" s="34">
        <f>IFERROR('Data Sheet &gt;'!I68,0)</f>
        <v>0</v>
      </c>
      <c r="F16" s="34">
        <f>IFERROR('Data Sheet &gt;'!J68,0)</f>
        <v>0</v>
      </c>
      <c r="G16" s="34">
        <f>IFERROR('Data Sheet &gt;'!K68,0)</f>
        <v>0</v>
      </c>
      <c r="H16" s="51">
        <f>G16</f>
        <v>0</v>
      </c>
      <c r="I16" s="51">
        <f t="shared" ref="I16:L16" si="5">H16</f>
        <v>0</v>
      </c>
      <c r="J16" s="51">
        <f t="shared" si="5"/>
        <v>0</v>
      </c>
      <c r="K16" s="51">
        <f t="shared" si="5"/>
        <v>0</v>
      </c>
      <c r="L16" s="51">
        <f t="shared" si="5"/>
        <v>0</v>
      </c>
    </row>
    <row r="17" spans="2:14" x14ac:dyDescent="0.3">
      <c r="B17" t="s">
        <v>24</v>
      </c>
      <c r="C17" s="34">
        <f>IFERROR('Data Sheet &gt;'!G69,0)</f>
        <v>17472</v>
      </c>
      <c r="D17" s="34">
        <f>IFERROR('Data Sheet &gt;'!H69,0)</f>
        <v>12173</v>
      </c>
      <c r="E17" s="34">
        <f>IFERROR('Data Sheet &gt;'!I69,0)</f>
        <v>14786</v>
      </c>
      <c r="F17" s="34">
        <f>IFERROR('Data Sheet &gt;'!J69,0)</f>
        <v>24455</v>
      </c>
      <c r="G17" s="34">
        <f>IFERROR('Data Sheet &gt;'!K69,0)</f>
        <v>22201</v>
      </c>
      <c r="H17" s="51">
        <f>'Warking '!H30</f>
        <v>10894.784080532725</v>
      </c>
      <c r="I17" s="51">
        <f>'Warking '!I30</f>
        <v>11109.80988731523</v>
      </c>
      <c r="J17" s="51">
        <f>'Warking '!J30</f>
        <v>15335.511600059865</v>
      </c>
      <c r="K17" s="51">
        <f>'Warking '!K30</f>
        <v>23808.287930889604</v>
      </c>
      <c r="L17" s="51">
        <f>'Warking '!L30</f>
        <v>36797.819673614489</v>
      </c>
    </row>
    <row r="18" spans="2:14" x14ac:dyDescent="0.3">
      <c r="B18" s="24" t="s">
        <v>140</v>
      </c>
      <c r="C18" s="35">
        <f>SUM(C15:C17)</f>
        <v>40170</v>
      </c>
      <c r="D18" s="35">
        <f t="shared" ref="D18:F18" si="6">SUM(D15:D17)</f>
        <v>37597</v>
      </c>
      <c r="E18" s="35">
        <f t="shared" si="6"/>
        <v>44979</v>
      </c>
      <c r="F18" s="35">
        <f t="shared" si="6"/>
        <v>55613</v>
      </c>
      <c r="G18" s="35">
        <f>SUM(G15:G17)</f>
        <v>57435</v>
      </c>
      <c r="H18" s="56">
        <f t="shared" ref="H18:L18" si="7">SUM(H15:H17)</f>
        <v>47891.737618694679</v>
      </c>
      <c r="I18" s="56">
        <f t="shared" si="7"/>
        <v>51661.412743887005</v>
      </c>
      <c r="J18" s="56">
        <f t="shared" si="7"/>
        <v>59783.292754281276</v>
      </c>
      <c r="K18" s="56">
        <f t="shared" si="7"/>
        <v>72526.590300370284</v>
      </c>
      <c r="L18" s="56">
        <f t="shared" si="7"/>
        <v>90196.952861587517</v>
      </c>
    </row>
    <row r="19" spans="2:14" x14ac:dyDescent="0.3">
      <c r="C19" s="34"/>
      <c r="D19" s="34"/>
      <c r="E19" s="34"/>
      <c r="F19" s="34"/>
      <c r="G19" s="34"/>
      <c r="H19" s="51"/>
      <c r="I19" s="51"/>
      <c r="J19" s="51"/>
      <c r="K19" s="51"/>
      <c r="L19" s="51"/>
    </row>
    <row r="20" spans="2:14" x14ac:dyDescent="0.3">
      <c r="B20" s="24" t="s">
        <v>141</v>
      </c>
      <c r="C20" s="35">
        <f>C14+C18</f>
        <v>116729</v>
      </c>
      <c r="D20" s="35">
        <f t="shared" ref="D20:L20" si="8">D14+D18</f>
        <v>124596</v>
      </c>
      <c r="E20" s="35">
        <f t="shared" si="8"/>
        <v>136020</v>
      </c>
      <c r="F20" s="35">
        <f t="shared" si="8"/>
        <v>147795</v>
      </c>
      <c r="G20" s="35">
        <f t="shared" si="8"/>
        <v>154288</v>
      </c>
      <c r="H20" s="56">
        <f t="shared" si="8"/>
        <v>165977.75008434441</v>
      </c>
      <c r="I20" s="56">
        <f t="shared" si="8"/>
        <v>183445.51493367157</v>
      </c>
      <c r="J20" s="56">
        <f t="shared" si="8"/>
        <v>204482.5631799504</v>
      </c>
      <c r="K20" s="56">
        <f t="shared" si="8"/>
        <v>229431.82983757608</v>
      </c>
      <c r="L20" s="56">
        <f t="shared" si="8"/>
        <v>258669.198950488</v>
      </c>
      <c r="N20" s="49"/>
    </row>
    <row r="21" spans="2:14" x14ac:dyDescent="0.3">
      <c r="H21" s="37"/>
      <c r="I21" s="37"/>
      <c r="J21" s="37"/>
      <c r="K21" s="37"/>
      <c r="L21" s="37"/>
    </row>
    <row r="22" spans="2:14" x14ac:dyDescent="0.3">
      <c r="B22" s="33" t="s">
        <v>25</v>
      </c>
      <c r="C22" s="33" t="b">
        <f>C9=C20</f>
        <v>1</v>
      </c>
      <c r="D22" s="33" t="b">
        <f t="shared" ref="D22:L22" si="9">D9=D20</f>
        <v>1</v>
      </c>
      <c r="E22" s="33" t="b">
        <f t="shared" si="9"/>
        <v>1</v>
      </c>
      <c r="F22" s="33" t="b">
        <f t="shared" si="9"/>
        <v>1</v>
      </c>
      <c r="G22" s="33" t="b">
        <f t="shared" si="9"/>
        <v>1</v>
      </c>
      <c r="H22" s="57" t="b">
        <f t="shared" si="9"/>
        <v>1</v>
      </c>
      <c r="I22" s="57" t="b">
        <f t="shared" si="9"/>
        <v>1</v>
      </c>
      <c r="J22" s="57" t="b">
        <f t="shared" si="9"/>
        <v>1</v>
      </c>
      <c r="K22" s="57" t="b">
        <f t="shared" si="9"/>
        <v>1</v>
      </c>
      <c r="L22" s="57" t="b">
        <f t="shared" si="9"/>
        <v>1</v>
      </c>
    </row>
    <row r="24" spans="2:14" x14ac:dyDescent="0.3">
      <c r="H24" s="49"/>
      <c r="I24" s="49"/>
      <c r="J24" s="49"/>
      <c r="K24" s="49"/>
      <c r="L24" s="49"/>
    </row>
  </sheetData>
  <mergeCells count="1">
    <mergeCell ref="B2:L2"/>
  </mergeCells>
  <pageMargins left="0.7" right="0.7" top="0.75" bottom="0.75" header="0.3" footer="0.3"/>
  <pageSetup scale="84"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pageSetUpPr fitToPage="1"/>
  </sheetPr>
  <dimension ref="B2:L46"/>
  <sheetViews>
    <sheetView showGridLines="0" zoomScale="80" zoomScaleNormal="80" workbookViewId="0">
      <pane ySplit="3" topLeftCell="A4" activePane="bottomLeft" state="frozen"/>
      <selection pane="bottomLeft" activeCell="R43" sqref="R43"/>
    </sheetView>
  </sheetViews>
  <sheetFormatPr defaultColWidth="8.6640625" defaultRowHeight="14.4" x14ac:dyDescent="0.3"/>
  <cols>
    <col min="1" max="1" width="2.33203125" customWidth="1"/>
    <col min="2" max="2" width="25.33203125" customWidth="1"/>
    <col min="3" max="7" width="14.44140625" bestFit="1" customWidth="1"/>
    <col min="8" max="11" width="10.33203125" bestFit="1" customWidth="1"/>
    <col min="12" max="12" width="10.6640625" customWidth="1"/>
  </cols>
  <sheetData>
    <row r="2" spans="2:12" x14ac:dyDescent="0.3">
      <c r="B2" s="233" t="str">
        <f>"Income Statement-"&amp;'Data Sheet &gt;'!B1</f>
        <v>Income Statement-INFOSYS LTD</v>
      </c>
      <c r="C2" s="233"/>
      <c r="D2" s="233"/>
      <c r="E2" s="233"/>
      <c r="F2" s="233"/>
      <c r="G2" s="233"/>
      <c r="H2" s="233"/>
      <c r="I2" s="233"/>
      <c r="J2" s="233"/>
      <c r="K2" s="233"/>
      <c r="L2" s="233"/>
    </row>
    <row r="3" spans="2:12" x14ac:dyDescent="0.3">
      <c r="B3" s="25" t="s">
        <v>126</v>
      </c>
      <c r="C3" s="26">
        <f>'Data Sheet &gt;'!G16</f>
        <v>44651</v>
      </c>
      <c r="D3" s="26">
        <f>'Data Sheet &gt;'!H16</f>
        <v>45016</v>
      </c>
      <c r="E3" s="26">
        <f>'Data Sheet &gt;'!I16</f>
        <v>45382</v>
      </c>
      <c r="F3" s="26">
        <f>'Data Sheet &gt;'!J16</f>
        <v>45747</v>
      </c>
      <c r="G3" s="26">
        <f>'Data Sheet &gt;'!K16</f>
        <v>46112</v>
      </c>
      <c r="H3" s="27">
        <f>G3+365</f>
        <v>46477</v>
      </c>
      <c r="I3" s="27">
        <f t="shared" ref="I3:L3" si="0">H3+365</f>
        <v>46842</v>
      </c>
      <c r="J3" s="27">
        <f t="shared" si="0"/>
        <v>47207</v>
      </c>
      <c r="K3" s="27">
        <f t="shared" si="0"/>
        <v>47572</v>
      </c>
      <c r="L3" s="27">
        <f t="shared" si="0"/>
        <v>47937</v>
      </c>
    </row>
    <row r="4" spans="2:12" ht="3" customHeight="1" x14ac:dyDescent="0.3">
      <c r="H4" s="37"/>
      <c r="I4" s="37"/>
      <c r="J4" s="37"/>
      <c r="K4" s="37"/>
      <c r="L4" s="37"/>
    </row>
    <row r="5" spans="2:12" x14ac:dyDescent="0.3">
      <c r="B5" t="s">
        <v>0</v>
      </c>
      <c r="C5" s="28">
        <f>IFERROR('Data Sheet &gt;'!G17,0)</f>
        <v>121641</v>
      </c>
      <c r="D5" s="28">
        <f>IFERROR('Data Sheet &gt;'!H17,0)</f>
        <v>146767</v>
      </c>
      <c r="E5" s="28">
        <f>IFERROR('Data Sheet &gt;'!I17,0)</f>
        <v>153670</v>
      </c>
      <c r="F5" s="28">
        <f>IFERROR('Data Sheet &gt;'!J17,0)</f>
        <v>162990</v>
      </c>
      <c r="G5" s="28">
        <f>IFERROR('Data Sheet &gt;'!K17,0)</f>
        <v>178650</v>
      </c>
      <c r="H5" s="38">
        <f>G5*(1+G6)</f>
        <v>195814.60519050251</v>
      </c>
      <c r="I5" s="38">
        <f>H5*(1+H6)</f>
        <v>214628.37730709417</v>
      </c>
      <c r="J5" s="38">
        <f>I5*(1+I6)</f>
        <v>235249.76750667143</v>
      </c>
      <c r="K5" s="38">
        <f t="shared" ref="K5:L5" si="1">J5*(1+J6)</f>
        <v>257852.4508562909</v>
      </c>
      <c r="L5" s="38">
        <f t="shared" si="1"/>
        <v>282626.78903905989</v>
      </c>
    </row>
    <row r="6" spans="2:12" x14ac:dyDescent="0.3">
      <c r="B6" s="31" t="s">
        <v>1</v>
      </c>
      <c r="C6" s="31"/>
      <c r="D6" s="32">
        <f t="shared" ref="D6:I6" si="2">D5/C5-1</f>
        <v>0.20655864387829759</v>
      </c>
      <c r="E6" s="32">
        <f t="shared" si="2"/>
        <v>4.7033733741236095E-2</v>
      </c>
      <c r="F6" s="32">
        <f t="shared" si="2"/>
        <v>6.0649443612936782E-2</v>
      </c>
      <c r="G6" s="32">
        <f t="shared" si="2"/>
        <v>9.6079514080618544E-2</v>
      </c>
      <c r="H6" s="39">
        <f t="shared" si="2"/>
        <v>9.6079514080618544E-2</v>
      </c>
      <c r="I6" s="39">
        <f t="shared" si="2"/>
        <v>9.6079514080618544E-2</v>
      </c>
      <c r="J6" s="39">
        <f t="shared" ref="J6:L6" si="3">J5/I5-1</f>
        <v>9.6079514080618544E-2</v>
      </c>
      <c r="K6" s="39">
        <f t="shared" si="3"/>
        <v>9.6079514080618544E-2</v>
      </c>
      <c r="L6" s="39">
        <f t="shared" si="3"/>
        <v>9.6079514080618544E-2</v>
      </c>
    </row>
    <row r="7" spans="2:12" x14ac:dyDescent="0.3">
      <c r="H7" s="37"/>
      <c r="I7" s="37"/>
      <c r="J7" s="37"/>
      <c r="K7" s="37"/>
      <c r="L7" s="37"/>
    </row>
    <row r="8" spans="2:12" x14ac:dyDescent="0.3">
      <c r="B8" t="s">
        <v>2</v>
      </c>
      <c r="C8" s="28">
        <f>IFERROR(SUM('Data Sheet &gt;'!G20,'Data Sheet &gt;'!G21),0)</f>
        <v>20822</v>
      </c>
      <c r="D8" s="28">
        <f>IFERROR(SUM('Data Sheet &gt;'!H20,'Data Sheet &gt;'!H21),0)</f>
        <v>26506</v>
      </c>
      <c r="E8" s="28">
        <f>IFERROR(SUM('Data Sheet &gt;'!I20,'Data Sheet &gt;'!I21),0)</f>
        <v>27394</v>
      </c>
      <c r="F8" s="28">
        <f>IFERROR(SUM('Data Sheet &gt;'!J20,'Data Sheet &gt;'!J21),0)</f>
        <v>30617</v>
      </c>
      <c r="G8" s="28">
        <f>IFERROR(SUM('Data Sheet &gt;'!K20,'Data Sheet &gt;'!K21),0)</f>
        <v>33145</v>
      </c>
      <c r="H8" s="38">
        <f>H5*H9</f>
        <v>35380.424292520671</v>
      </c>
      <c r="I8" s="38">
        <f t="shared" ref="I8:K8" si="4">I5*I9</f>
        <v>38779.758266512166</v>
      </c>
      <c r="J8" s="38">
        <f>J5*J9</f>
        <v>42505.698596922506</v>
      </c>
      <c r="K8" s="38">
        <f t="shared" si="4"/>
        <v>46589.625463772049</v>
      </c>
      <c r="L8" s="38">
        <f>L5*L9</f>
        <v>51065.934039529282</v>
      </c>
    </row>
    <row r="9" spans="2:12" x14ac:dyDescent="0.3">
      <c r="B9" s="31" t="s">
        <v>3</v>
      </c>
      <c r="C9" s="32">
        <f>C8/C5</f>
        <v>0.17117583709440073</v>
      </c>
      <c r="D9" s="32">
        <f t="shared" ref="D9:G9" si="5">D8/D5</f>
        <v>0.18059918101480579</v>
      </c>
      <c r="E9" s="32">
        <f t="shared" si="5"/>
        <v>0.1782651135550205</v>
      </c>
      <c r="F9" s="32">
        <f t="shared" si="5"/>
        <v>0.1878458801153445</v>
      </c>
      <c r="G9" s="32">
        <f t="shared" si="5"/>
        <v>0.18553036663867897</v>
      </c>
      <c r="H9" s="40">
        <f>AVERAGE($C$9:$G$9)</f>
        <v>0.18068327568365011</v>
      </c>
      <c r="I9" s="40">
        <f>AVERAGE($C$9:$G$9)</f>
        <v>0.18068327568365011</v>
      </c>
      <c r="J9" s="40">
        <f>AVERAGE($C$9:$G$9)</f>
        <v>0.18068327568365011</v>
      </c>
      <c r="K9" s="40">
        <f>AVERAGE($C$9:$G$9)</f>
        <v>0.18068327568365011</v>
      </c>
      <c r="L9" s="40">
        <f t="shared" ref="L9" si="6">AVERAGE($C$9:$G$9)</f>
        <v>0.18068327568365011</v>
      </c>
    </row>
    <row r="10" spans="2:12" x14ac:dyDescent="0.3">
      <c r="H10" s="37"/>
      <c r="I10" s="37"/>
      <c r="J10" s="37"/>
      <c r="K10" s="37"/>
      <c r="L10" s="37"/>
    </row>
    <row r="11" spans="2:12" x14ac:dyDescent="0.3">
      <c r="B11" s="24" t="s">
        <v>4</v>
      </c>
      <c r="C11" s="30">
        <f>C5-C8</f>
        <v>100819</v>
      </c>
      <c r="D11" s="30">
        <f t="shared" ref="D11:L11" si="7">D5-D8</f>
        <v>120261</v>
      </c>
      <c r="E11" s="30">
        <f t="shared" si="7"/>
        <v>126276</v>
      </c>
      <c r="F11" s="30">
        <f t="shared" si="7"/>
        <v>132373</v>
      </c>
      <c r="G11" s="30">
        <f t="shared" si="7"/>
        <v>145505</v>
      </c>
      <c r="H11" s="41">
        <f>H5-H8</f>
        <v>160434.18089798183</v>
      </c>
      <c r="I11" s="41">
        <f t="shared" si="7"/>
        <v>175848.61904058201</v>
      </c>
      <c r="J11" s="41">
        <f t="shared" si="7"/>
        <v>192744.06890974892</v>
      </c>
      <c r="K11" s="41">
        <f t="shared" si="7"/>
        <v>211262.82539251886</v>
      </c>
      <c r="L11" s="41">
        <f t="shared" si="7"/>
        <v>231560.85499953059</v>
      </c>
    </row>
    <row r="12" spans="2:12" x14ac:dyDescent="0.3">
      <c r="B12" s="31" t="s">
        <v>5</v>
      </c>
      <c r="C12" s="32">
        <f>C11/C5</f>
        <v>0.82882416290559924</v>
      </c>
      <c r="D12" s="32">
        <f t="shared" ref="D12:F12" si="8">D11/D5</f>
        <v>0.81940081898519423</v>
      </c>
      <c r="E12" s="32">
        <f t="shared" si="8"/>
        <v>0.8217348864449795</v>
      </c>
      <c r="F12" s="32">
        <f t="shared" si="8"/>
        <v>0.81215411988465547</v>
      </c>
      <c r="G12" s="32">
        <f>G11/G5</f>
        <v>0.81446963336132105</v>
      </c>
      <c r="H12" s="39">
        <f>H11/H5</f>
        <v>0.81931672431634983</v>
      </c>
      <c r="I12" s="39">
        <f t="shared" ref="I12:L12" si="9">I11/I5</f>
        <v>0.81931672431634994</v>
      </c>
      <c r="J12" s="39">
        <f>J11/J5</f>
        <v>0.81931672431634994</v>
      </c>
      <c r="K12" s="39">
        <f t="shared" si="9"/>
        <v>0.81931672431634994</v>
      </c>
      <c r="L12" s="39">
        <f t="shared" si="9"/>
        <v>0.81931672431634983</v>
      </c>
    </row>
    <row r="13" spans="2:12" x14ac:dyDescent="0.3">
      <c r="H13" s="37"/>
      <c r="I13" s="37"/>
      <c r="J13" s="37"/>
      <c r="K13" s="37"/>
      <c r="L13" s="37"/>
    </row>
    <row r="14" spans="2:12" x14ac:dyDescent="0.3">
      <c r="B14" t="s">
        <v>6</v>
      </c>
      <c r="C14" s="28">
        <f>IFERROR(SUM('Data Sheet &gt;'!G22:G24),0)</f>
        <v>69328</v>
      </c>
      <c r="D14" s="28">
        <f>IFERROR(SUM('Data Sheet &gt;'!H22:H24),0)</f>
        <v>85131</v>
      </c>
      <c r="E14" s="28">
        <f>IFERROR(SUM('Data Sheet &gt;'!I22:I24),0)</f>
        <v>89851</v>
      </c>
      <c r="F14" s="28">
        <f>IFERROR(SUM('Data Sheet &gt;'!J22:J24),0)</f>
        <v>93137</v>
      </c>
      <c r="G14" s="28">
        <f>IFERROR(SUM('Data Sheet &gt;'!K22:K24),0)</f>
        <v>103225</v>
      </c>
      <c r="H14" s="38">
        <f>H5*(G14/G5)</f>
        <v>113142.80784097184</v>
      </c>
      <c r="I14" s="38">
        <f t="shared" ref="I14:L14" si="10">I5*(H14/H5)</f>
        <v>124013.51384004923</v>
      </c>
      <c r="J14" s="38">
        <f t="shared" si="10"/>
        <v>135928.67198923122</v>
      </c>
      <c r="K14" s="38">
        <f t="shared" si="10"/>
        <v>148988.63274358033</v>
      </c>
      <c r="L14" s="38">
        <f t="shared" si="10"/>
        <v>163303.38818111926</v>
      </c>
    </row>
    <row r="15" spans="2:12" x14ac:dyDescent="0.3">
      <c r="B15" s="31" t="s">
        <v>127</v>
      </c>
      <c r="C15" s="32">
        <f>C14/C5</f>
        <v>0.56993941187593</v>
      </c>
      <c r="D15" s="32">
        <f t="shared" ref="D15:G15" si="11">D14/D5</f>
        <v>0.58004183501740858</v>
      </c>
      <c r="E15" s="32">
        <f t="shared" si="11"/>
        <v>0.58470098262510573</v>
      </c>
      <c r="F15" s="32">
        <f t="shared" si="11"/>
        <v>0.57142769495061052</v>
      </c>
      <c r="G15" s="32">
        <f t="shared" si="11"/>
        <v>0.57780576546319617</v>
      </c>
      <c r="H15" s="39">
        <f>H14/H5</f>
        <v>0.57780576546319617</v>
      </c>
      <c r="I15" s="39">
        <f>I14/I5</f>
        <v>0.57780576546319617</v>
      </c>
      <c r="J15" s="39">
        <f t="shared" ref="J15:L15" si="12">J14/J5</f>
        <v>0.57780576546319617</v>
      </c>
      <c r="K15" s="39">
        <f>K14/K5</f>
        <v>0.57780576546319617</v>
      </c>
      <c r="L15" s="39">
        <f t="shared" si="12"/>
        <v>0.57780576546319617</v>
      </c>
    </row>
    <row r="16" spans="2:12" x14ac:dyDescent="0.3">
      <c r="H16" s="37"/>
      <c r="I16" s="37"/>
      <c r="J16" s="37"/>
      <c r="K16" s="37"/>
      <c r="L16" s="37"/>
    </row>
    <row r="17" spans="2:12" x14ac:dyDescent="0.3">
      <c r="B17" s="24" t="s">
        <v>7</v>
      </c>
      <c r="C17" s="30">
        <f>C11-C14</f>
        <v>31491</v>
      </c>
      <c r="D17" s="30">
        <f t="shared" ref="D17:L17" si="13">D11-D14</f>
        <v>35130</v>
      </c>
      <c r="E17" s="30">
        <f t="shared" si="13"/>
        <v>36425</v>
      </c>
      <c r="F17" s="30">
        <f t="shared" si="13"/>
        <v>39236</v>
      </c>
      <c r="G17" s="30">
        <f t="shared" si="13"/>
        <v>42280</v>
      </c>
      <c r="H17" s="41">
        <f>H11-H14</f>
        <v>47291.373057009987</v>
      </c>
      <c r="I17" s="41">
        <f>I11-I14</f>
        <v>51835.10520053278</v>
      </c>
      <c r="J17" s="41">
        <f t="shared" si="13"/>
        <v>56815.396920517698</v>
      </c>
      <c r="K17" s="41">
        <f t="shared" si="13"/>
        <v>62274.192648938537</v>
      </c>
      <c r="L17" s="41">
        <f t="shared" si="13"/>
        <v>68257.46681841134</v>
      </c>
    </row>
    <row r="18" spans="2:12" x14ac:dyDescent="0.3">
      <c r="B18" s="31" t="s">
        <v>8</v>
      </c>
      <c r="C18" s="32">
        <f>C17/C5</f>
        <v>0.25888475102966929</v>
      </c>
      <c r="D18" s="32">
        <f t="shared" ref="D18:L18" si="14">D17/D5</f>
        <v>0.23935898396778568</v>
      </c>
      <c r="E18" s="32">
        <f t="shared" si="14"/>
        <v>0.23703390381987374</v>
      </c>
      <c r="F18" s="32">
        <f t="shared" si="14"/>
        <v>0.24072642493404503</v>
      </c>
      <c r="G18" s="32">
        <f t="shared" si="14"/>
        <v>0.23666386789812482</v>
      </c>
      <c r="H18" s="39">
        <f>H17/H5</f>
        <v>0.24151095885315368</v>
      </c>
      <c r="I18" s="39">
        <f t="shared" si="14"/>
        <v>0.24151095885315377</v>
      </c>
      <c r="J18" s="39">
        <f t="shared" si="14"/>
        <v>0.24151095885315371</v>
      </c>
      <c r="K18" s="39">
        <f t="shared" si="14"/>
        <v>0.2415109588531538</v>
      </c>
      <c r="L18" s="39">
        <f t="shared" si="14"/>
        <v>0.24151095885315368</v>
      </c>
    </row>
    <row r="19" spans="2:12" x14ac:dyDescent="0.3">
      <c r="H19" s="37"/>
      <c r="I19" s="37"/>
      <c r="J19" s="37"/>
      <c r="K19" s="37"/>
      <c r="L19" s="37"/>
    </row>
    <row r="20" spans="2:12" x14ac:dyDescent="0.3">
      <c r="B20" t="s">
        <v>10</v>
      </c>
      <c r="C20" s="28">
        <f>IFERROR('Data Sheet &gt;'!G26,0)</f>
        <v>3476</v>
      </c>
      <c r="D20" s="28">
        <f>IFERROR('Data Sheet &gt;'!H26,0)</f>
        <v>4225</v>
      </c>
      <c r="E20" s="28">
        <f>IFERROR('Data Sheet &gt;'!I26,0)</f>
        <v>4678</v>
      </c>
      <c r="F20" s="28">
        <f>IFERROR('Data Sheet &gt;'!J26,0)</f>
        <v>4812</v>
      </c>
      <c r="G20" s="28">
        <f>IFERROR('Data Sheet &gt;'!K26,0)</f>
        <v>4902</v>
      </c>
      <c r="H20" s="38">
        <f>H5*H21</f>
        <v>5669.5096679340213</v>
      </c>
      <c r="I20" s="38">
        <f t="shared" ref="I20:L20" si="15">I5*I21</f>
        <v>6214.2334019044911</v>
      </c>
      <c r="J20" s="38">
        <f t="shared" si="15"/>
        <v>6811.2939275430235</v>
      </c>
      <c r="K20" s="38">
        <f t="shared" si="15"/>
        <v>7465.7197383616249</v>
      </c>
      <c r="L20" s="38">
        <f t="shared" si="15"/>
        <v>8183.0224630854918</v>
      </c>
    </row>
    <row r="21" spans="2:12" x14ac:dyDescent="0.3">
      <c r="B21" s="31" t="s">
        <v>128</v>
      </c>
      <c r="C21" s="32">
        <f>C20/C5</f>
        <v>2.8575891352422292E-2</v>
      </c>
      <c r="D21" s="32">
        <f t="shared" ref="D21:G21" si="16">D20/D5</f>
        <v>2.8787125171189708E-2</v>
      </c>
      <c r="E21" s="32">
        <f t="shared" si="16"/>
        <v>3.0441855925034164E-2</v>
      </c>
      <c r="F21" s="32">
        <f t="shared" si="16"/>
        <v>2.9523283637032948E-2</v>
      </c>
      <c r="G21" s="32">
        <f t="shared" si="16"/>
        <v>2.7439126784214944E-2</v>
      </c>
      <c r="H21" s="42">
        <f>AVERAGE(C21:G21)</f>
        <v>2.8953456573978815E-2</v>
      </c>
      <c r="I21" s="42">
        <f>H21</f>
        <v>2.8953456573978815E-2</v>
      </c>
      <c r="J21" s="42">
        <f t="shared" ref="J21:L21" si="17">I21</f>
        <v>2.8953456573978815E-2</v>
      </c>
      <c r="K21" s="42">
        <f t="shared" si="17"/>
        <v>2.8953456573978815E-2</v>
      </c>
      <c r="L21" s="42">
        <f t="shared" si="17"/>
        <v>2.8953456573978815E-2</v>
      </c>
    </row>
    <row r="22" spans="2:12" x14ac:dyDescent="0.3">
      <c r="H22" s="37"/>
      <c r="I22" s="37"/>
      <c r="J22" s="37"/>
      <c r="K22" s="37"/>
      <c r="L22" s="37"/>
    </row>
    <row r="23" spans="2:12" x14ac:dyDescent="0.3">
      <c r="B23" s="24" t="s">
        <v>129</v>
      </c>
      <c r="C23" s="30">
        <f>C17-C20</f>
        <v>28015</v>
      </c>
      <c r="D23" s="30">
        <f t="shared" ref="D23:L23" si="18">D17-D20</f>
        <v>30905</v>
      </c>
      <c r="E23" s="30">
        <f t="shared" si="18"/>
        <v>31747</v>
      </c>
      <c r="F23" s="30">
        <f t="shared" si="18"/>
        <v>34424</v>
      </c>
      <c r="G23" s="30">
        <f t="shared" si="18"/>
        <v>37378</v>
      </c>
      <c r="H23" s="41">
        <f>H17-H20</f>
        <v>41621.863389075967</v>
      </c>
      <c r="I23" s="41">
        <f t="shared" si="18"/>
        <v>45620.871798628286</v>
      </c>
      <c r="J23" s="41">
        <f>J17-J20</f>
        <v>50004.102992974673</v>
      </c>
      <c r="K23" s="41">
        <f t="shared" si="18"/>
        <v>54808.472910576915</v>
      </c>
      <c r="L23" s="41">
        <f t="shared" si="18"/>
        <v>60074.444355325846</v>
      </c>
    </row>
    <row r="24" spans="2:12" x14ac:dyDescent="0.3">
      <c r="B24" s="31" t="s">
        <v>130</v>
      </c>
      <c r="C24" s="32">
        <f>C23/C5</f>
        <v>0.23030885967724699</v>
      </c>
      <c r="D24" s="32">
        <f t="shared" ref="D24:L24" si="19">D23/D5</f>
        <v>0.21057185879659596</v>
      </c>
      <c r="E24" s="32">
        <f t="shared" si="19"/>
        <v>0.20659204789483959</v>
      </c>
      <c r="F24" s="32">
        <f t="shared" si="19"/>
        <v>0.21120314129701209</v>
      </c>
      <c r="G24" s="32">
        <f t="shared" si="19"/>
        <v>0.20922474111390987</v>
      </c>
      <c r="H24" s="39">
        <f t="shared" si="19"/>
        <v>0.21255750227917489</v>
      </c>
      <c r="I24" s="39">
        <f t="shared" si="19"/>
        <v>0.21255750227917494</v>
      </c>
      <c r="J24" s="39">
        <f>J23/J5</f>
        <v>0.21255750227917489</v>
      </c>
      <c r="K24" s="39">
        <f t="shared" si="19"/>
        <v>0.212557502279175</v>
      </c>
      <c r="L24" s="39">
        <f t="shared" si="19"/>
        <v>0.21255750227917486</v>
      </c>
    </row>
    <row r="25" spans="2:12" x14ac:dyDescent="0.3">
      <c r="H25" s="37"/>
      <c r="I25" s="37"/>
      <c r="J25" s="37"/>
      <c r="K25" s="37"/>
      <c r="L25" s="37"/>
    </row>
    <row r="26" spans="2:12" x14ac:dyDescent="0.3">
      <c r="B26" t="s">
        <v>9</v>
      </c>
      <c r="C26" s="28">
        <f>IFERROR('Data Sheet &gt;'!G27,0)</f>
        <v>200</v>
      </c>
      <c r="D26" s="28">
        <f>IFERROR('Data Sheet &gt;'!H27,0)</f>
        <v>284</v>
      </c>
      <c r="E26" s="28">
        <f>IFERROR('Data Sheet &gt;'!I27,0)</f>
        <v>470</v>
      </c>
      <c r="F26" s="28">
        <f>IFERROR('Data Sheet &gt;'!J27,0)</f>
        <v>416</v>
      </c>
      <c r="G26" s="28">
        <f>IFERROR('Data Sheet &gt;'!K27,0)</f>
        <v>416</v>
      </c>
      <c r="H26" s="38">
        <f>AVERAGE('Data Sheet &gt;'!G59:K59)*4.54%</f>
        <v>358.9778</v>
      </c>
      <c r="I26" s="38">
        <f>H26</f>
        <v>358.9778</v>
      </c>
      <c r="J26" s="38">
        <f t="shared" ref="J26:L26" si="20">I26</f>
        <v>358.9778</v>
      </c>
      <c r="K26" s="38">
        <f t="shared" si="20"/>
        <v>358.9778</v>
      </c>
      <c r="L26" s="38">
        <f t="shared" si="20"/>
        <v>358.9778</v>
      </c>
    </row>
    <row r="27" spans="2:12" x14ac:dyDescent="0.3">
      <c r="B27" s="31" t="s">
        <v>131</v>
      </c>
      <c r="C27" s="32">
        <f>C26/C5</f>
        <v>1.6441824713706726E-3</v>
      </c>
      <c r="D27" s="32">
        <f t="shared" ref="D27:L27" si="21">D26/D5</f>
        <v>1.9350398931639945E-3</v>
      </c>
      <c r="E27" s="32">
        <f t="shared" si="21"/>
        <v>3.0585019847725646E-3</v>
      </c>
      <c r="F27" s="32">
        <f t="shared" si="21"/>
        <v>2.5523038223203877E-3</v>
      </c>
      <c r="G27" s="32">
        <f t="shared" si="21"/>
        <v>2.3285754268122026E-3</v>
      </c>
      <c r="H27" s="39">
        <f>H26/H5</f>
        <v>1.8332534473144157E-3</v>
      </c>
      <c r="I27" s="39">
        <f>I26/I5</f>
        <v>1.672555160245041E-3</v>
      </c>
      <c r="J27" s="39">
        <f t="shared" si="21"/>
        <v>1.5259432721429567E-3</v>
      </c>
      <c r="K27" s="39">
        <f t="shared" si="21"/>
        <v>1.3921830054664454E-3</v>
      </c>
      <c r="L27" s="39">
        <f t="shared" si="21"/>
        <v>1.270147820100621E-3</v>
      </c>
    </row>
    <row r="28" spans="2:12" x14ac:dyDescent="0.3">
      <c r="H28" s="37"/>
      <c r="I28" s="37"/>
      <c r="J28" s="37"/>
      <c r="K28" s="37"/>
      <c r="L28" s="37"/>
    </row>
    <row r="29" spans="2:12" x14ac:dyDescent="0.3">
      <c r="B29" s="24" t="s">
        <v>11</v>
      </c>
      <c r="C29" s="30">
        <f>C23-C26</f>
        <v>27815</v>
      </c>
      <c r="D29" s="30">
        <f t="shared" ref="D29:L29" si="22">D23-D26</f>
        <v>30621</v>
      </c>
      <c r="E29" s="30">
        <f t="shared" si="22"/>
        <v>31277</v>
      </c>
      <c r="F29" s="30">
        <f t="shared" si="22"/>
        <v>34008</v>
      </c>
      <c r="G29" s="30">
        <f t="shared" si="22"/>
        <v>36962</v>
      </c>
      <c r="H29" s="41">
        <f t="shared" si="22"/>
        <v>41262.885589075966</v>
      </c>
      <c r="I29" s="41">
        <f>I23-I26</f>
        <v>45261.893998628286</v>
      </c>
      <c r="J29" s="41">
        <f t="shared" si="22"/>
        <v>49645.125192974672</v>
      </c>
      <c r="K29" s="41">
        <f t="shared" si="22"/>
        <v>54449.495110576914</v>
      </c>
      <c r="L29" s="41">
        <f t="shared" si="22"/>
        <v>59715.466555325846</v>
      </c>
    </row>
    <row r="30" spans="2:12" x14ac:dyDescent="0.3">
      <c r="B30" s="31" t="s">
        <v>132</v>
      </c>
      <c r="C30" s="32">
        <f>C29/C5</f>
        <v>0.2286646772058763</v>
      </c>
      <c r="D30" s="32">
        <f t="shared" ref="D30:L30" si="23">D29/D5</f>
        <v>0.20863681890343197</v>
      </c>
      <c r="E30" s="32">
        <f t="shared" si="23"/>
        <v>0.20353354591006703</v>
      </c>
      <c r="F30" s="32">
        <f t="shared" si="23"/>
        <v>0.20865083747469171</v>
      </c>
      <c r="G30" s="32">
        <f t="shared" si="23"/>
        <v>0.20689616568709768</v>
      </c>
      <c r="H30" s="39">
        <f>H29/H5</f>
        <v>0.21072424883186047</v>
      </c>
      <c r="I30" s="39">
        <f>I29/I5</f>
        <v>0.21088494711892988</v>
      </c>
      <c r="J30" s="39">
        <f t="shared" si="23"/>
        <v>0.21103155900703191</v>
      </c>
      <c r="K30" s="39">
        <f t="shared" si="23"/>
        <v>0.21116531927370855</v>
      </c>
      <c r="L30" s="39">
        <f t="shared" si="23"/>
        <v>0.21128735445907423</v>
      </c>
    </row>
    <row r="31" spans="2:12" x14ac:dyDescent="0.3">
      <c r="H31" s="37"/>
      <c r="I31" s="37"/>
      <c r="J31" s="37"/>
      <c r="K31" s="37"/>
      <c r="L31" s="37"/>
    </row>
    <row r="32" spans="2:12" x14ac:dyDescent="0.3">
      <c r="B32" t="s">
        <v>12</v>
      </c>
      <c r="C32" s="28">
        <f>IFERROR('Data Sheet &gt;'!G29,0)</f>
        <v>7964</v>
      </c>
      <c r="D32" s="28">
        <f>IFERROR('Data Sheet &gt;'!H29,0)</f>
        <v>9214</v>
      </c>
      <c r="E32" s="28">
        <f>IFERROR('Data Sheet &gt;'!I29,0)</f>
        <v>9740</v>
      </c>
      <c r="F32" s="28">
        <f>IFERROR('Data Sheet &gt;'!J29,0)</f>
        <v>10858</v>
      </c>
      <c r="G32" s="28">
        <f>IFERROR('Data Sheet &gt;'!K29,0)</f>
        <v>10521</v>
      </c>
      <c r="H32" s="37">
        <f>H29*H33</f>
        <v>12399.970691583469</v>
      </c>
      <c r="I32" s="37">
        <f t="shared" ref="I32:L32" si="24">I29*I33</f>
        <v>13601.718615072672</v>
      </c>
      <c r="J32" s="37">
        <f t="shared" si="24"/>
        <v>14918.929895098101</v>
      </c>
      <c r="K32" s="37">
        <f t="shared" si="24"/>
        <v>16362.698194849896</v>
      </c>
      <c r="L32" s="37">
        <f t="shared" si="24"/>
        <v>17945.183051286822</v>
      </c>
    </row>
    <row r="33" spans="2:12" x14ac:dyDescent="0.3">
      <c r="B33" s="31" t="s">
        <v>13</v>
      </c>
      <c r="C33" s="32">
        <f>C32/C29</f>
        <v>0.28632033075678592</v>
      </c>
      <c r="D33" s="32">
        <f t="shared" ref="D33:F33" si="25">D32/D29</f>
        <v>0.30090460794879331</v>
      </c>
      <c r="E33" s="32">
        <f t="shared" si="25"/>
        <v>0.31141094094702176</v>
      </c>
      <c r="F33" s="32">
        <f t="shared" si="25"/>
        <v>0.31927781698423902</v>
      </c>
      <c r="G33" s="32">
        <f>G32/G29</f>
        <v>0.28464368811211516</v>
      </c>
      <c r="H33" s="42">
        <f>AVERAGE(C33:G33)</f>
        <v>0.30051147694979108</v>
      </c>
      <c r="I33" s="42">
        <f>H33</f>
        <v>0.30051147694979108</v>
      </c>
      <c r="J33" s="42">
        <f t="shared" ref="J33:L33" si="26">I33</f>
        <v>0.30051147694979108</v>
      </c>
      <c r="K33" s="42">
        <f t="shared" si="26"/>
        <v>0.30051147694979108</v>
      </c>
      <c r="L33" s="42">
        <f t="shared" si="26"/>
        <v>0.30051147694979108</v>
      </c>
    </row>
    <row r="34" spans="2:12" x14ac:dyDescent="0.3">
      <c r="H34" s="37"/>
      <c r="I34" s="37"/>
      <c r="J34" s="37"/>
      <c r="K34" s="37"/>
      <c r="L34" s="37"/>
    </row>
    <row r="35" spans="2:12" x14ac:dyDescent="0.3">
      <c r="B35" s="24" t="s">
        <v>133</v>
      </c>
      <c r="C35" s="30">
        <f>C29-C32</f>
        <v>19851</v>
      </c>
      <c r="D35" s="30">
        <f t="shared" ref="D35:L35" si="27">D29-D32</f>
        <v>21407</v>
      </c>
      <c r="E35" s="30">
        <f t="shared" si="27"/>
        <v>21537</v>
      </c>
      <c r="F35" s="30">
        <f t="shared" si="27"/>
        <v>23150</v>
      </c>
      <c r="G35" s="30">
        <f t="shared" si="27"/>
        <v>26441</v>
      </c>
      <c r="H35" s="41">
        <f t="shared" si="27"/>
        <v>28862.914897492497</v>
      </c>
      <c r="I35" s="41">
        <f>I29-I32</f>
        <v>31660.175383555616</v>
      </c>
      <c r="J35" s="41">
        <f t="shared" si="27"/>
        <v>34726.195297876569</v>
      </c>
      <c r="K35" s="41">
        <f t="shared" si="27"/>
        <v>38086.79691572702</v>
      </c>
      <c r="L35" s="41">
        <f t="shared" si="27"/>
        <v>41770.28350403902</v>
      </c>
    </row>
    <row r="36" spans="2:12" x14ac:dyDescent="0.3">
      <c r="B36" s="31" t="s">
        <v>55</v>
      </c>
      <c r="C36" s="32">
        <f>C35/C5</f>
        <v>0.16319333119589613</v>
      </c>
      <c r="D36" s="32">
        <f t="shared" ref="D36:L36" si="28">D35/D5</f>
        <v>0.14585703870761138</v>
      </c>
      <c r="E36" s="32">
        <f t="shared" si="28"/>
        <v>0.14015097286392919</v>
      </c>
      <c r="F36" s="32">
        <f t="shared" si="28"/>
        <v>0.14203325357383889</v>
      </c>
      <c r="G36" s="32">
        <f t="shared" si="28"/>
        <v>0.14800447802966696</v>
      </c>
      <c r="H36" s="39">
        <f t="shared" si="28"/>
        <v>0.1473991935862628</v>
      </c>
      <c r="I36" s="39">
        <f t="shared" si="28"/>
        <v>0.14751160019374168</v>
      </c>
      <c r="J36" s="39">
        <f t="shared" si="28"/>
        <v>0.14761415352681176</v>
      </c>
      <c r="K36" s="39">
        <f t="shared" si="28"/>
        <v>0.14770771729819221</v>
      </c>
      <c r="L36" s="39">
        <f t="shared" si="28"/>
        <v>0.14779307950976381</v>
      </c>
    </row>
    <row r="37" spans="2:12" x14ac:dyDescent="0.3">
      <c r="H37" s="37"/>
      <c r="I37" s="37"/>
      <c r="J37" s="37"/>
      <c r="K37" s="37"/>
      <c r="L37" s="37"/>
    </row>
    <row r="38" spans="2:12" x14ac:dyDescent="0.3">
      <c r="B38" t="s">
        <v>134</v>
      </c>
      <c r="C38" s="28">
        <f>IFERROR('Data Sheet &gt;'!G93,0)</f>
        <v>420.67</v>
      </c>
      <c r="D38" s="28">
        <f>IFERROR('Data Sheet &gt;'!H93,0)</f>
        <v>414.86</v>
      </c>
      <c r="E38" s="28">
        <f>IFERROR('Data Sheet &gt;'!I93,0)</f>
        <v>415.09</v>
      </c>
      <c r="F38" s="28">
        <f>IFERROR('Data Sheet &gt;'!J93,0)</f>
        <v>415.33</v>
      </c>
      <c r="G38" s="28">
        <f>IFERROR('Data Sheet &gt;'!K93,0)</f>
        <v>405.56</v>
      </c>
      <c r="H38" s="38">
        <f>G38</f>
        <v>405.56</v>
      </c>
      <c r="I38" s="38">
        <f>H38</f>
        <v>405.56</v>
      </c>
      <c r="J38" s="38">
        <f t="shared" ref="J38:L38" si="29">I38</f>
        <v>405.56</v>
      </c>
      <c r="K38" s="38">
        <f t="shared" si="29"/>
        <v>405.56</v>
      </c>
      <c r="L38" s="38">
        <f t="shared" si="29"/>
        <v>405.56</v>
      </c>
    </row>
    <row r="39" spans="2:12" x14ac:dyDescent="0.3">
      <c r="H39" s="37"/>
      <c r="I39" s="37"/>
      <c r="J39" s="37"/>
      <c r="K39" s="37"/>
      <c r="L39" s="37"/>
    </row>
    <row r="40" spans="2:12" x14ac:dyDescent="0.3">
      <c r="B40" t="s">
        <v>135</v>
      </c>
      <c r="C40" s="28">
        <f>C35/C38</f>
        <v>47.189008011030019</v>
      </c>
      <c r="D40" s="28">
        <f t="shared" ref="D40:F40" si="30">D35/D38</f>
        <v>51.600539941184977</v>
      </c>
      <c r="E40" s="28">
        <f t="shared" si="30"/>
        <v>51.885133344575877</v>
      </c>
      <c r="F40" s="28">
        <f t="shared" si="30"/>
        <v>55.738810102809815</v>
      </c>
      <c r="G40" s="28">
        <f>G35/G38</f>
        <v>65.196271821678664</v>
      </c>
      <c r="H40" s="38">
        <f>H35/H38</f>
        <v>71.1680513302409</v>
      </c>
      <c r="I40" s="38">
        <f>I35/I38</f>
        <v>78.065330366790647</v>
      </c>
      <c r="J40" s="38">
        <f t="shared" ref="J40:L40" si="31">J35/J38</f>
        <v>85.625296621650477</v>
      </c>
      <c r="K40" s="38">
        <f t="shared" si="31"/>
        <v>93.911620760743219</v>
      </c>
      <c r="L40" s="38">
        <f t="shared" si="31"/>
        <v>102.99409089663433</v>
      </c>
    </row>
    <row r="41" spans="2:12" x14ac:dyDescent="0.3">
      <c r="B41" s="31" t="s">
        <v>59</v>
      </c>
      <c r="C41" s="31"/>
      <c r="D41" s="32">
        <f>D40/C40-1</f>
        <v>9.3486430762091954E-2</v>
      </c>
      <c r="E41" s="32">
        <f t="shared" ref="E41:G41" si="32">E40/D40-1</f>
        <v>5.5153183225462588E-3</v>
      </c>
      <c r="F41" s="32">
        <f t="shared" si="32"/>
        <v>7.4273236085588668E-2</v>
      </c>
      <c r="G41" s="32">
        <f t="shared" si="32"/>
        <v>0.1696746253001209</v>
      </c>
      <c r="H41" s="39">
        <f>H40/G40-1</f>
        <v>9.1596947826954267E-2</v>
      </c>
      <c r="I41" s="39">
        <f>I40/H40-1</f>
        <v>9.6915384187552522E-2</v>
      </c>
      <c r="J41" s="39">
        <f t="shared" ref="J41" si="33">J40/I40-1</f>
        <v>9.6841532846133616E-2</v>
      </c>
      <c r="K41" s="39">
        <f t="shared" ref="K41" si="34">K40/J40-1</f>
        <v>9.6774253240922814E-2</v>
      </c>
      <c r="L41" s="39">
        <f t="shared" ref="L41" si="35">L40/K40-1</f>
        <v>9.6712952692301402E-2</v>
      </c>
    </row>
    <row r="42" spans="2:12" x14ac:dyDescent="0.3">
      <c r="H42" s="37"/>
      <c r="I42" s="37"/>
      <c r="J42" s="37"/>
      <c r="K42" s="37"/>
      <c r="L42" s="37"/>
    </row>
    <row r="43" spans="2:12" x14ac:dyDescent="0.3">
      <c r="B43" t="s">
        <v>136</v>
      </c>
      <c r="C43" s="28">
        <f>IFERROR('Data Sheet &gt;'!G31/'Income Statement '!C38,0)</f>
        <v>30.921149594694178</v>
      </c>
      <c r="D43" s="28">
        <f>IFERROR('Data Sheet &gt;'!H31/'Income Statement '!D38,0)</f>
        <v>33.913127320059779</v>
      </c>
      <c r="E43" s="28">
        <f>IFERROR('Data Sheet &gt;'!I31/'Income Statement '!E38,0)</f>
        <v>45.901370787058234</v>
      </c>
      <c r="F43" s="28">
        <f>IFERROR('Data Sheet &gt;'!J31/'Income Statement '!F38,0)</f>
        <v>42.924421544314157</v>
      </c>
      <c r="G43" s="28">
        <f>IFERROR('Data Sheet &gt;'!$K$31/'Income Statement '!G38,0)</f>
        <v>47.910050300818625</v>
      </c>
      <c r="H43" s="38">
        <f>IFERROR('Data Sheet &gt;'!$K$31/'Income Statement '!H38,0)</f>
        <v>47.910050300818625</v>
      </c>
      <c r="I43" s="38">
        <f>IFERROR('Data Sheet &gt;'!$K$31/'Income Statement '!I38,0)</f>
        <v>47.910050300818625</v>
      </c>
      <c r="J43" s="38">
        <f>IFERROR('Data Sheet &gt;'!$K$31/'Income Statement '!J38,0)</f>
        <v>47.910050300818625</v>
      </c>
      <c r="K43" s="38">
        <f>IFERROR('Data Sheet &gt;'!$K$31/'Income Statement '!K38,0)</f>
        <v>47.910050300818625</v>
      </c>
      <c r="L43" s="38">
        <f>IFERROR('Data Sheet &gt;'!$K$31/'Income Statement '!L38,0)</f>
        <v>47.910050300818625</v>
      </c>
    </row>
    <row r="44" spans="2:12" x14ac:dyDescent="0.3">
      <c r="B44" s="31" t="s">
        <v>137</v>
      </c>
      <c r="C44" s="32">
        <f>C43/C40</f>
        <v>0.6552616996624856</v>
      </c>
      <c r="D44" s="32">
        <f t="shared" ref="D44:L44" si="36">D43/D40</f>
        <v>0.65722427243425052</v>
      </c>
      <c r="E44" s="32">
        <f t="shared" si="36"/>
        <v>0.8846728885174352</v>
      </c>
      <c r="F44" s="32">
        <f t="shared" si="36"/>
        <v>0.77009935205183577</v>
      </c>
      <c r="G44" s="32">
        <f t="shared" si="36"/>
        <v>0.73485874210506419</v>
      </c>
      <c r="H44" s="39">
        <f>H43/H40</f>
        <v>0.67319603958947472</v>
      </c>
      <c r="I44" s="39">
        <f>I43/I40</f>
        <v>0.61371738357748351</v>
      </c>
      <c r="J44" s="39">
        <f t="shared" si="36"/>
        <v>0.55953149584423745</v>
      </c>
      <c r="K44" s="39">
        <f t="shared" si="36"/>
        <v>0.51016104197454026</v>
      </c>
      <c r="L44" s="39">
        <f t="shared" si="36"/>
        <v>0.46517280635936215</v>
      </c>
    </row>
    <row r="45" spans="2:12" x14ac:dyDescent="0.3">
      <c r="C45" s="29"/>
      <c r="H45" s="37"/>
      <c r="I45" s="37"/>
      <c r="J45" s="37"/>
      <c r="K45" s="37"/>
      <c r="L45" s="37"/>
    </row>
    <row r="46" spans="2:12" x14ac:dyDescent="0.3">
      <c r="B46" t="s">
        <v>14</v>
      </c>
      <c r="C46" s="2">
        <f>C40-C43</f>
        <v>16.267858416335841</v>
      </c>
      <c r="D46" s="2">
        <f t="shared" ref="D46:L46" si="37">D40-D43</f>
        <v>17.687412621125198</v>
      </c>
      <c r="E46" s="2">
        <f t="shared" si="37"/>
        <v>5.9837625575176432</v>
      </c>
      <c r="F46" s="2">
        <f t="shared" si="37"/>
        <v>12.814388558495658</v>
      </c>
      <c r="G46" s="2">
        <f t="shared" si="37"/>
        <v>17.286221520860039</v>
      </c>
      <c r="H46" s="48">
        <f t="shared" si="37"/>
        <v>23.258001029422275</v>
      </c>
      <c r="I46" s="48">
        <f t="shared" si="37"/>
        <v>30.155280065972022</v>
      </c>
      <c r="J46" s="48">
        <f t="shared" si="37"/>
        <v>37.715246320831852</v>
      </c>
      <c r="K46" s="48">
        <f t="shared" si="37"/>
        <v>46.001570459924594</v>
      </c>
      <c r="L46" s="48">
        <f t="shared" si="37"/>
        <v>55.084040595815708</v>
      </c>
    </row>
  </sheetData>
  <mergeCells count="1">
    <mergeCell ref="B2:L2"/>
  </mergeCells>
  <pageMargins left="0.25" right="0.25" top="0.75" bottom="0.75" header="0.3" footer="0.3"/>
  <pageSetup paperSize="9" scale="65" orientation="portrait" horizontalDpi="300" verticalDpi="300" r:id="rId1"/>
  <ignoredErrors>
    <ignoredError sqref="C14:G14 H26"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D5CB3-4594-49B5-8ACC-329F69B39AE7}">
  <sheetPr>
    <tabColor rgb="FF002060"/>
  </sheetPr>
  <dimension ref="B2:L13"/>
  <sheetViews>
    <sheetView showGridLines="0" zoomScale="80" zoomScaleNormal="80" workbookViewId="0">
      <selection activeCell="C2" sqref="C2:L2 C4:L4 C6:L7 H9:L13 C10 D10:G11 C12:G12"/>
    </sheetView>
  </sheetViews>
  <sheetFormatPr defaultRowHeight="14.4" x14ac:dyDescent="0.3"/>
  <cols>
    <col min="1" max="1" width="1.88671875" customWidth="1"/>
    <col min="2" max="2" width="34.109375" customWidth="1"/>
    <col min="3" max="12" width="9.44140625" bestFit="1" customWidth="1"/>
  </cols>
  <sheetData>
    <row r="2" spans="2:12" x14ac:dyDescent="0.3">
      <c r="B2" s="25" t="s">
        <v>126</v>
      </c>
      <c r="C2" s="26">
        <f>'Income Statement '!C3</f>
        <v>44651</v>
      </c>
      <c r="D2" s="26">
        <f>'Income Statement '!D3</f>
        <v>45016</v>
      </c>
      <c r="E2" s="26">
        <f>'Income Statement '!E3</f>
        <v>45382</v>
      </c>
      <c r="F2" s="26">
        <f>'Income Statement '!F3</f>
        <v>45747</v>
      </c>
      <c r="G2" s="26">
        <f>'Income Statement '!G3</f>
        <v>46112</v>
      </c>
      <c r="H2" s="27">
        <f>'Income Statement '!H3</f>
        <v>46477</v>
      </c>
      <c r="I2" s="27">
        <f>'Income Statement '!I3</f>
        <v>46842</v>
      </c>
      <c r="J2" s="27">
        <f>'Income Statement '!J3</f>
        <v>47207</v>
      </c>
      <c r="K2" s="27">
        <f>'Income Statement '!K3</f>
        <v>47572</v>
      </c>
      <c r="L2" s="27">
        <f>'Income Statement '!L3</f>
        <v>47937</v>
      </c>
    </row>
    <row r="3" spans="2:12" x14ac:dyDescent="0.3">
      <c r="H3" s="37"/>
      <c r="I3" s="37"/>
      <c r="J3" s="37"/>
      <c r="K3" s="37"/>
      <c r="L3" s="37"/>
    </row>
    <row r="4" spans="2:12" x14ac:dyDescent="0.3">
      <c r="B4" s="43" t="s">
        <v>142</v>
      </c>
      <c r="C4" s="60">
        <f>'Income Statement '!C5</f>
        <v>121641</v>
      </c>
      <c r="D4" s="60">
        <f>'Income Statement '!D5</f>
        <v>146767</v>
      </c>
      <c r="E4" s="60">
        <f>'Income Statement '!E5</f>
        <v>153670</v>
      </c>
      <c r="F4" s="60">
        <f>'Income Statement '!F5</f>
        <v>162990</v>
      </c>
      <c r="G4" s="60">
        <f>'Income Statement '!G5</f>
        <v>178650</v>
      </c>
      <c r="H4" s="64">
        <f>'Income Statement '!H5</f>
        <v>195814.60519050251</v>
      </c>
      <c r="I4" s="64">
        <f>'Income Statement '!I5</f>
        <v>214628.37730709417</v>
      </c>
      <c r="J4" s="64">
        <f>'Income Statement '!J5</f>
        <v>235249.76750667143</v>
      </c>
      <c r="K4" s="64">
        <f>'Income Statement '!K5</f>
        <v>257852.4508562909</v>
      </c>
      <c r="L4" s="64">
        <f>'Income Statement '!L5</f>
        <v>282626.78903905989</v>
      </c>
    </row>
    <row r="5" spans="2:12" x14ac:dyDescent="0.3">
      <c r="C5" s="60"/>
      <c r="D5" s="60"/>
      <c r="E5" s="60"/>
      <c r="F5" s="60"/>
      <c r="G5" s="60"/>
      <c r="H5" s="64"/>
      <c r="I5" s="64"/>
      <c r="J5" s="64"/>
      <c r="K5" s="64"/>
      <c r="L5" s="64"/>
    </row>
    <row r="6" spans="2:12" x14ac:dyDescent="0.3">
      <c r="B6" s="44" t="s">
        <v>10</v>
      </c>
      <c r="C6" s="60">
        <f>'Income Statement '!C20</f>
        <v>3476</v>
      </c>
      <c r="D6" s="60">
        <f>'Income Statement '!D20</f>
        <v>4225</v>
      </c>
      <c r="E6" s="60">
        <f>'Income Statement '!E20</f>
        <v>4678</v>
      </c>
      <c r="F6" s="60">
        <f>'Income Statement '!F20</f>
        <v>4812</v>
      </c>
      <c r="G6" s="60">
        <f>'Income Statement '!G20</f>
        <v>4902</v>
      </c>
      <c r="H6" s="64">
        <f>'Income Statement '!H20</f>
        <v>5669.5096679340213</v>
      </c>
      <c r="I6" s="64">
        <f>'Income Statement '!I20</f>
        <v>6214.2334019044911</v>
      </c>
      <c r="J6" s="64">
        <f>'Income Statement '!J20</f>
        <v>6811.2939275430235</v>
      </c>
      <c r="K6" s="64">
        <f>'Income Statement '!K20</f>
        <v>7465.7197383616249</v>
      </c>
      <c r="L6" s="64">
        <f>'Income Statement '!L20</f>
        <v>8183.0224630854918</v>
      </c>
    </row>
    <row r="7" spans="2:12" x14ac:dyDescent="0.3">
      <c r="B7" s="45" t="s">
        <v>143</v>
      </c>
      <c r="C7" s="60">
        <f>'Income Statement '!C21</f>
        <v>2.8575891352422292E-2</v>
      </c>
      <c r="D7" s="60">
        <f>'Income Statement '!D21</f>
        <v>2.8787125171189708E-2</v>
      </c>
      <c r="E7" s="60">
        <f>'Income Statement '!E21</f>
        <v>3.0441855925034164E-2</v>
      </c>
      <c r="F7" s="60">
        <f>'Income Statement '!F21</f>
        <v>2.9523283637032948E-2</v>
      </c>
      <c r="G7" s="60">
        <f>'Income Statement '!G21</f>
        <v>2.7439126784214944E-2</v>
      </c>
      <c r="H7" s="64">
        <f>'Income Statement '!H21</f>
        <v>2.8953456573978815E-2</v>
      </c>
      <c r="I7" s="64">
        <f>'Income Statement '!I21</f>
        <v>2.8953456573978815E-2</v>
      </c>
      <c r="J7" s="64">
        <f>'Income Statement '!J21</f>
        <v>2.8953456573978815E-2</v>
      </c>
      <c r="K7" s="64">
        <f>'Income Statement '!K21</f>
        <v>2.8953456573978815E-2</v>
      </c>
      <c r="L7" s="64">
        <f>'Income Statement '!L21</f>
        <v>2.8953456573978815E-2</v>
      </c>
    </row>
    <row r="8" spans="2:12" x14ac:dyDescent="0.3">
      <c r="C8" s="60"/>
      <c r="D8" s="60"/>
      <c r="E8" s="60"/>
      <c r="F8" s="60"/>
      <c r="G8" s="60"/>
      <c r="H8" s="64"/>
      <c r="I8" s="64"/>
      <c r="J8" s="64"/>
      <c r="K8" s="64"/>
      <c r="L8" s="64"/>
    </row>
    <row r="9" spans="2:12" x14ac:dyDescent="0.3">
      <c r="B9" s="43" t="s">
        <v>87</v>
      </c>
      <c r="C9" s="60"/>
      <c r="D9" s="60"/>
      <c r="E9" s="60"/>
      <c r="F9" s="60"/>
      <c r="G9" s="60"/>
      <c r="H9" s="64">
        <f>'Balance Sheet'!G10</f>
        <v>33770</v>
      </c>
      <c r="I9" s="64">
        <f>H13</f>
        <v>41626.39684728517</v>
      </c>
      <c r="J9" s="64">
        <f>I13</f>
        <v>47978.283856016642</v>
      </c>
      <c r="K9" s="64">
        <f t="shared" ref="K9:L9" si="0">J13</f>
        <v>52841.429789264192</v>
      </c>
      <c r="L9" s="64">
        <f t="shared" si="0"/>
        <v>56221.742207960189</v>
      </c>
    </row>
    <row r="10" spans="2:12" x14ac:dyDescent="0.3">
      <c r="B10" s="43" t="s">
        <v>144</v>
      </c>
      <c r="C10" s="60">
        <f>-'Cash Flow Data'!J12</f>
        <v>10522</v>
      </c>
      <c r="D10" s="60">
        <f>-'Cash Flow Data'!K12</f>
        <v>14142</v>
      </c>
      <c r="E10" s="60">
        <f>-'Cash Flow Data'!L12</f>
        <v>18207</v>
      </c>
      <c r="F10" s="60">
        <f>-'Cash Flow Data'!M12</f>
        <v>15671</v>
      </c>
      <c r="G10" s="60">
        <f>-'Cash Flow Data'!N12</f>
        <v>14559</v>
      </c>
      <c r="H10" s="64">
        <f>G10*(1+G11)</f>
        <v>13525.906515219194</v>
      </c>
      <c r="I10" s="64">
        <f t="shared" ref="I10:L10" si="1">H10*(1+H11)</f>
        <v>12566.120410635967</v>
      </c>
      <c r="J10" s="64">
        <f t="shared" si="1"/>
        <v>11674.439860790571</v>
      </c>
      <c r="K10" s="64">
        <f t="shared" si="1"/>
        <v>10846.032157057618</v>
      </c>
      <c r="L10" s="64">
        <f t="shared" si="1"/>
        <v>10076.407515449037</v>
      </c>
    </row>
    <row r="11" spans="2:12" x14ac:dyDescent="0.3">
      <c r="B11" s="46" t="s">
        <v>145</v>
      </c>
      <c r="C11" s="61"/>
      <c r="D11" s="62">
        <f>'Cash Flow Data'!K12/'Cash Flow Data'!J12-1</f>
        <v>0.34404105683330166</v>
      </c>
      <c r="E11" s="62">
        <f>'Cash Flow Data'!L12/'Cash Flow Data'!K12-1</f>
        <v>0.28744166313109876</v>
      </c>
      <c r="F11" s="62">
        <f>'Cash Flow Data'!M12/'Cash Flow Data'!L12-1</f>
        <v>-0.13928708738397322</v>
      </c>
      <c r="G11" s="62">
        <f>'Cash Flow Data'!N12/'Cash Flow Data'!M12-1</f>
        <v>-7.0959096420139089E-2</v>
      </c>
      <c r="H11" s="65">
        <f>H10/G10-1</f>
        <v>-7.0959096420139089E-2</v>
      </c>
      <c r="I11" s="65">
        <f t="shared" ref="I11:L11" si="2">I10/H10-1</f>
        <v>-7.0959096420139089E-2</v>
      </c>
      <c r="J11" s="65">
        <f t="shared" si="2"/>
        <v>-7.0959096420139089E-2</v>
      </c>
      <c r="K11" s="65">
        <f t="shared" si="2"/>
        <v>-7.0959096420139089E-2</v>
      </c>
      <c r="L11" s="65">
        <f t="shared" si="2"/>
        <v>-7.09590964201392E-2</v>
      </c>
    </row>
    <row r="12" spans="2:12" x14ac:dyDescent="0.3">
      <c r="B12" s="43" t="s">
        <v>10</v>
      </c>
      <c r="C12" s="60">
        <f>C6</f>
        <v>3476</v>
      </c>
      <c r="D12" s="60">
        <f t="shared" ref="D12:L12" si="3">D6</f>
        <v>4225</v>
      </c>
      <c r="E12" s="60">
        <f t="shared" si="3"/>
        <v>4678</v>
      </c>
      <c r="F12" s="60">
        <f t="shared" si="3"/>
        <v>4812</v>
      </c>
      <c r="G12" s="60">
        <f t="shared" si="3"/>
        <v>4902</v>
      </c>
      <c r="H12" s="64">
        <f>H6</f>
        <v>5669.5096679340213</v>
      </c>
      <c r="I12" s="64">
        <f t="shared" si="3"/>
        <v>6214.2334019044911</v>
      </c>
      <c r="J12" s="64">
        <f t="shared" si="3"/>
        <v>6811.2939275430235</v>
      </c>
      <c r="K12" s="64">
        <f t="shared" si="3"/>
        <v>7465.7197383616249</v>
      </c>
      <c r="L12" s="64">
        <f t="shared" si="3"/>
        <v>8183.0224630854918</v>
      </c>
    </row>
    <row r="13" spans="2:12" ht="15" thickBot="1" x14ac:dyDescent="0.35">
      <c r="B13" s="47" t="s">
        <v>146</v>
      </c>
      <c r="C13" s="63"/>
      <c r="D13" s="63"/>
      <c r="E13" s="63"/>
      <c r="F13" s="63"/>
      <c r="G13" s="63"/>
      <c r="H13" s="66">
        <f>H9+H10-H12</f>
        <v>41626.39684728517</v>
      </c>
      <c r="I13" s="66">
        <f t="shared" ref="I13:L13" si="4">I9+I10-I12</f>
        <v>47978.283856016642</v>
      </c>
      <c r="J13" s="66">
        <f t="shared" si="4"/>
        <v>52841.429789264192</v>
      </c>
      <c r="K13" s="66">
        <f t="shared" si="4"/>
        <v>56221.742207960189</v>
      </c>
      <c r="L13" s="66">
        <f t="shared" si="4"/>
        <v>58115.12726032373</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39073-43BD-44CC-AC95-C52FD79EBBB3}">
  <sheetPr>
    <tabColor rgb="FF002060"/>
  </sheetPr>
  <dimension ref="B2:L33"/>
  <sheetViews>
    <sheetView showGridLines="0" zoomScale="80" zoomScaleNormal="80" workbookViewId="0">
      <selection activeCell="P29" sqref="P29"/>
    </sheetView>
  </sheetViews>
  <sheetFormatPr defaultRowHeight="14.4" x14ac:dyDescent="0.3"/>
  <cols>
    <col min="1" max="1" width="1.88671875" customWidth="1"/>
    <col min="2" max="2" width="33.77734375" bestFit="1" customWidth="1"/>
    <col min="3" max="7" width="9.6640625" bestFit="1" customWidth="1"/>
    <col min="8" max="10" width="11" bestFit="1" customWidth="1"/>
    <col min="11" max="12" width="11.21875" bestFit="1" customWidth="1"/>
  </cols>
  <sheetData>
    <row r="2" spans="2:12" x14ac:dyDescent="0.3">
      <c r="B2" s="25" t="s">
        <v>126</v>
      </c>
      <c r="C2" s="26">
        <f>'Income Statement '!C3</f>
        <v>44651</v>
      </c>
      <c r="D2" s="26">
        <f>'Income Statement '!D3</f>
        <v>45016</v>
      </c>
      <c r="E2" s="26">
        <f>'Income Statement '!E3</f>
        <v>45382</v>
      </c>
      <c r="F2" s="26">
        <f>'Income Statement '!F3</f>
        <v>45747</v>
      </c>
      <c r="G2" s="26">
        <f>'Income Statement '!G3</f>
        <v>46112</v>
      </c>
      <c r="H2" s="27">
        <f>'Income Statement '!H3</f>
        <v>46477</v>
      </c>
      <c r="I2" s="27">
        <f>'Income Statement '!I3</f>
        <v>46842</v>
      </c>
      <c r="J2" s="27">
        <f>'Income Statement '!J3</f>
        <v>47207</v>
      </c>
      <c r="K2" s="27">
        <f>'Income Statement '!K3</f>
        <v>47572</v>
      </c>
      <c r="L2" s="27">
        <f>'Income Statement '!L3</f>
        <v>47937</v>
      </c>
    </row>
    <row r="3" spans="2:12" x14ac:dyDescent="0.3">
      <c r="H3" s="37"/>
      <c r="I3" s="37"/>
      <c r="J3" s="37"/>
      <c r="K3" s="37"/>
      <c r="L3" s="37"/>
    </row>
    <row r="4" spans="2:12" x14ac:dyDescent="0.3">
      <c r="B4" s="68" t="str">
        <f>'Income Statement '!B5</f>
        <v>Sales</v>
      </c>
      <c r="C4" s="69">
        <f>'Income Statement '!C5</f>
        <v>121641</v>
      </c>
      <c r="D4" s="69">
        <f>'Income Statement '!D5</f>
        <v>146767</v>
      </c>
      <c r="E4" s="69">
        <f>'Income Statement '!E5</f>
        <v>153670</v>
      </c>
      <c r="F4" s="69">
        <f>'Income Statement '!F5</f>
        <v>162990</v>
      </c>
      <c r="G4" s="69">
        <f>'Income Statement '!G5</f>
        <v>178650</v>
      </c>
      <c r="H4" s="70">
        <f>'Income Statement '!H5</f>
        <v>195814.60519050251</v>
      </c>
      <c r="I4" s="70">
        <f>'Income Statement '!I5</f>
        <v>214628.37730709417</v>
      </c>
      <c r="J4" s="70">
        <f>'Income Statement '!J5</f>
        <v>235249.76750667143</v>
      </c>
      <c r="K4" s="70">
        <f>'Income Statement '!K5</f>
        <v>257852.4508562909</v>
      </c>
      <c r="L4" s="70">
        <f>'Income Statement '!L5</f>
        <v>282626.78903905989</v>
      </c>
    </row>
    <row r="5" spans="2:12" x14ac:dyDescent="0.3">
      <c r="C5" s="60"/>
      <c r="D5" s="60"/>
      <c r="E5" s="60"/>
      <c r="F5" s="60"/>
      <c r="G5" s="60"/>
      <c r="H5" s="64"/>
      <c r="I5" s="64"/>
      <c r="J5" s="64"/>
      <c r="K5" s="64"/>
      <c r="L5" s="64"/>
    </row>
    <row r="6" spans="2:12" x14ac:dyDescent="0.3">
      <c r="B6" s="68" t="s">
        <v>16</v>
      </c>
      <c r="C6" s="69">
        <f>'Balance Sheet'!C6</f>
        <v>73252</v>
      </c>
      <c r="D6" s="69">
        <f>'Balance Sheet'!D6</f>
        <v>73338</v>
      </c>
      <c r="E6" s="69">
        <f>'Balance Sheet'!E6</f>
        <v>86045</v>
      </c>
      <c r="F6" s="69">
        <f>'Balance Sheet'!F6</f>
        <v>93745</v>
      </c>
      <c r="G6" s="69">
        <f>'Balance Sheet'!G6</f>
        <v>90828</v>
      </c>
      <c r="H6" s="70">
        <f>G6+'Income Statement '!H35-'Data Sheet &gt;'!$K$31</f>
        <v>100260.51489749251</v>
      </c>
      <c r="I6" s="70">
        <f>H6+'Income Statement '!I35-'Data Sheet &gt;'!$K$31</f>
        <v>112490.29028104813</v>
      </c>
      <c r="J6" s="70">
        <f>I6+'Income Statement '!J35-'Data Sheet &gt;'!$K$31</f>
        <v>127786.08557892471</v>
      </c>
      <c r="K6" s="70">
        <f>J6+'Income Statement '!K35-'Data Sheet &gt;'!$K$31</f>
        <v>146442.48249465175</v>
      </c>
      <c r="L6" s="70">
        <f>K6+'Income Statement '!L35-'Data Sheet &gt;'!$K$31</f>
        <v>168782.36599869077</v>
      </c>
    </row>
    <row r="7" spans="2:12" x14ac:dyDescent="0.3">
      <c r="C7" s="60"/>
      <c r="D7" s="60"/>
      <c r="E7" s="60"/>
      <c r="F7" s="60"/>
      <c r="G7" s="60"/>
      <c r="H7" s="64"/>
      <c r="I7" s="64"/>
      <c r="J7" s="64"/>
      <c r="K7" s="64"/>
      <c r="L7" s="64"/>
    </row>
    <row r="8" spans="2:12" x14ac:dyDescent="0.3">
      <c r="B8" s="68" t="s">
        <v>18</v>
      </c>
      <c r="C8" s="69">
        <f>'Balance Sheet'!C8</f>
        <v>35905</v>
      </c>
      <c r="D8" s="69">
        <f>'Balance Sheet'!D8</f>
        <v>40890</v>
      </c>
      <c r="E8" s="69">
        <f>'Balance Sheet'!E8</f>
        <v>39545</v>
      </c>
      <c r="F8" s="69">
        <f>'Balance Sheet'!F8</f>
        <v>43750</v>
      </c>
      <c r="G8" s="69">
        <f>'Balance Sheet'!G8</f>
        <v>52260</v>
      </c>
      <c r="H8" s="70">
        <f>H4*$G$10</f>
        <v>54517.235186851918</v>
      </c>
      <c r="I8" s="70">
        <f>I4*$G$10</f>
        <v>59755.224652623452</v>
      </c>
      <c r="J8" s="70">
        <f>J4*$G$10</f>
        <v>65496.477601025712</v>
      </c>
      <c r="K8" s="70">
        <f>K4*$G$10</f>
        <v>71789.347342924375</v>
      </c>
      <c r="L8" s="70">
        <f>L4*$G$10</f>
        <v>78686.832951797289</v>
      </c>
    </row>
    <row r="9" spans="2:12" x14ac:dyDescent="0.3">
      <c r="B9" s="52" t="s">
        <v>147</v>
      </c>
      <c r="C9" s="53">
        <f>C8/C4</f>
        <v>0.29517185817282005</v>
      </c>
      <c r="D9" s="53">
        <f t="shared" ref="D9:G9" si="0">D8/D4</f>
        <v>0.27860486349111174</v>
      </c>
      <c r="E9" s="53">
        <f t="shared" si="0"/>
        <v>0.25733715103793842</v>
      </c>
      <c r="F9" s="53">
        <f t="shared" si="0"/>
        <v>0.26842137554451195</v>
      </c>
      <c r="G9" s="53">
        <f t="shared" si="0"/>
        <v>0.29252728799328298</v>
      </c>
      <c r="H9" s="54">
        <f t="shared" ref="H9" si="1">H8/H4</f>
        <v>0.27841250724793298</v>
      </c>
      <c r="I9" s="54">
        <f t="shared" ref="I9" si="2">I8/I4</f>
        <v>0.27841250724793298</v>
      </c>
      <c r="J9" s="54">
        <f t="shared" ref="J9" si="3">J8/J4</f>
        <v>0.27841250724793298</v>
      </c>
      <c r="K9" s="54">
        <f t="shared" ref="K9" si="4">K8/K4</f>
        <v>0.27841250724793298</v>
      </c>
      <c r="L9" s="54">
        <f t="shared" ref="L9" si="5">L8/L4</f>
        <v>0.27841250724793298</v>
      </c>
    </row>
    <row r="10" spans="2:12" x14ac:dyDescent="0.3">
      <c r="B10" s="24" t="s">
        <v>148</v>
      </c>
      <c r="C10" s="60"/>
      <c r="D10" s="60"/>
      <c r="E10" s="60"/>
      <c r="F10" s="60"/>
      <c r="G10" s="50">
        <f>AVERAGE(C9:G9)</f>
        <v>0.27841250724793298</v>
      </c>
      <c r="H10" s="64"/>
      <c r="I10" s="64"/>
      <c r="J10" s="64"/>
      <c r="K10" s="64"/>
      <c r="L10" s="64"/>
    </row>
    <row r="11" spans="2:12" x14ac:dyDescent="0.3">
      <c r="C11" s="60"/>
      <c r="D11" s="60"/>
      <c r="E11" s="60"/>
      <c r="F11" s="60"/>
      <c r="G11" s="60"/>
      <c r="H11" s="64"/>
      <c r="I11" s="64"/>
      <c r="J11" s="64"/>
      <c r="K11" s="64"/>
      <c r="L11" s="64"/>
    </row>
    <row r="12" spans="2:12" x14ac:dyDescent="0.3">
      <c r="B12" s="68" t="s">
        <v>19</v>
      </c>
      <c r="C12" s="69">
        <f>'Balance Sheet'!C11</f>
        <v>416</v>
      </c>
      <c r="D12" s="69">
        <f>'Balance Sheet'!D11</f>
        <v>288</v>
      </c>
      <c r="E12" s="69">
        <f>'Balance Sheet'!E11</f>
        <v>293</v>
      </c>
      <c r="F12" s="69">
        <f>'Balance Sheet'!F11</f>
        <v>814</v>
      </c>
      <c r="G12" s="69">
        <f>'Balance Sheet'!G11</f>
        <v>526</v>
      </c>
      <c r="H12" s="70">
        <f>H4*$G$14</f>
        <v>596.34760735226655</v>
      </c>
      <c r="I12" s="70">
        <f t="shared" ref="I12:L12" si="6">I4*$G$14</f>
        <v>653.64439568981186</v>
      </c>
      <c r="J12" s="70">
        <f t="shared" si="6"/>
        <v>716.44623160920844</v>
      </c>
      <c r="K12" s="70">
        <f t="shared" si="6"/>
        <v>785.28203740711149</v>
      </c>
      <c r="L12" s="70">
        <f t="shared" si="6"/>
        <v>860.73155397742482</v>
      </c>
    </row>
    <row r="13" spans="2:12" x14ac:dyDescent="0.3">
      <c r="B13" s="52" t="s">
        <v>149</v>
      </c>
      <c r="C13" s="53">
        <f>C12/C4</f>
        <v>3.4198995404509992E-3</v>
      </c>
      <c r="D13" s="53">
        <f t="shared" ref="D13:G13" si="7">D12/D4</f>
        <v>1.9622939761663044E-3</v>
      </c>
      <c r="E13" s="53">
        <f t="shared" si="7"/>
        <v>1.9066831522092796E-3</v>
      </c>
      <c r="F13" s="53">
        <f t="shared" si="7"/>
        <v>4.9941714215596053E-3</v>
      </c>
      <c r="G13" s="53">
        <f t="shared" si="7"/>
        <v>2.9443045060173522E-3</v>
      </c>
      <c r="H13" s="54">
        <f t="shared" ref="H13" si="8">H12/H4</f>
        <v>3.0454705192807085E-3</v>
      </c>
      <c r="I13" s="54">
        <f t="shared" ref="I13" si="9">I12/I4</f>
        <v>3.0454705192807085E-3</v>
      </c>
      <c r="J13" s="54">
        <f t="shared" ref="J13" si="10">J12/J4</f>
        <v>3.0454705192807081E-3</v>
      </c>
      <c r="K13" s="54">
        <f t="shared" ref="K13" si="11">K12/K4</f>
        <v>3.0454705192807081E-3</v>
      </c>
      <c r="L13" s="54">
        <f t="shared" ref="L13" si="12">L12/L4</f>
        <v>3.0454705192807081E-3</v>
      </c>
    </row>
    <row r="14" spans="2:12" x14ac:dyDescent="0.3">
      <c r="B14" s="24" t="s">
        <v>150</v>
      </c>
      <c r="C14" s="60"/>
      <c r="D14" s="60"/>
      <c r="E14" s="60"/>
      <c r="F14" s="60"/>
      <c r="G14" s="50">
        <f>AVERAGE(C13:G13)</f>
        <v>3.0454705192807081E-3</v>
      </c>
      <c r="H14" s="64"/>
      <c r="I14" s="64"/>
      <c r="J14" s="64"/>
      <c r="K14" s="64"/>
      <c r="L14" s="64"/>
    </row>
    <row r="15" spans="2:12" x14ac:dyDescent="0.3">
      <c r="C15" s="60"/>
      <c r="D15" s="60"/>
      <c r="E15" s="60"/>
      <c r="F15" s="60"/>
      <c r="G15" s="60"/>
      <c r="H15" s="64"/>
      <c r="I15" s="64"/>
      <c r="J15" s="64"/>
      <c r="K15" s="64"/>
      <c r="L15" s="64"/>
    </row>
    <row r="16" spans="2:12" x14ac:dyDescent="0.3">
      <c r="B16" s="68" t="s">
        <v>20</v>
      </c>
      <c r="C16" s="69">
        <f>'Balance Sheet'!C12</f>
        <v>20324</v>
      </c>
      <c r="D16" s="69">
        <f>'Balance Sheet'!D12</f>
        <v>19478</v>
      </c>
      <c r="E16" s="69">
        <f>'Balance Sheet'!E12</f>
        <v>24623</v>
      </c>
      <c r="F16" s="69">
        <f>'Balance Sheet'!F12</f>
        <v>23541</v>
      </c>
      <c r="G16" s="69">
        <f>'Balance Sheet'!G12</f>
        <v>21880</v>
      </c>
      <c r="H16" s="70">
        <f>H4*$G$18</f>
        <v>28468.891418072355</v>
      </c>
      <c r="I16" s="70">
        <f t="shared" ref="I16:L16" si="13">I4*$G$18</f>
        <v>31204.16867193464</v>
      </c>
      <c r="J16" s="70">
        <f t="shared" si="13"/>
        <v>34202.250035223784</v>
      </c>
      <c r="K16" s="70">
        <f t="shared" si="13"/>
        <v>37488.385599071902</v>
      </c>
      <c r="L16" s="70">
        <f t="shared" si="13"/>
        <v>41090.251471097581</v>
      </c>
    </row>
    <row r="17" spans="2:12" x14ac:dyDescent="0.3">
      <c r="B17" s="52" t="s">
        <v>151</v>
      </c>
      <c r="C17" s="53">
        <f>C16/C4</f>
        <v>0.16708182274068775</v>
      </c>
      <c r="D17" s="53">
        <f t="shared" ref="D17:G17" si="14">D16/D4</f>
        <v>0.13271375717974748</v>
      </c>
      <c r="E17" s="53">
        <f t="shared" si="14"/>
        <v>0.16023296674692522</v>
      </c>
      <c r="F17" s="53">
        <f t="shared" si="14"/>
        <v>0.14443217375299097</v>
      </c>
      <c r="G17" s="53">
        <f t="shared" si="14"/>
        <v>0.12247411139098796</v>
      </c>
      <c r="H17" s="54">
        <f t="shared" ref="H17" si="15">H16/H4</f>
        <v>0.14538696636226789</v>
      </c>
      <c r="I17" s="54">
        <f t="shared" ref="I17" si="16">I16/I4</f>
        <v>0.14538696636226789</v>
      </c>
      <c r="J17" s="54">
        <f t="shared" ref="J17" si="17">J16/J4</f>
        <v>0.14538696636226792</v>
      </c>
      <c r="K17" s="54">
        <f t="shared" ref="K17" si="18">K16/K4</f>
        <v>0.14538696636226789</v>
      </c>
      <c r="L17" s="54">
        <f t="shared" ref="L17" si="19">L16/L4</f>
        <v>0.14538696636226789</v>
      </c>
    </row>
    <row r="18" spans="2:12" x14ac:dyDescent="0.3">
      <c r="B18" s="24" t="s">
        <v>152</v>
      </c>
      <c r="C18" s="60"/>
      <c r="D18" s="60"/>
      <c r="E18" s="60"/>
      <c r="F18" s="60"/>
      <c r="G18" s="50">
        <f>AVERAGE(C17:G17)</f>
        <v>0.14538696636226789</v>
      </c>
      <c r="H18" s="64"/>
      <c r="I18" s="64"/>
      <c r="J18" s="64"/>
      <c r="K18" s="64"/>
      <c r="L18" s="64"/>
    </row>
    <row r="19" spans="2:12" x14ac:dyDescent="0.3">
      <c r="C19" s="60"/>
      <c r="D19" s="60"/>
      <c r="E19" s="60"/>
      <c r="F19" s="60"/>
      <c r="G19" s="60"/>
      <c r="H19" s="64"/>
      <c r="I19" s="64"/>
      <c r="J19" s="64"/>
      <c r="K19" s="64"/>
      <c r="L19" s="64"/>
    </row>
    <row r="20" spans="2:12" x14ac:dyDescent="0.3">
      <c r="B20" s="68" t="s">
        <v>21</v>
      </c>
      <c r="C20" s="69">
        <f>'Balance Sheet'!C13</f>
        <v>30019</v>
      </c>
      <c r="D20" s="69">
        <f>'Balance Sheet'!D13</f>
        <v>38008</v>
      </c>
      <c r="E20" s="69">
        <f>'Balance Sheet'!E13</f>
        <v>38503</v>
      </c>
      <c r="F20" s="69">
        <f>'Balance Sheet'!F13</f>
        <v>36866</v>
      </c>
      <c r="G20" s="69">
        <f>'Balance Sheet'!G13</f>
        <v>40677</v>
      </c>
      <c r="H20" s="70">
        <f>H4*$G$22</f>
        <v>47394.376592939938</v>
      </c>
      <c r="I20" s="70">
        <f t="shared" ref="I20:J20" si="20">I4*$G$22</f>
        <v>51948.005266143453</v>
      </c>
      <c r="J20" s="70">
        <f t="shared" si="20"/>
        <v>56939.144369571928</v>
      </c>
      <c r="K20" s="70">
        <f>K4*$G$22</f>
        <v>62409.82969276658</v>
      </c>
      <c r="L20" s="70">
        <f>L4*$G$22</f>
        <v>68406.135803501747</v>
      </c>
    </row>
    <row r="21" spans="2:12" x14ac:dyDescent="0.3">
      <c r="B21" s="52" t="s">
        <v>153</v>
      </c>
      <c r="C21" s="53">
        <f>C20/C4</f>
        <v>0.24678356804038112</v>
      </c>
      <c r="D21" s="53">
        <f t="shared" ref="D21:G21" si="21">D20/D4</f>
        <v>0.25896829668794757</v>
      </c>
      <c r="E21" s="53">
        <f t="shared" si="21"/>
        <v>0.25055638706318734</v>
      </c>
      <c r="F21" s="53">
        <f t="shared" si="21"/>
        <v>0.2261856555616909</v>
      </c>
      <c r="G21" s="53">
        <f t="shared" si="21"/>
        <v>0.22769101595298069</v>
      </c>
      <c r="H21" s="54">
        <f t="shared" ref="H21" si="22">H20/H4</f>
        <v>0.24203698466123752</v>
      </c>
      <c r="I21" s="54">
        <f t="shared" ref="I21" si="23">I20/I4</f>
        <v>0.24203698466123752</v>
      </c>
      <c r="J21" s="54">
        <f t="shared" ref="J21" si="24">J20/J4</f>
        <v>0.24203698466123752</v>
      </c>
      <c r="K21" s="54">
        <f t="shared" ref="K21" si="25">K20/K4</f>
        <v>0.24203698466123752</v>
      </c>
      <c r="L21" s="54">
        <f t="shared" ref="L21" si="26">L20/L4</f>
        <v>0.24203698466123752</v>
      </c>
    </row>
    <row r="22" spans="2:12" x14ac:dyDescent="0.3">
      <c r="B22" s="24" t="s">
        <v>154</v>
      </c>
      <c r="C22" s="60"/>
      <c r="D22" s="60"/>
      <c r="E22" s="60"/>
      <c r="F22" s="60"/>
      <c r="G22" s="50">
        <f>AVERAGE(C21:G21)</f>
        <v>0.24203698466123752</v>
      </c>
      <c r="H22" s="64"/>
      <c r="I22" s="64"/>
      <c r="J22" s="64"/>
      <c r="K22" s="64"/>
      <c r="L22" s="64"/>
    </row>
    <row r="23" spans="2:12" x14ac:dyDescent="0.3">
      <c r="C23" s="60"/>
      <c r="D23" s="60"/>
      <c r="E23" s="60"/>
      <c r="F23" s="60"/>
      <c r="G23" s="60"/>
      <c r="H23" s="64"/>
      <c r="I23" s="64"/>
      <c r="J23" s="64"/>
      <c r="K23" s="64"/>
      <c r="L23" s="64"/>
    </row>
    <row r="24" spans="2:12" x14ac:dyDescent="0.3">
      <c r="B24" s="68" t="s">
        <v>22</v>
      </c>
      <c r="C24" s="69">
        <f>'Balance Sheet'!C15</f>
        <v>22698</v>
      </c>
      <c r="D24" s="69">
        <f>'Balance Sheet'!D15</f>
        <v>25424</v>
      </c>
      <c r="E24" s="69">
        <f>'Balance Sheet'!E15</f>
        <v>30193</v>
      </c>
      <c r="F24" s="69">
        <f>'Balance Sheet'!F15</f>
        <v>31158</v>
      </c>
      <c r="G24" s="69">
        <f>'Balance Sheet'!G15</f>
        <v>35234</v>
      </c>
      <c r="H24" s="70">
        <f>(H4*$G$26)/365</f>
        <v>36996.953538161957</v>
      </c>
      <c r="I24" s="70">
        <f>(I4*$G$26)/365</f>
        <v>40551.602856571779</v>
      </c>
      <c r="J24" s="70">
        <f t="shared" ref="J24:K24" si="27">(J4*$G$26)/365</f>
        <v>44447.781154221411</v>
      </c>
      <c r="K24" s="70">
        <f t="shared" si="27"/>
        <v>48718.302369480683</v>
      </c>
      <c r="L24" s="70">
        <f>(L4*$G$26)/365</f>
        <v>53399.133187973028</v>
      </c>
    </row>
    <row r="25" spans="2:12" x14ac:dyDescent="0.3">
      <c r="B25" s="52" t="s">
        <v>155</v>
      </c>
      <c r="C25" s="58">
        <f>(C24/C4)*365</f>
        <v>68.108368066688044</v>
      </c>
      <c r="D25" s="58">
        <f t="shared" ref="D25:G25" si="28">(D24/D4)*365</f>
        <v>63.227837320378555</v>
      </c>
      <c r="E25" s="58">
        <f t="shared" si="28"/>
        <v>71.715006182078483</v>
      </c>
      <c r="F25" s="58">
        <f t="shared" si="28"/>
        <v>69.775262286029815</v>
      </c>
      <c r="G25" s="58">
        <f t="shared" si="28"/>
        <v>71.986621886370003</v>
      </c>
      <c r="H25" s="58">
        <f>(H24/H4)*365</f>
        <v>68.962619148309003</v>
      </c>
      <c r="I25" s="58">
        <f t="shared" ref="I25" si="29">(I24/I4)*365</f>
        <v>68.962619148309003</v>
      </c>
      <c r="J25" s="58">
        <f t="shared" ref="J25" si="30">(J24/J4)*365</f>
        <v>68.962619148308988</v>
      </c>
      <c r="K25" s="58">
        <f t="shared" ref="K25" si="31">(K24/K4)*365</f>
        <v>68.962619148308988</v>
      </c>
      <c r="L25" s="58">
        <f t="shared" ref="L25" si="32">(L24/L4)*365</f>
        <v>68.962619148308988</v>
      </c>
    </row>
    <row r="26" spans="2:12" x14ac:dyDescent="0.3">
      <c r="B26" s="24" t="s">
        <v>156</v>
      </c>
      <c r="C26" s="60"/>
      <c r="D26" s="60"/>
      <c r="E26" s="60"/>
      <c r="F26" s="60"/>
      <c r="G26" s="55">
        <f>AVERAGE(C25:G25)</f>
        <v>68.962619148308988</v>
      </c>
      <c r="H26" s="64"/>
      <c r="I26" s="64"/>
      <c r="J26" s="64"/>
      <c r="K26" s="64"/>
      <c r="L26" s="64"/>
    </row>
    <row r="27" spans="2:12" x14ac:dyDescent="0.3">
      <c r="C27" s="60"/>
      <c r="D27" s="60"/>
      <c r="E27" s="60"/>
      <c r="F27" s="60"/>
      <c r="G27" s="60"/>
      <c r="H27" s="64"/>
      <c r="I27" s="64"/>
      <c r="J27" s="64"/>
      <c r="K27" s="64"/>
      <c r="L27" s="64"/>
    </row>
    <row r="28" spans="2:12" x14ac:dyDescent="0.3">
      <c r="B28" t="s">
        <v>24</v>
      </c>
      <c r="C28" s="60"/>
      <c r="D28" s="60"/>
      <c r="E28" s="60"/>
      <c r="F28" s="60"/>
      <c r="G28" s="60"/>
      <c r="H28" s="60">
        <f>G30</f>
        <v>22201</v>
      </c>
      <c r="I28" s="60">
        <f t="shared" ref="I28:L28" si="33">H30</f>
        <v>10894.784080532725</v>
      </c>
      <c r="J28" s="60">
        <f t="shared" si="33"/>
        <v>11109.80988731523</v>
      </c>
      <c r="K28" s="60">
        <f t="shared" si="33"/>
        <v>15335.511600059865</v>
      </c>
      <c r="L28" s="60">
        <f t="shared" si="33"/>
        <v>23808.287930889604</v>
      </c>
    </row>
    <row r="29" spans="2:12" x14ac:dyDescent="0.3">
      <c r="B29" s="67" t="s">
        <v>157</v>
      </c>
      <c r="C29" s="60"/>
      <c r="D29" s="60"/>
      <c r="E29" s="60"/>
      <c r="F29" s="60"/>
      <c r="G29" s="60"/>
      <c r="H29" s="60">
        <f>'Cash Flow   '!H38</f>
        <v>-11306.215919467275</v>
      </c>
      <c r="I29" s="60">
        <f>'Cash Flow   '!I38</f>
        <v>215.02580678250524</v>
      </c>
      <c r="J29" s="60">
        <f>'Cash Flow   '!J38</f>
        <v>4225.7017127446343</v>
      </c>
      <c r="K29" s="60">
        <f>'Cash Flow   '!K38</f>
        <v>8472.7763308297399</v>
      </c>
      <c r="L29" s="60">
        <f>'Cash Flow   '!L38</f>
        <v>12989.531742724885</v>
      </c>
    </row>
    <row r="30" spans="2:12" x14ac:dyDescent="0.3">
      <c r="B30" s="68" t="s">
        <v>158</v>
      </c>
      <c r="C30" s="69"/>
      <c r="D30" s="69"/>
      <c r="E30" s="69"/>
      <c r="F30" s="69"/>
      <c r="G30" s="69">
        <f>'Balance Sheet'!G17</f>
        <v>22201</v>
      </c>
      <c r="H30" s="69">
        <f t="shared" ref="H30:L30" si="34">SUM(H28:H29)</f>
        <v>10894.784080532725</v>
      </c>
      <c r="I30" s="69">
        <f t="shared" si="34"/>
        <v>11109.80988731523</v>
      </c>
      <c r="J30" s="69">
        <f t="shared" si="34"/>
        <v>15335.511600059865</v>
      </c>
      <c r="K30" s="69">
        <f t="shared" si="34"/>
        <v>23808.287930889604</v>
      </c>
      <c r="L30" s="69">
        <f t="shared" si="34"/>
        <v>36797.819673614489</v>
      </c>
    </row>
    <row r="33" spans="9:9" x14ac:dyDescent="0.3">
      <c r="I33" s="24"/>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ABDD7-9F64-4399-95E8-5655AA5DAAE3}">
  <sheetPr>
    <tabColor rgb="FFFFFF00"/>
    <pageSetUpPr fitToPage="1"/>
  </sheetPr>
  <dimension ref="B2:B74"/>
  <sheetViews>
    <sheetView showGridLines="0" zoomScale="80" zoomScaleNormal="80" workbookViewId="0">
      <selection activeCell="F53" sqref="F53"/>
    </sheetView>
  </sheetViews>
  <sheetFormatPr defaultRowHeight="14.4" x14ac:dyDescent="0.3"/>
  <cols>
    <col min="1" max="1" width="1.88671875" customWidth="1"/>
    <col min="2" max="2" width="125" bestFit="1" customWidth="1"/>
  </cols>
  <sheetData>
    <row r="2" spans="2:2" ht="31.2" x14ac:dyDescent="0.3">
      <c r="B2" s="73" t="s">
        <v>159</v>
      </c>
    </row>
    <row r="4" spans="2:2" ht="23.4" x14ac:dyDescent="0.3">
      <c r="B4" s="74" t="s">
        <v>170</v>
      </c>
    </row>
    <row r="6" spans="2:2" x14ac:dyDescent="0.3">
      <c r="B6" s="1" t="s">
        <v>160</v>
      </c>
    </row>
    <row r="7" spans="2:2" ht="18" x14ac:dyDescent="0.3">
      <c r="B7" s="72" t="s">
        <v>171</v>
      </c>
    </row>
    <row r="8" spans="2:2" x14ac:dyDescent="0.3">
      <c r="B8" s="1" t="s">
        <v>142</v>
      </c>
    </row>
    <row r="9" spans="2:2" x14ac:dyDescent="0.3">
      <c r="B9" t="s">
        <v>172</v>
      </c>
    </row>
    <row r="10" spans="2:2" x14ac:dyDescent="0.3">
      <c r="B10" s="1" t="s">
        <v>2</v>
      </c>
    </row>
    <row r="11" spans="2:2" x14ac:dyDescent="0.3">
      <c r="B11" t="s">
        <v>173</v>
      </c>
    </row>
    <row r="12" spans="2:2" x14ac:dyDescent="0.3">
      <c r="B12" s="1" t="s">
        <v>6</v>
      </c>
    </row>
    <row r="13" spans="2:2" x14ac:dyDescent="0.3">
      <c r="B13" t="s">
        <v>174</v>
      </c>
    </row>
    <row r="14" spans="2:2" x14ac:dyDescent="0.3">
      <c r="B14" s="1" t="s">
        <v>10</v>
      </c>
    </row>
    <row r="15" spans="2:2" x14ac:dyDescent="0.3">
      <c r="B15" t="s">
        <v>175</v>
      </c>
    </row>
    <row r="16" spans="2:2" x14ac:dyDescent="0.3">
      <c r="B16" s="1" t="s">
        <v>9</v>
      </c>
    </row>
    <row r="17" spans="2:2" x14ac:dyDescent="0.3">
      <c r="B17" t="s">
        <v>176</v>
      </c>
    </row>
    <row r="18" spans="2:2" x14ac:dyDescent="0.3">
      <c r="B18" s="1" t="s">
        <v>13</v>
      </c>
    </row>
    <row r="19" spans="2:2" x14ac:dyDescent="0.3">
      <c r="B19" t="s">
        <v>177</v>
      </c>
    </row>
    <row r="20" spans="2:2" ht="18" x14ac:dyDescent="0.3">
      <c r="B20" s="72" t="s">
        <v>178</v>
      </c>
    </row>
    <row r="21" spans="2:2" x14ac:dyDescent="0.3">
      <c r="B21" s="1" t="s">
        <v>179</v>
      </c>
    </row>
    <row r="22" spans="2:2" x14ac:dyDescent="0.3">
      <c r="B22" t="s">
        <v>180</v>
      </c>
    </row>
    <row r="23" spans="2:2" x14ac:dyDescent="0.3">
      <c r="B23" s="1" t="s">
        <v>181</v>
      </c>
    </row>
    <row r="24" spans="2:2" x14ac:dyDescent="0.3">
      <c r="B24" t="s">
        <v>182</v>
      </c>
    </row>
    <row r="25" spans="2:2" x14ac:dyDescent="0.3">
      <c r="B25" s="1" t="s">
        <v>161</v>
      </c>
    </row>
    <row r="26" spans="2:2" x14ac:dyDescent="0.3">
      <c r="B26" t="s">
        <v>183</v>
      </c>
    </row>
    <row r="27" spans="2:2" x14ac:dyDescent="0.3">
      <c r="B27" s="1" t="s">
        <v>15</v>
      </c>
    </row>
    <row r="28" spans="2:2" x14ac:dyDescent="0.3">
      <c r="B28" t="s">
        <v>184</v>
      </c>
    </row>
    <row r="29" spans="2:2" x14ac:dyDescent="0.3">
      <c r="B29" s="1" t="s">
        <v>185</v>
      </c>
    </row>
    <row r="30" spans="2:2" x14ac:dyDescent="0.3">
      <c r="B30" t="s">
        <v>186</v>
      </c>
    </row>
    <row r="31" spans="2:2" ht="18" x14ac:dyDescent="0.3">
      <c r="B31" s="72" t="s">
        <v>187</v>
      </c>
    </row>
    <row r="32" spans="2:2" x14ac:dyDescent="0.3">
      <c r="B32" s="1" t="s">
        <v>17</v>
      </c>
    </row>
    <row r="33" spans="2:2" x14ac:dyDescent="0.3">
      <c r="B33" t="s">
        <v>188</v>
      </c>
    </row>
    <row r="34" spans="2:2" x14ac:dyDescent="0.3">
      <c r="B34" s="1" t="s">
        <v>18</v>
      </c>
    </row>
    <row r="35" spans="2:2" x14ac:dyDescent="0.3">
      <c r="B35" t="s">
        <v>189</v>
      </c>
    </row>
    <row r="36" spans="2:2" x14ac:dyDescent="0.3">
      <c r="B36" s="1" t="s">
        <v>162</v>
      </c>
    </row>
    <row r="37" spans="2:2" x14ac:dyDescent="0.3">
      <c r="B37" t="s">
        <v>190</v>
      </c>
    </row>
    <row r="38" spans="2:2" x14ac:dyDescent="0.3">
      <c r="B38" s="1" t="s">
        <v>191</v>
      </c>
    </row>
    <row r="39" spans="2:2" x14ac:dyDescent="0.3">
      <c r="B39" t="s">
        <v>192</v>
      </c>
    </row>
    <row r="40" spans="2:2" x14ac:dyDescent="0.3">
      <c r="B40" s="1" t="s">
        <v>20</v>
      </c>
    </row>
    <row r="41" spans="2:2" x14ac:dyDescent="0.3">
      <c r="B41" t="s">
        <v>193</v>
      </c>
    </row>
    <row r="42" spans="2:2" x14ac:dyDescent="0.3">
      <c r="B42" s="1" t="s">
        <v>21</v>
      </c>
    </row>
    <row r="43" spans="2:2" x14ac:dyDescent="0.3">
      <c r="B43" t="s">
        <v>194</v>
      </c>
    </row>
    <row r="44" spans="2:2" ht="18" x14ac:dyDescent="0.3">
      <c r="B44" s="72" t="s">
        <v>195</v>
      </c>
    </row>
    <row r="45" spans="2:2" x14ac:dyDescent="0.3">
      <c r="B45" s="1" t="s">
        <v>22</v>
      </c>
    </row>
    <row r="46" spans="2:2" x14ac:dyDescent="0.3">
      <c r="B46" t="s">
        <v>196</v>
      </c>
    </row>
    <row r="47" spans="2:2" x14ac:dyDescent="0.3">
      <c r="B47" t="s">
        <v>197</v>
      </c>
    </row>
    <row r="48" spans="2:2" x14ac:dyDescent="0.3">
      <c r="B48" s="1" t="s">
        <v>23</v>
      </c>
    </row>
    <row r="49" spans="2:2" x14ac:dyDescent="0.3">
      <c r="B49" t="s">
        <v>198</v>
      </c>
    </row>
    <row r="50" spans="2:2" x14ac:dyDescent="0.3">
      <c r="B50" t="s">
        <v>199</v>
      </c>
    </row>
    <row r="51" spans="2:2" x14ac:dyDescent="0.3">
      <c r="B51" s="1" t="s">
        <v>163</v>
      </c>
    </row>
    <row r="52" spans="2:2" x14ac:dyDescent="0.3">
      <c r="B52" t="s">
        <v>200</v>
      </c>
    </row>
    <row r="53" spans="2:2" x14ac:dyDescent="0.3">
      <c r="B53" s="1" t="s">
        <v>72</v>
      </c>
    </row>
    <row r="54" spans="2:2" x14ac:dyDescent="0.3">
      <c r="B54" t="s">
        <v>201</v>
      </c>
    </row>
    <row r="55" spans="2:2" x14ac:dyDescent="0.3">
      <c r="B55" s="1" t="s">
        <v>202</v>
      </c>
    </row>
    <row r="56" spans="2:2" x14ac:dyDescent="0.3">
      <c r="B56" t="s">
        <v>203</v>
      </c>
    </row>
    <row r="57" spans="2:2" x14ac:dyDescent="0.3">
      <c r="B57" s="1" t="s">
        <v>164</v>
      </c>
    </row>
    <row r="58" spans="2:2" x14ac:dyDescent="0.3">
      <c r="B58" t="s">
        <v>204</v>
      </c>
    </row>
    <row r="59" spans="2:2" ht="18" x14ac:dyDescent="0.3">
      <c r="B59" s="72" t="s">
        <v>205</v>
      </c>
    </row>
    <row r="60" spans="2:2" x14ac:dyDescent="0.3">
      <c r="B60" s="1" t="s">
        <v>165</v>
      </c>
    </row>
    <row r="61" spans="2:2" x14ac:dyDescent="0.3">
      <c r="B61" t="s">
        <v>206</v>
      </c>
    </row>
    <row r="62" spans="2:2" x14ac:dyDescent="0.3">
      <c r="B62" s="1" t="s">
        <v>166</v>
      </c>
    </row>
    <row r="63" spans="2:2" x14ac:dyDescent="0.3">
      <c r="B63" t="s">
        <v>207</v>
      </c>
    </row>
    <row r="64" spans="2:2" x14ac:dyDescent="0.3">
      <c r="B64" s="1" t="s">
        <v>167</v>
      </c>
    </row>
    <row r="65" spans="2:2" x14ac:dyDescent="0.3">
      <c r="B65" t="s">
        <v>208</v>
      </c>
    </row>
    <row r="66" spans="2:2" x14ac:dyDescent="0.3">
      <c r="B66" s="1" t="s">
        <v>168</v>
      </c>
    </row>
    <row r="67" spans="2:2" x14ac:dyDescent="0.3">
      <c r="B67" t="s">
        <v>209</v>
      </c>
    </row>
    <row r="68" spans="2:2" x14ac:dyDescent="0.3">
      <c r="B68" s="1" t="s">
        <v>169</v>
      </c>
    </row>
    <row r="69" spans="2:2" x14ac:dyDescent="0.3">
      <c r="B69" t="s">
        <v>210</v>
      </c>
    </row>
    <row r="70" spans="2:2" ht="18" x14ac:dyDescent="0.3">
      <c r="B70" s="72" t="s">
        <v>211</v>
      </c>
    </row>
    <row r="71" spans="2:2" x14ac:dyDescent="0.3">
      <c r="B71" s="1" t="s">
        <v>212</v>
      </c>
    </row>
    <row r="72" spans="2:2" x14ac:dyDescent="0.3">
      <c r="B72" s="1" t="s">
        <v>244</v>
      </c>
    </row>
    <row r="74" spans="2:2" x14ac:dyDescent="0.3">
      <c r="B74" s="75" t="s">
        <v>213</v>
      </c>
    </row>
  </sheetData>
  <pageMargins left="0.25" right="0.25" top="0.75" bottom="0.75" header="0.3" footer="0.3"/>
  <pageSetup scale="6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K93"/>
  <sheetViews>
    <sheetView zoomScaleNormal="100" workbookViewId="0">
      <pane xSplit="1" ySplit="1" topLeftCell="B53" activePane="bottomRight" state="frozen"/>
      <selection pane="topRight" activeCell="B1" sqref="B1"/>
      <selection pane="bottomLeft" activeCell="A12" sqref="A12"/>
      <selection pane="bottomRight" activeCell="B93" sqref="B93"/>
    </sheetView>
  </sheetViews>
  <sheetFormatPr defaultColWidth="8.77734375" defaultRowHeight="14.4" x14ac:dyDescent="0.3"/>
  <cols>
    <col min="1" max="1" width="27.6640625" style="3" customWidth="1"/>
    <col min="2" max="11" width="13.44140625" style="3" customWidth="1"/>
    <col min="12" max="16384" width="8.77734375" style="3"/>
  </cols>
  <sheetData>
    <row r="1" spans="1:11" s="4" customFormat="1" x14ac:dyDescent="0.3">
      <c r="A1" s="4" t="s">
        <v>60</v>
      </c>
      <c r="B1" s="4" t="s">
        <v>60</v>
      </c>
      <c r="E1" s="239" t="str">
        <f>IF(B2&lt;&gt;B3, "A NEW VERSION OF THE WORKSHEET IS AVAILABLE", "")</f>
        <v/>
      </c>
      <c r="F1" s="239"/>
      <c r="G1" s="239"/>
      <c r="H1" s="239"/>
      <c r="I1" s="239"/>
      <c r="J1" s="239"/>
      <c r="K1" s="239"/>
    </row>
    <row r="2" spans="1:11" x14ac:dyDescent="0.3">
      <c r="A2" s="4" t="s">
        <v>61</v>
      </c>
      <c r="B2" s="3">
        <v>2.1</v>
      </c>
      <c r="E2" s="240" t="s">
        <v>62</v>
      </c>
      <c r="F2" s="240"/>
      <c r="G2" s="240"/>
      <c r="H2" s="240"/>
      <c r="I2" s="240"/>
      <c r="J2" s="240"/>
      <c r="K2" s="240"/>
    </row>
    <row r="3" spans="1:11" x14ac:dyDescent="0.3">
      <c r="A3" s="4" t="s">
        <v>63</v>
      </c>
      <c r="B3" s="3">
        <v>2.1</v>
      </c>
    </row>
    <row r="4" spans="1:11" x14ac:dyDescent="0.3">
      <c r="A4" s="4"/>
    </row>
    <row r="5" spans="1:11" x14ac:dyDescent="0.3">
      <c r="A5" s="4" t="s">
        <v>64</v>
      </c>
    </row>
    <row r="6" spans="1:11" x14ac:dyDescent="0.3">
      <c r="A6" s="3" t="s">
        <v>65</v>
      </c>
      <c r="B6" s="3">
        <f>IF(B9&gt;0, B9/B8, 0)</f>
        <v>406.22571386299745</v>
      </c>
    </row>
    <row r="7" spans="1:11" x14ac:dyDescent="0.3">
      <c r="A7" s="3" t="s">
        <v>66</v>
      </c>
      <c r="B7" s="3">
        <v>5</v>
      </c>
    </row>
    <row r="8" spans="1:11" x14ac:dyDescent="0.3">
      <c r="A8" s="3" t="s">
        <v>67</v>
      </c>
      <c r="B8" s="3">
        <v>1013.85</v>
      </c>
    </row>
    <row r="9" spans="1:11" x14ac:dyDescent="0.3">
      <c r="A9" s="3" t="s">
        <v>68</v>
      </c>
      <c r="B9" s="3">
        <v>411851.94</v>
      </c>
    </row>
    <row r="15" spans="1:11" x14ac:dyDescent="0.3">
      <c r="A15" s="4" t="s">
        <v>69</v>
      </c>
    </row>
    <row r="16" spans="1:11" s="7" customFormat="1" x14ac:dyDescent="0.3">
      <c r="A16" s="5" t="s">
        <v>70</v>
      </c>
      <c r="B16" s="6">
        <v>42825</v>
      </c>
      <c r="C16" s="6">
        <v>43190</v>
      </c>
      <c r="D16" s="6">
        <v>43555</v>
      </c>
      <c r="E16" s="6">
        <v>43921</v>
      </c>
      <c r="F16" s="6">
        <v>44286</v>
      </c>
      <c r="G16" s="6">
        <v>44651</v>
      </c>
      <c r="H16" s="6">
        <v>45016</v>
      </c>
      <c r="I16" s="6">
        <v>45382</v>
      </c>
      <c r="J16" s="6">
        <v>45747</v>
      </c>
      <c r="K16" s="6">
        <v>46112</v>
      </c>
    </row>
    <row r="17" spans="1:11" x14ac:dyDescent="0.3">
      <c r="A17" s="3" t="s">
        <v>0</v>
      </c>
      <c r="B17" s="3">
        <v>68484</v>
      </c>
      <c r="C17" s="3">
        <v>70522</v>
      </c>
      <c r="D17" s="3">
        <v>82675</v>
      </c>
      <c r="E17" s="3">
        <v>90791</v>
      </c>
      <c r="F17" s="3">
        <v>100472</v>
      </c>
      <c r="G17" s="3">
        <v>121641</v>
      </c>
      <c r="H17" s="3">
        <v>146767</v>
      </c>
      <c r="I17" s="3">
        <v>153670</v>
      </c>
      <c r="J17" s="3">
        <v>162990</v>
      </c>
      <c r="K17" s="3">
        <v>178650</v>
      </c>
    </row>
    <row r="18" spans="1:11" x14ac:dyDescent="0.3">
      <c r="A18" s="3" t="s">
        <v>71</v>
      </c>
    </row>
    <row r="19" spans="1:11" x14ac:dyDescent="0.3">
      <c r="A19" s="3" t="s">
        <v>72</v>
      </c>
    </row>
    <row r="20" spans="1:11" x14ac:dyDescent="0.3">
      <c r="A20" s="3" t="s">
        <v>73</v>
      </c>
      <c r="B20" s="3">
        <v>228</v>
      </c>
      <c r="C20" s="3">
        <v>207</v>
      </c>
      <c r="D20" s="3">
        <v>221</v>
      </c>
      <c r="E20" s="3">
        <v>229</v>
      </c>
      <c r="F20" s="3">
        <v>143</v>
      </c>
      <c r="G20" s="3">
        <v>132</v>
      </c>
      <c r="H20" s="3">
        <v>176</v>
      </c>
      <c r="I20" s="3">
        <v>199</v>
      </c>
      <c r="J20" s="3">
        <v>222</v>
      </c>
      <c r="K20" s="3">
        <v>223</v>
      </c>
    </row>
    <row r="21" spans="1:11" x14ac:dyDescent="0.3">
      <c r="A21" s="3" t="s">
        <v>74</v>
      </c>
      <c r="B21" s="3">
        <v>6712</v>
      </c>
      <c r="C21" s="3">
        <v>7286</v>
      </c>
      <c r="D21" s="3">
        <v>9902</v>
      </c>
      <c r="E21" s="3">
        <v>11086</v>
      </c>
      <c r="F21" s="3">
        <v>12800</v>
      </c>
      <c r="G21" s="3">
        <v>20690</v>
      </c>
      <c r="H21" s="3">
        <v>26330</v>
      </c>
      <c r="I21" s="3">
        <v>27195</v>
      </c>
      <c r="J21" s="3">
        <v>30395</v>
      </c>
      <c r="K21" s="3">
        <v>32922</v>
      </c>
    </row>
    <row r="22" spans="1:11" x14ac:dyDescent="0.3">
      <c r="A22" s="3" t="s">
        <v>75</v>
      </c>
      <c r="B22" s="3">
        <v>37669</v>
      </c>
      <c r="C22" s="3">
        <v>38902</v>
      </c>
      <c r="D22" s="3">
        <v>45323</v>
      </c>
      <c r="E22" s="3">
        <v>50895</v>
      </c>
      <c r="F22" s="3">
        <v>55547</v>
      </c>
      <c r="G22" s="3">
        <v>63997</v>
      </c>
      <c r="H22" s="3">
        <v>78374</v>
      </c>
      <c r="I22" s="3">
        <v>82636</v>
      </c>
      <c r="J22" s="3">
        <v>85968</v>
      </c>
      <c r="K22" s="3">
        <v>95112</v>
      </c>
    </row>
    <row r="23" spans="1:11" x14ac:dyDescent="0.3">
      <c r="A23" s="3" t="s">
        <v>76</v>
      </c>
      <c r="B23" s="3">
        <v>4584</v>
      </c>
      <c r="C23" s="3">
        <v>4585</v>
      </c>
      <c r="D23" s="3">
        <v>5553</v>
      </c>
      <c r="E23" s="3">
        <v>5375</v>
      </c>
      <c r="F23" s="3">
        <v>3194</v>
      </c>
      <c r="G23" s="3">
        <v>4305</v>
      </c>
      <c r="H23" s="3">
        <v>5300</v>
      </c>
      <c r="I23" s="3">
        <v>5705</v>
      </c>
      <c r="J23" s="3">
        <v>6039</v>
      </c>
      <c r="K23" s="3">
        <v>6784</v>
      </c>
    </row>
    <row r="24" spans="1:11" x14ac:dyDescent="0.3">
      <c r="A24" s="3" t="s">
        <v>77</v>
      </c>
      <c r="B24" s="3">
        <v>687</v>
      </c>
      <c r="C24" s="3">
        <v>720</v>
      </c>
      <c r="D24" s="3">
        <v>1506</v>
      </c>
      <c r="E24" s="3">
        <v>939</v>
      </c>
      <c r="F24" s="3">
        <v>899</v>
      </c>
      <c r="G24" s="3">
        <v>1026</v>
      </c>
      <c r="H24" s="3">
        <v>1457</v>
      </c>
      <c r="I24" s="3">
        <v>1510</v>
      </c>
      <c r="J24" s="3">
        <v>1130</v>
      </c>
      <c r="K24" s="3">
        <v>1329</v>
      </c>
    </row>
    <row r="25" spans="1:11" x14ac:dyDescent="0.3">
      <c r="A25" s="3" t="s">
        <v>78</v>
      </c>
      <c r="B25" s="3">
        <v>3050</v>
      </c>
      <c r="C25" s="3">
        <v>3311</v>
      </c>
      <c r="D25" s="3">
        <v>2882</v>
      </c>
      <c r="E25" s="3">
        <v>2803</v>
      </c>
      <c r="F25" s="3">
        <v>2201</v>
      </c>
      <c r="G25" s="3">
        <v>2295</v>
      </c>
      <c r="H25" s="3">
        <v>2701</v>
      </c>
      <c r="I25" s="3">
        <v>4711</v>
      </c>
      <c r="J25" s="3">
        <v>3600</v>
      </c>
      <c r="K25" s="3">
        <v>3033</v>
      </c>
    </row>
    <row r="26" spans="1:11" x14ac:dyDescent="0.3">
      <c r="A26" s="3" t="s">
        <v>10</v>
      </c>
      <c r="B26" s="3">
        <v>1703</v>
      </c>
      <c r="C26" s="3">
        <v>1863</v>
      </c>
      <c r="D26" s="3">
        <v>2011</v>
      </c>
      <c r="E26" s="3">
        <v>2893</v>
      </c>
      <c r="F26" s="3">
        <v>3267</v>
      </c>
      <c r="G26" s="3">
        <v>3476</v>
      </c>
      <c r="H26" s="3">
        <v>4225</v>
      </c>
      <c r="I26" s="3">
        <v>4678</v>
      </c>
      <c r="J26" s="3">
        <v>4812</v>
      </c>
      <c r="K26" s="3">
        <v>4902</v>
      </c>
    </row>
    <row r="27" spans="1:11" x14ac:dyDescent="0.3">
      <c r="A27" s="3" t="s">
        <v>9</v>
      </c>
      <c r="E27" s="3">
        <v>170</v>
      </c>
      <c r="F27" s="3">
        <v>195</v>
      </c>
      <c r="G27" s="3">
        <v>200</v>
      </c>
      <c r="H27" s="3">
        <v>284</v>
      </c>
      <c r="I27" s="3">
        <v>470</v>
      </c>
      <c r="J27" s="3">
        <v>416</v>
      </c>
      <c r="K27" s="3">
        <v>416</v>
      </c>
    </row>
    <row r="28" spans="1:11" x14ac:dyDescent="0.3">
      <c r="A28" s="3" t="s">
        <v>79</v>
      </c>
      <c r="B28" s="3">
        <v>19951</v>
      </c>
      <c r="C28" s="3">
        <v>20270</v>
      </c>
      <c r="D28" s="3">
        <v>21041</v>
      </c>
      <c r="E28" s="3">
        <v>22007</v>
      </c>
      <c r="F28" s="3">
        <v>26628</v>
      </c>
      <c r="G28" s="3">
        <v>30110</v>
      </c>
      <c r="H28" s="3">
        <v>33322</v>
      </c>
      <c r="I28" s="3">
        <v>35988</v>
      </c>
      <c r="J28" s="3">
        <v>37608</v>
      </c>
      <c r="K28" s="3">
        <v>39995</v>
      </c>
    </row>
    <row r="29" spans="1:11" x14ac:dyDescent="0.3">
      <c r="A29" s="3" t="s">
        <v>12</v>
      </c>
      <c r="B29" s="3">
        <v>5598</v>
      </c>
      <c r="C29" s="3">
        <v>4241</v>
      </c>
      <c r="D29" s="3">
        <v>5631</v>
      </c>
      <c r="E29" s="3">
        <v>5368</v>
      </c>
      <c r="F29" s="3">
        <v>7205</v>
      </c>
      <c r="G29" s="3">
        <v>7964</v>
      </c>
      <c r="H29" s="3">
        <v>9214</v>
      </c>
      <c r="I29" s="3">
        <v>9740</v>
      </c>
      <c r="J29" s="3">
        <v>10858</v>
      </c>
      <c r="K29" s="3">
        <v>10521</v>
      </c>
    </row>
    <row r="30" spans="1:11" x14ac:dyDescent="0.3">
      <c r="A30" s="3" t="s">
        <v>80</v>
      </c>
      <c r="B30" s="3">
        <v>14353</v>
      </c>
      <c r="C30" s="3">
        <v>16029</v>
      </c>
      <c r="D30" s="3">
        <v>15404</v>
      </c>
      <c r="E30" s="3">
        <v>16594</v>
      </c>
      <c r="F30" s="3">
        <v>19351</v>
      </c>
      <c r="G30" s="3">
        <v>22110</v>
      </c>
      <c r="H30" s="3">
        <v>24095</v>
      </c>
      <c r="I30" s="3">
        <v>26233</v>
      </c>
      <c r="J30" s="3">
        <v>26713</v>
      </c>
      <c r="K30" s="3">
        <v>29440</v>
      </c>
    </row>
    <row r="31" spans="1:11" x14ac:dyDescent="0.3">
      <c r="A31" s="3" t="s">
        <v>81</v>
      </c>
      <c r="B31" s="3">
        <v>5891.6</v>
      </c>
      <c r="C31" s="3">
        <v>9465.6</v>
      </c>
      <c r="D31" s="3">
        <v>9222.5</v>
      </c>
      <c r="E31" s="3">
        <v>7427</v>
      </c>
      <c r="F31" s="3">
        <v>11469.6</v>
      </c>
      <c r="G31" s="3">
        <v>13007.6</v>
      </c>
      <c r="H31" s="3">
        <v>14069.2</v>
      </c>
      <c r="I31" s="3">
        <v>19053.2</v>
      </c>
      <c r="J31" s="3">
        <v>17827.8</v>
      </c>
      <c r="K31" s="3">
        <v>19430.400000000001</v>
      </c>
    </row>
    <row r="40" spans="1:11" x14ac:dyDescent="0.3">
      <c r="A40" s="4" t="s">
        <v>82</v>
      </c>
    </row>
    <row r="41" spans="1:11" s="7" customFormat="1" x14ac:dyDescent="0.3">
      <c r="A41" s="5" t="s">
        <v>70</v>
      </c>
      <c r="B41" s="6">
        <v>45382</v>
      </c>
      <c r="C41" s="6">
        <v>45473</v>
      </c>
      <c r="D41" s="6">
        <v>45565</v>
      </c>
      <c r="E41" s="6">
        <v>45657</v>
      </c>
      <c r="F41" s="6">
        <v>45747</v>
      </c>
      <c r="G41" s="6">
        <v>45838</v>
      </c>
      <c r="H41" s="6">
        <v>45930</v>
      </c>
      <c r="I41" s="6">
        <v>46022</v>
      </c>
      <c r="J41" s="6">
        <v>46112</v>
      </c>
      <c r="K41" s="6">
        <v>46203</v>
      </c>
    </row>
    <row r="42" spans="1:11" x14ac:dyDescent="0.3">
      <c r="A42" s="3" t="s">
        <v>0</v>
      </c>
      <c r="B42" s="3">
        <v>37923</v>
      </c>
      <c r="C42" s="3">
        <v>39315</v>
      </c>
      <c r="D42" s="3">
        <v>40986</v>
      </c>
      <c r="E42" s="3">
        <v>41764</v>
      </c>
      <c r="F42" s="3">
        <v>40925</v>
      </c>
      <c r="G42" s="3">
        <v>42279</v>
      </c>
      <c r="H42" s="3">
        <v>44490</v>
      </c>
      <c r="I42" s="3">
        <v>45479</v>
      </c>
      <c r="J42" s="3">
        <v>46402</v>
      </c>
      <c r="K42" s="3">
        <v>48211</v>
      </c>
    </row>
    <row r="43" spans="1:11" x14ac:dyDescent="0.3">
      <c r="A43" s="3" t="s">
        <v>83</v>
      </c>
      <c r="B43" s="3">
        <v>29139</v>
      </c>
      <c r="C43" s="3">
        <v>29878</v>
      </c>
      <c r="D43" s="3">
        <v>31177</v>
      </c>
      <c r="E43" s="3">
        <v>31649</v>
      </c>
      <c r="F43" s="3">
        <v>31051</v>
      </c>
      <c r="G43" s="3">
        <v>32336</v>
      </c>
      <c r="H43" s="3">
        <v>33955</v>
      </c>
      <c r="I43" s="3">
        <v>34845</v>
      </c>
      <c r="J43" s="3">
        <v>35235</v>
      </c>
      <c r="K43" s="3">
        <v>36802</v>
      </c>
    </row>
    <row r="44" spans="1:11" x14ac:dyDescent="0.3">
      <c r="A44" s="3" t="s">
        <v>78</v>
      </c>
      <c r="B44" s="3">
        <v>2729</v>
      </c>
      <c r="C44" s="3">
        <v>838</v>
      </c>
      <c r="D44" s="3">
        <v>712</v>
      </c>
      <c r="E44" s="3">
        <v>859</v>
      </c>
      <c r="F44" s="3">
        <v>1190</v>
      </c>
      <c r="G44" s="3">
        <v>1042</v>
      </c>
      <c r="H44" s="3">
        <v>982</v>
      </c>
      <c r="I44" s="3">
        <v>-150</v>
      </c>
      <c r="J44" s="3">
        <v>1159</v>
      </c>
      <c r="K44" s="3">
        <v>984</v>
      </c>
    </row>
    <row r="45" spans="1:11" x14ac:dyDescent="0.3">
      <c r="A45" s="3" t="s">
        <v>10</v>
      </c>
      <c r="B45" s="3">
        <v>1163</v>
      </c>
      <c r="C45" s="3">
        <v>1149</v>
      </c>
      <c r="D45" s="3">
        <v>1160</v>
      </c>
      <c r="E45" s="3">
        <v>1203</v>
      </c>
      <c r="F45" s="3">
        <v>1299</v>
      </c>
      <c r="G45" s="3">
        <v>1140</v>
      </c>
      <c r="H45" s="3">
        <v>1182</v>
      </c>
      <c r="I45" s="3">
        <v>1155</v>
      </c>
      <c r="J45" s="3">
        <v>1424</v>
      </c>
      <c r="K45" s="3">
        <v>1246</v>
      </c>
    </row>
    <row r="46" spans="1:11" x14ac:dyDescent="0.3">
      <c r="A46" s="3" t="s">
        <v>9</v>
      </c>
      <c r="B46" s="3">
        <v>110</v>
      </c>
      <c r="C46" s="3">
        <v>105</v>
      </c>
      <c r="D46" s="3">
        <v>108</v>
      </c>
      <c r="E46" s="3">
        <v>101</v>
      </c>
      <c r="F46" s="3">
        <v>102</v>
      </c>
      <c r="G46" s="3">
        <v>105</v>
      </c>
      <c r="H46" s="3">
        <v>106</v>
      </c>
      <c r="I46" s="3">
        <v>100</v>
      </c>
      <c r="J46" s="3">
        <v>105</v>
      </c>
      <c r="K46" s="3">
        <v>119</v>
      </c>
    </row>
    <row r="47" spans="1:11" x14ac:dyDescent="0.3">
      <c r="A47" s="3" t="s">
        <v>79</v>
      </c>
      <c r="B47" s="3">
        <v>10240</v>
      </c>
      <c r="C47" s="3">
        <v>9021</v>
      </c>
      <c r="D47" s="3">
        <v>9253</v>
      </c>
      <c r="E47" s="3">
        <v>9670</v>
      </c>
      <c r="F47" s="3">
        <v>9663</v>
      </c>
      <c r="G47" s="3">
        <v>9740</v>
      </c>
      <c r="H47" s="3">
        <v>10229</v>
      </c>
      <c r="I47" s="3">
        <v>9229</v>
      </c>
      <c r="J47" s="3">
        <v>10797</v>
      </c>
      <c r="K47" s="3">
        <v>11028</v>
      </c>
    </row>
    <row r="48" spans="1:11" x14ac:dyDescent="0.3">
      <c r="A48" s="3" t="s">
        <v>12</v>
      </c>
      <c r="B48" s="3">
        <v>2265</v>
      </c>
      <c r="C48" s="3">
        <v>2647</v>
      </c>
      <c r="D48" s="3">
        <v>2737</v>
      </c>
      <c r="E48" s="3">
        <v>2848</v>
      </c>
      <c r="F48" s="3">
        <v>2625</v>
      </c>
      <c r="G48" s="3">
        <v>2816</v>
      </c>
      <c r="H48" s="3">
        <v>2854</v>
      </c>
      <c r="I48" s="3">
        <v>2563</v>
      </c>
      <c r="J48" s="3">
        <v>2288</v>
      </c>
      <c r="K48" s="3">
        <v>3253</v>
      </c>
    </row>
    <row r="49" spans="1:11" x14ac:dyDescent="0.3">
      <c r="A49" s="3" t="s">
        <v>80</v>
      </c>
      <c r="B49" s="3">
        <v>7969</v>
      </c>
      <c r="C49" s="3">
        <v>6368</v>
      </c>
      <c r="D49" s="3">
        <v>6506</v>
      </c>
      <c r="E49" s="3">
        <v>6806</v>
      </c>
      <c r="F49" s="3">
        <v>7033</v>
      </c>
      <c r="G49" s="3">
        <v>6921</v>
      </c>
      <c r="H49" s="3">
        <v>7364</v>
      </c>
      <c r="I49" s="3">
        <v>6654</v>
      </c>
      <c r="J49" s="3">
        <v>8501</v>
      </c>
      <c r="K49" s="3">
        <v>7769</v>
      </c>
    </row>
    <row r="50" spans="1:11" x14ac:dyDescent="0.3">
      <c r="A50" s="3" t="s">
        <v>84</v>
      </c>
      <c r="B50" s="3">
        <v>8784</v>
      </c>
      <c r="C50" s="3">
        <v>9437</v>
      </c>
      <c r="D50" s="3">
        <v>9809</v>
      </c>
      <c r="E50" s="3">
        <v>10115</v>
      </c>
      <c r="F50" s="3">
        <v>9874</v>
      </c>
      <c r="G50" s="3">
        <v>9943</v>
      </c>
      <c r="H50" s="3">
        <v>10535</v>
      </c>
      <c r="I50" s="3">
        <v>10634</v>
      </c>
      <c r="J50" s="3">
        <v>11167</v>
      </c>
      <c r="K50" s="3">
        <v>11409</v>
      </c>
    </row>
    <row r="55" spans="1:11" x14ac:dyDescent="0.3">
      <c r="A55" s="4" t="s">
        <v>85</v>
      </c>
    </row>
    <row r="56" spans="1:11" s="7" customFormat="1" x14ac:dyDescent="0.3">
      <c r="A56" s="5" t="s">
        <v>70</v>
      </c>
      <c r="B56" s="6">
        <v>42825</v>
      </c>
      <c r="C56" s="6">
        <v>43190</v>
      </c>
      <c r="D56" s="6">
        <v>43555</v>
      </c>
      <c r="E56" s="6">
        <v>43921</v>
      </c>
      <c r="F56" s="6">
        <v>44286</v>
      </c>
      <c r="G56" s="6">
        <v>44651</v>
      </c>
      <c r="H56" s="6">
        <v>45016</v>
      </c>
      <c r="I56" s="6">
        <v>45382</v>
      </c>
      <c r="J56" s="6">
        <v>45747</v>
      </c>
      <c r="K56" s="6">
        <v>46112</v>
      </c>
    </row>
    <row r="57" spans="1:11" x14ac:dyDescent="0.3">
      <c r="A57" s="3" t="s">
        <v>15</v>
      </c>
      <c r="B57" s="3">
        <v>1144</v>
      </c>
      <c r="C57" s="3">
        <v>1088</v>
      </c>
      <c r="D57" s="3">
        <v>2170</v>
      </c>
      <c r="E57" s="3">
        <v>2122</v>
      </c>
      <c r="F57" s="3">
        <v>2124</v>
      </c>
      <c r="G57" s="3">
        <v>2098</v>
      </c>
      <c r="H57" s="3">
        <v>2069</v>
      </c>
      <c r="I57" s="3">
        <v>2071</v>
      </c>
      <c r="J57" s="3">
        <v>2073</v>
      </c>
      <c r="K57" s="3">
        <v>2024</v>
      </c>
    </row>
    <row r="58" spans="1:11" x14ac:dyDescent="0.3">
      <c r="A58" s="3" t="s">
        <v>16</v>
      </c>
      <c r="B58" s="3">
        <v>67838</v>
      </c>
      <c r="C58" s="3">
        <v>63835</v>
      </c>
      <c r="D58" s="3">
        <v>62778</v>
      </c>
      <c r="E58" s="3">
        <v>63328</v>
      </c>
      <c r="F58" s="3">
        <v>74227</v>
      </c>
      <c r="G58" s="3">
        <v>73252</v>
      </c>
      <c r="H58" s="3">
        <v>73338</v>
      </c>
      <c r="I58" s="3">
        <v>86045</v>
      </c>
      <c r="J58" s="3">
        <v>93745</v>
      </c>
      <c r="K58" s="3">
        <v>90828</v>
      </c>
    </row>
    <row r="59" spans="1:11" x14ac:dyDescent="0.3">
      <c r="A59" s="3" t="s">
        <v>17</v>
      </c>
      <c r="E59" s="3">
        <v>4633</v>
      </c>
      <c r="F59" s="3">
        <v>5325</v>
      </c>
      <c r="G59" s="3">
        <v>5474</v>
      </c>
      <c r="H59" s="3">
        <v>8299</v>
      </c>
      <c r="I59" s="3">
        <v>8359</v>
      </c>
      <c r="J59" s="3">
        <v>8227</v>
      </c>
      <c r="K59" s="3">
        <v>9176</v>
      </c>
    </row>
    <row r="60" spans="1:11" x14ac:dyDescent="0.3">
      <c r="A60" s="3" t="s">
        <v>18</v>
      </c>
      <c r="B60" s="3">
        <v>14166</v>
      </c>
      <c r="C60" s="3">
        <v>14426</v>
      </c>
      <c r="D60" s="3">
        <v>19118</v>
      </c>
      <c r="E60" s="3">
        <v>21717</v>
      </c>
      <c r="F60" s="3">
        <v>25835</v>
      </c>
      <c r="G60" s="3">
        <v>35905</v>
      </c>
      <c r="H60" s="3">
        <v>40890</v>
      </c>
      <c r="I60" s="3">
        <v>39545</v>
      </c>
      <c r="J60" s="3">
        <v>43750</v>
      </c>
      <c r="K60" s="3">
        <v>52260</v>
      </c>
    </row>
    <row r="61" spans="1:11" s="4" customFormat="1" x14ac:dyDescent="0.3">
      <c r="A61" s="4" t="s">
        <v>86</v>
      </c>
      <c r="B61" s="4">
        <v>83148</v>
      </c>
      <c r="C61" s="4">
        <v>79349</v>
      </c>
      <c r="D61" s="4">
        <v>84066</v>
      </c>
      <c r="E61" s="4">
        <v>91800</v>
      </c>
      <c r="F61" s="4">
        <v>107511</v>
      </c>
      <c r="G61" s="4">
        <v>116729</v>
      </c>
      <c r="H61" s="4">
        <v>124596</v>
      </c>
      <c r="I61" s="4">
        <v>136020</v>
      </c>
      <c r="J61" s="4">
        <v>147795</v>
      </c>
      <c r="K61" s="4">
        <v>154288</v>
      </c>
    </row>
    <row r="62" spans="1:11" x14ac:dyDescent="0.3">
      <c r="A62" s="3" t="s">
        <v>87</v>
      </c>
      <c r="B62" s="3">
        <v>14179</v>
      </c>
      <c r="C62" s="3">
        <v>12574</v>
      </c>
      <c r="D62" s="3">
        <v>15710</v>
      </c>
      <c r="E62" s="3">
        <v>23789</v>
      </c>
      <c r="F62" s="3">
        <v>25505</v>
      </c>
      <c r="G62" s="3">
        <v>25800</v>
      </c>
      <c r="H62" s="3">
        <v>29225</v>
      </c>
      <c r="I62" s="3">
        <v>27622</v>
      </c>
      <c r="J62" s="3">
        <v>30961</v>
      </c>
      <c r="K62" s="3">
        <v>33770</v>
      </c>
    </row>
    <row r="63" spans="1:11" x14ac:dyDescent="0.3">
      <c r="A63" s="3" t="s">
        <v>19</v>
      </c>
      <c r="B63" s="3">
        <v>1365</v>
      </c>
      <c r="C63" s="3">
        <v>1606</v>
      </c>
      <c r="D63" s="3">
        <v>1388</v>
      </c>
      <c r="E63" s="3">
        <v>954</v>
      </c>
      <c r="F63" s="3">
        <v>922</v>
      </c>
      <c r="G63" s="3">
        <v>416</v>
      </c>
      <c r="H63" s="3">
        <v>288</v>
      </c>
      <c r="I63" s="3">
        <v>293</v>
      </c>
      <c r="J63" s="3">
        <v>814</v>
      </c>
      <c r="K63" s="3">
        <v>526</v>
      </c>
    </row>
    <row r="64" spans="1:11" x14ac:dyDescent="0.3">
      <c r="A64" s="3" t="s">
        <v>20</v>
      </c>
      <c r="B64" s="3">
        <v>16423</v>
      </c>
      <c r="C64" s="3">
        <v>12163</v>
      </c>
      <c r="D64" s="3">
        <v>11261</v>
      </c>
      <c r="E64" s="3">
        <v>8792</v>
      </c>
      <c r="F64" s="3">
        <v>14205</v>
      </c>
      <c r="G64" s="3">
        <v>20324</v>
      </c>
      <c r="H64" s="3">
        <v>19478</v>
      </c>
      <c r="I64" s="3">
        <v>24623</v>
      </c>
      <c r="J64" s="3">
        <v>23541</v>
      </c>
      <c r="K64" s="3">
        <v>21880</v>
      </c>
    </row>
    <row r="65" spans="1:11" x14ac:dyDescent="0.3">
      <c r="A65" s="3" t="s">
        <v>21</v>
      </c>
      <c r="B65" s="3">
        <v>51181</v>
      </c>
      <c r="C65" s="3">
        <v>53006</v>
      </c>
      <c r="D65" s="3">
        <v>55707</v>
      </c>
      <c r="E65" s="3">
        <v>58265</v>
      </c>
      <c r="F65" s="3">
        <v>66879</v>
      </c>
      <c r="G65" s="3">
        <v>70189</v>
      </c>
      <c r="H65" s="3">
        <v>75605</v>
      </c>
      <c r="I65" s="3">
        <v>83482</v>
      </c>
      <c r="J65" s="3">
        <v>92479</v>
      </c>
      <c r="K65" s="3">
        <v>98112</v>
      </c>
    </row>
    <row r="66" spans="1:11" s="4" customFormat="1" x14ac:dyDescent="0.3">
      <c r="A66" s="4" t="s">
        <v>86</v>
      </c>
      <c r="B66" s="4">
        <v>83148</v>
      </c>
      <c r="C66" s="4">
        <v>79349</v>
      </c>
      <c r="D66" s="4">
        <v>84066</v>
      </c>
      <c r="E66" s="4">
        <v>91800</v>
      </c>
      <c r="F66" s="4">
        <v>107511</v>
      </c>
      <c r="G66" s="4">
        <v>116729</v>
      </c>
      <c r="H66" s="4">
        <v>124596</v>
      </c>
      <c r="I66" s="4">
        <v>136020</v>
      </c>
      <c r="J66" s="4">
        <v>147795</v>
      </c>
      <c r="K66" s="4">
        <v>154288</v>
      </c>
    </row>
    <row r="67" spans="1:11" x14ac:dyDescent="0.3">
      <c r="A67" s="3" t="s">
        <v>22</v>
      </c>
      <c r="B67" s="3">
        <v>12322</v>
      </c>
      <c r="C67" s="3">
        <v>13142</v>
      </c>
      <c r="D67" s="3">
        <v>14827</v>
      </c>
      <c r="E67" s="3">
        <v>18487</v>
      </c>
      <c r="F67" s="3">
        <v>19294</v>
      </c>
      <c r="G67" s="3">
        <v>22698</v>
      </c>
      <c r="H67" s="3">
        <v>25424</v>
      </c>
      <c r="I67" s="3">
        <v>30193</v>
      </c>
      <c r="J67" s="3">
        <v>31158</v>
      </c>
      <c r="K67" s="3">
        <v>35234</v>
      </c>
    </row>
    <row r="68" spans="1:11" x14ac:dyDescent="0.3">
      <c r="A68" s="3" t="s">
        <v>23</v>
      </c>
    </row>
    <row r="69" spans="1:11" x14ac:dyDescent="0.3">
      <c r="A69" s="3" t="s">
        <v>24</v>
      </c>
      <c r="B69" s="3">
        <v>22625</v>
      </c>
      <c r="C69" s="3">
        <v>19818</v>
      </c>
      <c r="D69" s="3">
        <v>19568</v>
      </c>
      <c r="E69" s="3">
        <v>18649</v>
      </c>
      <c r="F69" s="3">
        <v>24714</v>
      </c>
      <c r="G69" s="3">
        <v>17472</v>
      </c>
      <c r="H69" s="3">
        <v>12173</v>
      </c>
      <c r="I69" s="3">
        <v>14786</v>
      </c>
      <c r="J69" s="3">
        <v>24455</v>
      </c>
      <c r="K69" s="3">
        <v>22201</v>
      </c>
    </row>
    <row r="70" spans="1:11" x14ac:dyDescent="0.3">
      <c r="A70" s="3" t="s">
        <v>88</v>
      </c>
      <c r="B70" s="3">
        <v>2285655150</v>
      </c>
      <c r="C70" s="3">
        <v>2173312301</v>
      </c>
      <c r="D70" s="3">
        <v>4335954462</v>
      </c>
      <c r="E70" s="3">
        <v>4240753210</v>
      </c>
      <c r="F70" s="3">
        <v>4245146114</v>
      </c>
      <c r="G70" s="3">
        <v>4193012929</v>
      </c>
      <c r="H70" s="3">
        <v>4136387925</v>
      </c>
      <c r="I70" s="3">
        <v>4139950635</v>
      </c>
      <c r="J70" s="3">
        <v>4143607528</v>
      </c>
      <c r="K70" s="3">
        <v>4046940812</v>
      </c>
    </row>
    <row r="71" spans="1:11" x14ac:dyDescent="0.3">
      <c r="A71" s="3" t="s">
        <v>89</v>
      </c>
      <c r="D71">
        <v>2184191490</v>
      </c>
    </row>
    <row r="72" spans="1:11" x14ac:dyDescent="0.3">
      <c r="A72" s="3" t="s">
        <v>90</v>
      </c>
      <c r="B72" s="3">
        <v>5</v>
      </c>
      <c r="C72" s="3">
        <v>5</v>
      </c>
      <c r="D72" s="3">
        <v>5</v>
      </c>
      <c r="E72" s="3">
        <v>5</v>
      </c>
      <c r="F72" s="3">
        <v>5</v>
      </c>
      <c r="G72" s="3">
        <v>5</v>
      </c>
      <c r="H72" s="3">
        <v>5</v>
      </c>
      <c r="I72" s="3">
        <v>5</v>
      </c>
      <c r="J72" s="3">
        <v>5</v>
      </c>
      <c r="K72" s="3">
        <v>5</v>
      </c>
    </row>
    <row r="80" spans="1:11" x14ac:dyDescent="0.3">
      <c r="A80" s="4" t="s">
        <v>91</v>
      </c>
    </row>
    <row r="81" spans="1:11" s="7" customFormat="1" x14ac:dyDescent="0.3">
      <c r="A81" s="5" t="s">
        <v>70</v>
      </c>
      <c r="B81" s="6">
        <v>42825</v>
      </c>
      <c r="C81" s="6">
        <v>43190</v>
      </c>
      <c r="D81" s="6">
        <v>43555</v>
      </c>
      <c r="E81" s="6">
        <v>43921</v>
      </c>
      <c r="F81" s="6">
        <v>44286</v>
      </c>
      <c r="G81" s="6">
        <v>44651</v>
      </c>
      <c r="H81" s="6">
        <v>45016</v>
      </c>
      <c r="I81" s="6">
        <v>45382</v>
      </c>
      <c r="J81" s="6">
        <v>45747</v>
      </c>
      <c r="K81" s="6">
        <v>46112</v>
      </c>
    </row>
    <row r="82" spans="1:11" s="4" customFormat="1" x14ac:dyDescent="0.3">
      <c r="A82" s="3" t="s">
        <v>92</v>
      </c>
      <c r="B82" s="4">
        <v>11531</v>
      </c>
      <c r="C82" s="4">
        <v>13218</v>
      </c>
      <c r="D82" s="4">
        <v>14841</v>
      </c>
      <c r="E82" s="4">
        <v>17003</v>
      </c>
      <c r="F82" s="4">
        <v>23224</v>
      </c>
      <c r="G82" s="4">
        <v>23885</v>
      </c>
      <c r="H82" s="4">
        <v>22467</v>
      </c>
      <c r="I82" s="4">
        <v>25210</v>
      </c>
      <c r="J82" s="4">
        <v>35694</v>
      </c>
      <c r="K82" s="4">
        <v>33986</v>
      </c>
    </row>
    <row r="83" spans="1:11" x14ac:dyDescent="0.3">
      <c r="A83" s="3" t="s">
        <v>93</v>
      </c>
      <c r="B83" s="3">
        <v>-14664</v>
      </c>
      <c r="C83" s="3">
        <v>4533</v>
      </c>
      <c r="D83" s="3">
        <v>-632</v>
      </c>
      <c r="E83" s="3">
        <v>-331</v>
      </c>
      <c r="F83" s="3">
        <v>-7373</v>
      </c>
      <c r="G83" s="3">
        <v>-6485</v>
      </c>
      <c r="H83" s="3">
        <v>-1071</v>
      </c>
      <c r="I83" s="3">
        <v>-5093</v>
      </c>
      <c r="J83" s="3">
        <v>-1864</v>
      </c>
      <c r="K83" s="3">
        <v>3546</v>
      </c>
    </row>
    <row r="84" spans="1:11" x14ac:dyDescent="0.3">
      <c r="A84" s="3" t="s">
        <v>94</v>
      </c>
      <c r="B84" s="3">
        <v>-6939</v>
      </c>
      <c r="C84" s="3">
        <v>-20505</v>
      </c>
      <c r="D84" s="3">
        <v>-14512</v>
      </c>
      <c r="E84" s="3">
        <v>-17591</v>
      </c>
      <c r="F84" s="3">
        <v>-9786</v>
      </c>
      <c r="G84" s="3">
        <v>-24642</v>
      </c>
      <c r="H84" s="3">
        <v>-26695</v>
      </c>
      <c r="I84" s="3">
        <v>-17504</v>
      </c>
      <c r="J84" s="3">
        <v>-24161</v>
      </c>
      <c r="K84" s="3">
        <v>-39786</v>
      </c>
    </row>
    <row r="85" spans="1:11" s="4" customFormat="1" x14ac:dyDescent="0.3">
      <c r="A85" s="3" t="s">
        <v>54</v>
      </c>
      <c r="B85" s="4">
        <v>-10072</v>
      </c>
      <c r="C85" s="4">
        <v>-2754</v>
      </c>
      <c r="D85" s="4">
        <v>-303</v>
      </c>
      <c r="E85" s="4">
        <v>-919</v>
      </c>
      <c r="F85" s="4">
        <v>6065</v>
      </c>
      <c r="G85" s="4">
        <v>-7242</v>
      </c>
      <c r="H85" s="4">
        <v>-5299</v>
      </c>
      <c r="I85" s="4">
        <v>2613</v>
      </c>
      <c r="J85" s="4">
        <v>9669</v>
      </c>
      <c r="K85" s="4">
        <v>-2254</v>
      </c>
    </row>
    <row r="90" spans="1:11" s="4" customFormat="1" x14ac:dyDescent="0.3">
      <c r="A90" s="4" t="s">
        <v>95</v>
      </c>
      <c r="B90" s="4">
        <v>511.13</v>
      </c>
      <c r="C90" s="4">
        <v>565.9</v>
      </c>
      <c r="D90" s="4">
        <v>743.85</v>
      </c>
      <c r="E90" s="4">
        <v>641.5</v>
      </c>
      <c r="F90" s="4">
        <v>1368.05</v>
      </c>
      <c r="G90" s="4">
        <v>1906.85</v>
      </c>
      <c r="H90" s="4">
        <v>1427.95</v>
      </c>
      <c r="I90" s="4">
        <v>1498.05</v>
      </c>
      <c r="J90" s="4">
        <v>1570.65</v>
      </c>
      <c r="K90" s="4">
        <v>1250.5999999999999</v>
      </c>
    </row>
    <row r="92" spans="1:11" s="4" customFormat="1" x14ac:dyDescent="0.3">
      <c r="A92" s="4" t="s">
        <v>96</v>
      </c>
    </row>
    <row r="93" spans="1:11" x14ac:dyDescent="0.3">
      <c r="A93" s="3" t="s">
        <v>97</v>
      </c>
      <c r="B93" s="8">
        <v>459.39</v>
      </c>
      <c r="C93" s="8">
        <v>436.82</v>
      </c>
      <c r="D93" s="8">
        <v>436.89</v>
      </c>
      <c r="E93" s="8">
        <v>425.9</v>
      </c>
      <c r="F93" s="8">
        <v>426.07</v>
      </c>
      <c r="G93" s="8">
        <v>420.67</v>
      </c>
      <c r="H93" s="8">
        <v>414.86</v>
      </c>
      <c r="I93" s="8">
        <v>415.09</v>
      </c>
      <c r="J93" s="8">
        <v>415.33</v>
      </c>
      <c r="K93" s="8">
        <v>405.56</v>
      </c>
    </row>
  </sheetData>
  <mergeCells count="2">
    <mergeCell ref="E1:K1"/>
    <mergeCell ref="E2:K2"/>
  </mergeCells>
  <conditionalFormatting sqref="E1:K1">
    <cfRule type="cellIs" dxfId="0" priority="2" operator="notEqual">
      <formula>""</formula>
    </cfRule>
  </conditionalFormatting>
  <hyperlinks>
    <hyperlink ref="E1" r:id="rId1" display="https://www.screener.in/excel/" xr:uid="{00000000-0004-0000-0500-000000000000}"/>
  </hyperlinks>
  <pageMargins left="0.7" right="0.7" top="0.75" bottom="0.75" header="0.511811023622047" footer="0.511811023622047"/>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N37"/>
  <sheetViews>
    <sheetView zoomScaleNormal="100" workbookViewId="0">
      <pane xSplit="1" ySplit="4" topLeftCell="G23" activePane="bottomRight" state="frozen"/>
      <selection pane="topRight" activeCell="B1" sqref="B1"/>
      <selection pane="bottomLeft" activeCell="A5" sqref="A5"/>
      <selection pane="bottomRight" activeCell="A38" sqref="A38"/>
    </sheetView>
  </sheetViews>
  <sheetFormatPr defaultColWidth="8.77734375" defaultRowHeight="14.4" x14ac:dyDescent="0.3"/>
  <cols>
    <col min="1" max="1" width="20.6640625" customWidth="1"/>
    <col min="2" max="6" width="13.44140625" customWidth="1"/>
    <col min="7" max="7" width="14.77734375" customWidth="1"/>
    <col min="8" max="11" width="13.44140625" customWidth="1"/>
    <col min="12" max="12" width="13.33203125" customWidth="1"/>
    <col min="13" max="14" width="12.109375" customWidth="1"/>
  </cols>
  <sheetData>
    <row r="1" spans="1:14" s="1" customFormat="1" x14ac:dyDescent="0.3">
      <c r="A1" s="1" t="str">
        <f>'Data Sheet &gt;'!B1</f>
        <v>INFOSYS LTD</v>
      </c>
      <c r="H1" s="1" t="str">
        <f>UPDATE</f>
        <v/>
      </c>
      <c r="J1" s="12"/>
      <c r="K1" s="12"/>
      <c r="M1" s="1" t="s">
        <v>103</v>
      </c>
    </row>
    <row r="3" spans="1:14" s="1" customFormat="1" x14ac:dyDescent="0.3">
      <c r="A3" s="13" t="s">
        <v>104</v>
      </c>
      <c r="B3" s="6">
        <f>'Data Sheet &gt;'!B16</f>
        <v>42825</v>
      </c>
      <c r="C3" s="6">
        <f>'Data Sheet &gt;'!C16</f>
        <v>43190</v>
      </c>
      <c r="D3" s="6">
        <f>'Data Sheet &gt;'!D16</f>
        <v>43555</v>
      </c>
      <c r="E3" s="6">
        <f>'Data Sheet &gt;'!E16</f>
        <v>43921</v>
      </c>
      <c r="F3" s="6">
        <f>'Data Sheet &gt;'!F16</f>
        <v>44286</v>
      </c>
      <c r="G3" s="6">
        <f>'Data Sheet &gt;'!G16</f>
        <v>44651</v>
      </c>
      <c r="H3" s="6">
        <f>'Data Sheet &gt;'!H16</f>
        <v>45016</v>
      </c>
      <c r="I3" s="6">
        <f>'Data Sheet &gt;'!I16</f>
        <v>45382</v>
      </c>
      <c r="J3" s="6">
        <f>'Data Sheet &gt;'!J16</f>
        <v>45747</v>
      </c>
      <c r="K3" s="6">
        <f>'Data Sheet &gt;'!K16</f>
        <v>46112</v>
      </c>
      <c r="L3" s="14" t="s">
        <v>105</v>
      </c>
      <c r="M3" s="14" t="s">
        <v>106</v>
      </c>
      <c r="N3" s="14" t="s">
        <v>107</v>
      </c>
    </row>
    <row r="4" spans="1:14" s="1" customFormat="1" x14ac:dyDescent="0.3">
      <c r="A4" s="1" t="s">
        <v>0</v>
      </c>
      <c r="B4" s="4">
        <f>'Data Sheet &gt;'!B17</f>
        <v>68484</v>
      </c>
      <c r="C4" s="4">
        <f>'Data Sheet &gt;'!C17</f>
        <v>70522</v>
      </c>
      <c r="D4" s="4">
        <f>'Data Sheet &gt;'!D17</f>
        <v>82675</v>
      </c>
      <c r="E4" s="4">
        <f>'Data Sheet &gt;'!E17</f>
        <v>90791</v>
      </c>
      <c r="F4" s="4">
        <f>'Data Sheet &gt;'!F17</f>
        <v>100472</v>
      </c>
      <c r="G4" s="4">
        <f>'Data Sheet &gt;'!G17</f>
        <v>121641</v>
      </c>
      <c r="H4" s="4">
        <f>'Data Sheet &gt;'!H17</f>
        <v>146767</v>
      </c>
      <c r="I4" s="4">
        <f>'Data Sheet &gt;'!I17</f>
        <v>153670</v>
      </c>
      <c r="J4" s="4">
        <f>'Data Sheet &gt;'!J17</f>
        <v>162990</v>
      </c>
      <c r="K4" s="4">
        <f>'Data Sheet &gt;'!K17</f>
        <v>178650</v>
      </c>
      <c r="L4" s="4">
        <f>SUM(Quarters!H4:K4)</f>
        <v>184582</v>
      </c>
      <c r="M4" s="4">
        <f>$K4+M23*K4</f>
        <v>195814.60519050248</v>
      </c>
      <c r="N4" s="4">
        <f>$K4+N23*L4</f>
        <v>191150.26667865666</v>
      </c>
    </row>
    <row r="5" spans="1:14" x14ac:dyDescent="0.3">
      <c r="A5" t="s">
        <v>83</v>
      </c>
      <c r="B5" s="3">
        <f>SUM('Data Sheet &gt;'!B18,'Data Sheet &gt;'!B20:B24, -1*'Data Sheet &gt;'!B19)</f>
        <v>49880</v>
      </c>
      <c r="C5" s="3">
        <f>SUM('Data Sheet &gt;'!C18,'Data Sheet &gt;'!C20:C24, -1*'Data Sheet &gt;'!C19)</f>
        <v>51700</v>
      </c>
      <c r="D5" s="3">
        <f>SUM('Data Sheet &gt;'!D18,'Data Sheet &gt;'!D20:D24, -1*'Data Sheet &gt;'!D19)</f>
        <v>62505</v>
      </c>
      <c r="E5" s="3">
        <f>SUM('Data Sheet &gt;'!E18,'Data Sheet &gt;'!E20:E24, -1*'Data Sheet &gt;'!E19)</f>
        <v>68524</v>
      </c>
      <c r="F5" s="3">
        <f>SUM('Data Sheet &gt;'!F18,'Data Sheet &gt;'!F20:F24, -1*'Data Sheet &gt;'!F19)</f>
        <v>72583</v>
      </c>
      <c r="G5" s="3">
        <f>SUM('Data Sheet &gt;'!G18,'Data Sheet &gt;'!G20:G24, -1*'Data Sheet &gt;'!G19)</f>
        <v>90150</v>
      </c>
      <c r="H5" s="3">
        <f>SUM('Data Sheet &gt;'!H18,'Data Sheet &gt;'!H20:H24, -1*'Data Sheet &gt;'!H19)</f>
        <v>111637</v>
      </c>
      <c r="I5" s="3">
        <f>SUM('Data Sheet &gt;'!I18,'Data Sheet &gt;'!I20:I24, -1*'Data Sheet &gt;'!I19)</f>
        <v>117245</v>
      </c>
      <c r="J5" s="3">
        <f>SUM('Data Sheet &gt;'!J18,'Data Sheet &gt;'!J20:J24, -1*'Data Sheet &gt;'!J19)</f>
        <v>123754</v>
      </c>
      <c r="K5" s="3">
        <f>SUM('Data Sheet &gt;'!K18,'Data Sheet &gt;'!K20:K24, -1*'Data Sheet &gt;'!K19)</f>
        <v>136370</v>
      </c>
      <c r="L5" s="3">
        <f>SUM(Quarters!H5:K5)</f>
        <v>140837</v>
      </c>
      <c r="M5" s="3">
        <f>M4-M6</f>
        <v>149188.10794479161</v>
      </c>
      <c r="N5" s="3">
        <f>N4-N6</f>
        <v>145848.62071178103</v>
      </c>
    </row>
    <row r="6" spans="1:14" s="1" customFormat="1" x14ac:dyDescent="0.3">
      <c r="A6" s="1" t="s">
        <v>84</v>
      </c>
      <c r="B6" s="4">
        <f t="shared" ref="B6:K6" si="0">B4-B5</f>
        <v>18604</v>
      </c>
      <c r="C6" s="4">
        <f t="shared" si="0"/>
        <v>18822</v>
      </c>
      <c r="D6" s="4">
        <f t="shared" si="0"/>
        <v>20170</v>
      </c>
      <c r="E6" s="4">
        <f t="shared" si="0"/>
        <v>22267</v>
      </c>
      <c r="F6" s="4">
        <f t="shared" si="0"/>
        <v>27889</v>
      </c>
      <c r="G6" s="4">
        <f t="shared" si="0"/>
        <v>31491</v>
      </c>
      <c r="H6" s="4">
        <f t="shared" si="0"/>
        <v>35130</v>
      </c>
      <c r="I6" s="4">
        <f t="shared" si="0"/>
        <v>36425</v>
      </c>
      <c r="J6" s="4">
        <f t="shared" si="0"/>
        <v>39236</v>
      </c>
      <c r="K6" s="4">
        <f t="shared" si="0"/>
        <v>42280</v>
      </c>
      <c r="L6" s="4">
        <f>SUM(Quarters!H6:K6)</f>
        <v>43745</v>
      </c>
      <c r="M6" s="4">
        <f>M4*M24</f>
        <v>46626.497245710874</v>
      </c>
      <c r="N6" s="4">
        <f>N4*N24</f>
        <v>45301.645966875622</v>
      </c>
    </row>
    <row r="7" spans="1:14" x14ac:dyDescent="0.3">
      <c r="A7" t="s">
        <v>78</v>
      </c>
      <c r="B7" s="3">
        <f>'Data Sheet &gt;'!B25</f>
        <v>3050</v>
      </c>
      <c r="C7" s="3">
        <f>'Data Sheet &gt;'!C25</f>
        <v>3311</v>
      </c>
      <c r="D7" s="3">
        <f>'Data Sheet &gt;'!D25</f>
        <v>2882</v>
      </c>
      <c r="E7" s="3">
        <f>'Data Sheet &gt;'!E25</f>
        <v>2803</v>
      </c>
      <c r="F7" s="3">
        <f>'Data Sheet &gt;'!F25</f>
        <v>2201</v>
      </c>
      <c r="G7" s="3">
        <f>'Data Sheet &gt;'!G25</f>
        <v>2295</v>
      </c>
      <c r="H7" s="3">
        <f>'Data Sheet &gt;'!H25</f>
        <v>2701</v>
      </c>
      <c r="I7" s="3">
        <f>'Data Sheet &gt;'!I25</f>
        <v>4711</v>
      </c>
      <c r="J7" s="3">
        <f>'Data Sheet &gt;'!J25</f>
        <v>3600</v>
      </c>
      <c r="K7" s="3">
        <f>'Data Sheet &gt;'!K25</f>
        <v>3033</v>
      </c>
      <c r="L7" s="3">
        <f>SUM(Quarters!H7:K7)</f>
        <v>2975</v>
      </c>
      <c r="M7" s="3">
        <v>0</v>
      </c>
      <c r="N7" s="3">
        <v>0</v>
      </c>
    </row>
    <row r="8" spans="1:14" x14ac:dyDescent="0.3">
      <c r="A8" t="s">
        <v>10</v>
      </c>
      <c r="B8" s="3">
        <f>'Data Sheet &gt;'!B26</f>
        <v>1703</v>
      </c>
      <c r="C8" s="3">
        <f>'Data Sheet &gt;'!C26</f>
        <v>1863</v>
      </c>
      <c r="D8" s="3">
        <f>'Data Sheet &gt;'!D26</f>
        <v>2011</v>
      </c>
      <c r="E8" s="3">
        <f>'Data Sheet &gt;'!E26</f>
        <v>2893</v>
      </c>
      <c r="F8" s="3">
        <f>'Data Sheet &gt;'!F26</f>
        <v>3267</v>
      </c>
      <c r="G8" s="3">
        <f>'Data Sheet &gt;'!G26</f>
        <v>3476</v>
      </c>
      <c r="H8" s="3">
        <f>'Data Sheet &gt;'!H26</f>
        <v>4225</v>
      </c>
      <c r="I8" s="3">
        <f>'Data Sheet &gt;'!I26</f>
        <v>4678</v>
      </c>
      <c r="J8" s="3">
        <f>'Data Sheet &gt;'!J26</f>
        <v>4812</v>
      </c>
      <c r="K8" s="3">
        <f>'Data Sheet &gt;'!K26</f>
        <v>4902</v>
      </c>
      <c r="L8" s="3">
        <f>SUM(Quarters!H8:K8)</f>
        <v>5007</v>
      </c>
      <c r="M8" s="3">
        <f>+$L8</f>
        <v>5007</v>
      </c>
      <c r="N8" s="3">
        <f>+$L8</f>
        <v>5007</v>
      </c>
    </row>
    <row r="9" spans="1:14" x14ac:dyDescent="0.3">
      <c r="A9" t="s">
        <v>9</v>
      </c>
      <c r="B9" s="3">
        <f>'Data Sheet &gt;'!B27</f>
        <v>0</v>
      </c>
      <c r="C9" s="3">
        <f>'Data Sheet &gt;'!C27</f>
        <v>0</v>
      </c>
      <c r="D9" s="3">
        <f>'Data Sheet &gt;'!D27</f>
        <v>0</v>
      </c>
      <c r="E9" s="3">
        <f>'Data Sheet &gt;'!E27</f>
        <v>170</v>
      </c>
      <c r="F9" s="3">
        <f>'Data Sheet &gt;'!F27</f>
        <v>195</v>
      </c>
      <c r="G9" s="3">
        <f>'Data Sheet &gt;'!G27</f>
        <v>200</v>
      </c>
      <c r="H9" s="3">
        <f>'Data Sheet &gt;'!H27</f>
        <v>284</v>
      </c>
      <c r="I9" s="3">
        <f>'Data Sheet &gt;'!I27</f>
        <v>470</v>
      </c>
      <c r="J9" s="3">
        <f>'Data Sheet &gt;'!J27</f>
        <v>416</v>
      </c>
      <c r="K9" s="3">
        <f>'Data Sheet &gt;'!K27</f>
        <v>416</v>
      </c>
      <c r="L9" s="3">
        <f>SUM(Quarters!H9:K9)</f>
        <v>430</v>
      </c>
      <c r="M9" s="3">
        <f>+$L9</f>
        <v>430</v>
      </c>
      <c r="N9" s="3">
        <f>+$L9</f>
        <v>430</v>
      </c>
    </row>
    <row r="10" spans="1:14" x14ac:dyDescent="0.3">
      <c r="A10" t="s">
        <v>79</v>
      </c>
      <c r="B10" s="3">
        <f>'Data Sheet &gt;'!B28</f>
        <v>19951</v>
      </c>
      <c r="C10" s="3">
        <f>'Data Sheet &gt;'!C28</f>
        <v>20270</v>
      </c>
      <c r="D10" s="3">
        <f>'Data Sheet &gt;'!D28</f>
        <v>21041</v>
      </c>
      <c r="E10" s="3">
        <f>'Data Sheet &gt;'!E28</f>
        <v>22007</v>
      </c>
      <c r="F10" s="3">
        <f>'Data Sheet &gt;'!F28</f>
        <v>26628</v>
      </c>
      <c r="G10" s="3">
        <f>'Data Sheet &gt;'!G28</f>
        <v>30110</v>
      </c>
      <c r="H10" s="3">
        <f>'Data Sheet &gt;'!H28</f>
        <v>33322</v>
      </c>
      <c r="I10" s="3">
        <f>'Data Sheet &gt;'!I28</f>
        <v>35988</v>
      </c>
      <c r="J10" s="3">
        <f>'Data Sheet &gt;'!J28</f>
        <v>37608</v>
      </c>
      <c r="K10" s="3">
        <f>'Data Sheet &gt;'!K28</f>
        <v>39995</v>
      </c>
      <c r="L10" s="3">
        <f>SUM(Quarters!H10:K10)</f>
        <v>41283</v>
      </c>
      <c r="M10" s="3">
        <f>M6+M7-SUM(M8:M9)</f>
        <v>41189.497245710874</v>
      </c>
      <c r="N10" s="3">
        <f>N6+N7-SUM(N8:N9)</f>
        <v>39864.645966875622</v>
      </c>
    </row>
    <row r="11" spans="1:14" x14ac:dyDescent="0.3">
      <c r="A11" t="s">
        <v>12</v>
      </c>
      <c r="B11" s="3">
        <f>'Data Sheet &gt;'!B29</f>
        <v>5598</v>
      </c>
      <c r="C11" s="3">
        <f>'Data Sheet &gt;'!C29</f>
        <v>4241</v>
      </c>
      <c r="D11" s="3">
        <f>'Data Sheet &gt;'!D29</f>
        <v>5631</v>
      </c>
      <c r="E11" s="3">
        <f>'Data Sheet &gt;'!E29</f>
        <v>5368</v>
      </c>
      <c r="F11" s="3">
        <f>'Data Sheet &gt;'!F29</f>
        <v>7205</v>
      </c>
      <c r="G11" s="3">
        <f>'Data Sheet &gt;'!G29</f>
        <v>7964</v>
      </c>
      <c r="H11" s="3">
        <f>'Data Sheet &gt;'!H29</f>
        <v>9214</v>
      </c>
      <c r="I11" s="3">
        <f>'Data Sheet &gt;'!I29</f>
        <v>9740</v>
      </c>
      <c r="J11" s="3">
        <f>'Data Sheet &gt;'!J29</f>
        <v>10858</v>
      </c>
      <c r="K11" s="3">
        <f>'Data Sheet &gt;'!K29</f>
        <v>10521</v>
      </c>
      <c r="L11" s="3">
        <f>SUM(Quarters!H11:K11)</f>
        <v>10958</v>
      </c>
      <c r="M11" s="15">
        <f>IF($L10&gt;0,$L11/$L10,0)</f>
        <v>0.26543613593973309</v>
      </c>
      <c r="N11" s="15">
        <f>IF($L10&gt;0,$L11/$L10,0)</f>
        <v>0.26543613593973309</v>
      </c>
    </row>
    <row r="12" spans="1:14" s="1" customFormat="1" x14ac:dyDescent="0.3">
      <c r="A12" s="1" t="s">
        <v>80</v>
      </c>
      <c r="B12" s="4">
        <f>'Data Sheet &gt;'!B30</f>
        <v>14353</v>
      </c>
      <c r="C12" s="4">
        <f>'Data Sheet &gt;'!C30</f>
        <v>16029</v>
      </c>
      <c r="D12" s="4">
        <f>'Data Sheet &gt;'!D30</f>
        <v>15404</v>
      </c>
      <c r="E12" s="4">
        <f>'Data Sheet &gt;'!E30</f>
        <v>16594</v>
      </c>
      <c r="F12" s="4">
        <f>'Data Sheet &gt;'!F30</f>
        <v>19351</v>
      </c>
      <c r="G12" s="4">
        <f>'Data Sheet &gt;'!G30</f>
        <v>22110</v>
      </c>
      <c r="H12" s="4">
        <f>'Data Sheet &gt;'!H30</f>
        <v>24095</v>
      </c>
      <c r="I12" s="4">
        <f>'Data Sheet &gt;'!I30</f>
        <v>26233</v>
      </c>
      <c r="J12" s="4">
        <f>'Data Sheet &gt;'!J30</f>
        <v>26713</v>
      </c>
      <c r="K12" s="4">
        <f>'Data Sheet &gt;'!K30</f>
        <v>29440</v>
      </c>
      <c r="L12" s="4">
        <f>SUM(Quarters!H12:K12)</f>
        <v>30288</v>
      </c>
      <c r="M12" s="4">
        <f>M10-M11*M10</f>
        <v>30256.3162555091</v>
      </c>
      <c r="N12" s="4">
        <f>N10-N11*N10</f>
        <v>29283.128380822691</v>
      </c>
    </row>
    <row r="13" spans="1:14" x14ac:dyDescent="0.3">
      <c r="A13" t="s">
        <v>58</v>
      </c>
      <c r="B13" s="3">
        <f>IF('Data Sheet &gt;'!B93&gt;0,B12/'Data Sheet &gt;'!B93,0)</f>
        <v>31.243605650971944</v>
      </c>
      <c r="C13" s="3">
        <f>IF('Data Sheet &gt;'!C93&gt;0,C12/'Data Sheet &gt;'!C93,0)</f>
        <v>36.694748408955633</v>
      </c>
      <c r="D13" s="3">
        <f>IF('Data Sheet &gt;'!D93&gt;0,D12/'Data Sheet &gt;'!D93,0)</f>
        <v>35.258303005333154</v>
      </c>
      <c r="E13" s="3">
        <f>IF('Data Sheet &gt;'!E93&gt;0,E12/'Data Sheet &gt;'!E93,0)</f>
        <v>38.962197698990373</v>
      </c>
      <c r="F13" s="3">
        <f>IF('Data Sheet &gt;'!F93&gt;0,F12/'Data Sheet &gt;'!F93,0)</f>
        <v>45.417419672823712</v>
      </c>
      <c r="G13" s="3">
        <f>IF('Data Sheet &gt;'!G93&gt;0,G12/'Data Sheet &gt;'!G93,0)</f>
        <v>52.559013003066532</v>
      </c>
      <c r="H13" s="3">
        <f>IF('Data Sheet &gt;'!H93&gt;0,H12/'Data Sheet &gt;'!H93,0)</f>
        <v>58.079834160921756</v>
      </c>
      <c r="I13" s="3">
        <f>IF('Data Sheet &gt;'!I93&gt;0,I12/'Data Sheet &gt;'!I93,0)</f>
        <v>63.198342528126432</v>
      </c>
      <c r="J13" s="3">
        <f>IF('Data Sheet &gt;'!J93&gt;0,J12/'Data Sheet &gt;'!J93,0)</f>
        <v>64.317530638287636</v>
      </c>
      <c r="K13" s="3">
        <f>IF('Data Sheet &gt;'!K93&gt;0,K12/'Data Sheet &gt;'!K93,0)</f>
        <v>72.590985304270632</v>
      </c>
      <c r="L13" s="3">
        <f>IF('Data Sheet &gt;'!$B6&gt;0,'Profit &amp; Loss'!L12/'Data Sheet &gt;'!$B6,0)</f>
        <v>74.559534185998984</v>
      </c>
      <c r="M13" s="3">
        <f>IF('Data Sheet &gt;'!$B6&gt;0,'Profit &amp; Loss'!M12/'Data Sheet &gt;'!$B6,0)</f>
        <v>74.481538767664674</v>
      </c>
      <c r="N13" s="3">
        <f>IF('Data Sheet &gt;'!$B6&gt;0,'Profit &amp; Loss'!N12/'Data Sheet &gt;'!$B6,0)</f>
        <v>72.085856166896008</v>
      </c>
    </row>
    <row r="14" spans="1:14" x14ac:dyDescent="0.3">
      <c r="A14" t="s">
        <v>108</v>
      </c>
      <c r="B14" s="3">
        <f t="shared" ref="B14:K14" si="1">IF(B15&gt;0,B15/B13,"")</f>
        <v>16.359507468821846</v>
      </c>
      <c r="C14" s="3">
        <f t="shared" si="1"/>
        <v>15.421825316613639</v>
      </c>
      <c r="D14" s="3">
        <f t="shared" si="1"/>
        <v>21.097158303038171</v>
      </c>
      <c r="E14" s="3">
        <f t="shared" si="1"/>
        <v>16.464676991683742</v>
      </c>
      <c r="F14" s="3">
        <f t="shared" si="1"/>
        <v>30.121702418479664</v>
      </c>
      <c r="G14" s="3">
        <f t="shared" si="1"/>
        <v>36.280171393034827</v>
      </c>
      <c r="H14" s="3">
        <f t="shared" si="1"/>
        <v>24.585986179705333</v>
      </c>
      <c r="I14" s="3">
        <f t="shared" si="1"/>
        <v>23.703944440208897</v>
      </c>
      <c r="J14" s="3">
        <f t="shared" si="1"/>
        <v>24.420247239171935</v>
      </c>
      <c r="K14" s="3">
        <f t="shared" si="1"/>
        <v>17.228034510869566</v>
      </c>
      <c r="L14" s="3">
        <f>IF(L13&gt;0,L15/L13,0)</f>
        <v>13.59785855784469</v>
      </c>
      <c r="M14" s="3">
        <f>M25</f>
        <v>19.73752118702377</v>
      </c>
      <c r="N14" s="3">
        <f>N25</f>
        <v>13.59785855784469</v>
      </c>
    </row>
    <row r="15" spans="1:14" s="1" customFormat="1" x14ac:dyDescent="0.3">
      <c r="A15" s="1" t="s">
        <v>109</v>
      </c>
      <c r="B15" s="4">
        <f>'Data Sheet &gt;'!B90</f>
        <v>511.13</v>
      </c>
      <c r="C15" s="4">
        <f>'Data Sheet &gt;'!C90</f>
        <v>565.9</v>
      </c>
      <c r="D15" s="4">
        <f>'Data Sheet &gt;'!D90</f>
        <v>743.85</v>
      </c>
      <c r="E15" s="4">
        <f>'Data Sheet &gt;'!E90</f>
        <v>641.5</v>
      </c>
      <c r="F15" s="4">
        <f>'Data Sheet &gt;'!F90</f>
        <v>1368.05</v>
      </c>
      <c r="G15" s="4">
        <f>'Data Sheet &gt;'!G90</f>
        <v>1906.85</v>
      </c>
      <c r="H15" s="4">
        <f>'Data Sheet &gt;'!H90</f>
        <v>1427.95</v>
      </c>
      <c r="I15" s="4">
        <f>'Data Sheet &gt;'!I90</f>
        <v>1498.05</v>
      </c>
      <c r="J15" s="4">
        <f>'Data Sheet &gt;'!J90</f>
        <v>1570.65</v>
      </c>
      <c r="K15" s="4">
        <f>'Data Sheet &gt;'!K90</f>
        <v>1250.5999999999999</v>
      </c>
      <c r="L15" s="4">
        <f>'Data Sheet &gt;'!B8</f>
        <v>1013.85</v>
      </c>
      <c r="M15" s="16">
        <f>M13*M14</f>
        <v>1470.0809494689138</v>
      </c>
      <c r="N15" s="17">
        <f>N13*N14</f>
        <v>980.21327617858833</v>
      </c>
    </row>
    <row r="17" spans="1:14" s="1" customFormat="1" x14ac:dyDescent="0.3">
      <c r="A17" s="1" t="s">
        <v>110</v>
      </c>
    </row>
    <row r="18" spans="1:14" x14ac:dyDescent="0.3">
      <c r="A18" t="s">
        <v>111</v>
      </c>
      <c r="B18" s="18">
        <f>IF('Data Sheet &gt;'!B30&gt;0, 'Data Sheet &gt;'!B31/'Data Sheet &gt;'!B30, 0)</f>
        <v>0.4104786455793214</v>
      </c>
      <c r="C18" s="18">
        <f>IF('Data Sheet &gt;'!C30&gt;0, 'Data Sheet &gt;'!C31/'Data Sheet &gt;'!C30, 0)</f>
        <v>0.5905296649822197</v>
      </c>
      <c r="D18" s="18">
        <f>IF('Data Sheet &gt;'!D30&gt;0, 'Data Sheet &gt;'!D31/'Data Sheet &gt;'!D30, 0)</f>
        <v>0.5987081277590236</v>
      </c>
      <c r="E18" s="18">
        <f>IF('Data Sheet &gt;'!E30&gt;0, 'Data Sheet &gt;'!E31/'Data Sheet &gt;'!E30, 0)</f>
        <v>0.44757141135350126</v>
      </c>
      <c r="F18" s="18">
        <f>IF('Data Sheet &gt;'!F30&gt;0, 'Data Sheet &gt;'!F31/'Data Sheet &gt;'!F30, 0)</f>
        <v>0.59271355485504629</v>
      </c>
      <c r="G18" s="18">
        <f>IF('Data Sheet &gt;'!G30&gt;0, 'Data Sheet &gt;'!G31/'Data Sheet &gt;'!G30, 0)</f>
        <v>0.58831298055178649</v>
      </c>
      <c r="H18" s="18">
        <f>IF('Data Sheet &gt;'!H30&gt;0, 'Data Sheet &gt;'!H31/'Data Sheet &gt;'!H30, 0)</f>
        <v>0.58390537455903713</v>
      </c>
      <c r="I18" s="18">
        <f>IF('Data Sheet &gt;'!I30&gt;0, 'Data Sheet &gt;'!I31/'Data Sheet &gt;'!I30, 0)</f>
        <v>0.72630656043914155</v>
      </c>
      <c r="J18" s="18">
        <f>IF('Data Sheet &gt;'!J30&gt;0, 'Data Sheet &gt;'!J31/'Data Sheet &gt;'!J30, 0)</f>
        <v>0.66738292217272488</v>
      </c>
      <c r="K18" s="18">
        <f>IF('Data Sheet &gt;'!K30&gt;0, 'Data Sheet &gt;'!K31/'Data Sheet &gt;'!K30, 0)</f>
        <v>0.66</v>
      </c>
    </row>
    <row r="19" spans="1:14" x14ac:dyDescent="0.3">
      <c r="A19" t="s">
        <v>112</v>
      </c>
      <c r="B19" s="18">
        <f t="shared" ref="B19:L19" si="2">IF(B6&gt;0,B6/B4,0)</f>
        <v>0.27165469306699375</v>
      </c>
      <c r="C19" s="18">
        <f t="shared" si="2"/>
        <v>0.26689543688494372</v>
      </c>
      <c r="D19" s="18">
        <f t="shared" si="2"/>
        <v>0.24396734200181433</v>
      </c>
      <c r="E19" s="18">
        <f t="shared" si="2"/>
        <v>0.24525558700752279</v>
      </c>
      <c r="F19" s="18">
        <f t="shared" si="2"/>
        <v>0.27757982323433394</v>
      </c>
      <c r="G19" s="18">
        <f t="shared" si="2"/>
        <v>0.25888475102966929</v>
      </c>
      <c r="H19" s="18">
        <f t="shared" si="2"/>
        <v>0.23935898396778568</v>
      </c>
      <c r="I19" s="18">
        <f t="shared" si="2"/>
        <v>0.23703390381987374</v>
      </c>
      <c r="J19" s="18">
        <f t="shared" si="2"/>
        <v>0.24072642493404503</v>
      </c>
      <c r="K19" s="18">
        <f t="shared" si="2"/>
        <v>0.23666386789812482</v>
      </c>
      <c r="L19" s="18">
        <f t="shared" si="2"/>
        <v>0.23699493991830189</v>
      </c>
    </row>
    <row r="20" spans="1:14" x14ac:dyDescent="0.3">
      <c r="B20" s="18"/>
      <c r="C20" s="18"/>
      <c r="D20" s="18"/>
      <c r="E20" s="18"/>
      <c r="F20" s="18"/>
      <c r="G20" s="18"/>
      <c r="H20" s="18"/>
      <c r="I20" s="18"/>
      <c r="J20" s="18"/>
      <c r="K20" s="18"/>
      <c r="L20" s="18"/>
    </row>
    <row r="21" spans="1:14" x14ac:dyDescent="0.3">
      <c r="B21" s="18"/>
      <c r="C21" s="18"/>
      <c r="D21" s="18"/>
      <c r="E21" s="18"/>
      <c r="F21" s="18"/>
      <c r="G21" s="18"/>
      <c r="H21" s="18"/>
      <c r="I21" s="18"/>
      <c r="J21" s="18"/>
      <c r="K21" s="18"/>
      <c r="L21" s="18"/>
    </row>
    <row r="22" spans="1:14" s="1" customFormat="1" x14ac:dyDescent="0.3">
      <c r="A22" s="13"/>
      <c r="B22" s="6"/>
      <c r="C22" s="6"/>
      <c r="D22" s="6"/>
      <c r="E22" s="6"/>
      <c r="F22" s="6"/>
      <c r="G22" s="6" t="s">
        <v>113</v>
      </c>
      <c r="H22" s="6" t="s">
        <v>114</v>
      </c>
      <c r="I22" s="6" t="s">
        <v>115</v>
      </c>
      <c r="J22" s="6" t="s">
        <v>116</v>
      </c>
      <c r="K22" s="6" t="s">
        <v>117</v>
      </c>
      <c r="L22" s="14" t="s">
        <v>118</v>
      </c>
      <c r="M22" s="14" t="s">
        <v>119</v>
      </c>
      <c r="N22" s="14" t="s">
        <v>120</v>
      </c>
    </row>
    <row r="23" spans="1:14" s="1" customFormat="1" x14ac:dyDescent="0.3">
      <c r="G23" s="1" t="s">
        <v>1</v>
      </c>
      <c r="H23" s="18">
        <f>IF(B4=0,"",POWER($K4/B4,1/9)-1)</f>
        <v>0.11241852195135271</v>
      </c>
      <c r="I23" s="18">
        <f>IF(D4=0,"",POWER($K4/D4,1/7)-1)</f>
        <v>0.11635961365932812</v>
      </c>
      <c r="J23" s="18">
        <f>IF(F4=0,"",POWER($K4/F4,1/5)-1)</f>
        <v>0.12199673885587958</v>
      </c>
      <c r="K23" s="18">
        <f>IF(H4=0,"",POWER($K4/H4, 1/3)-1)</f>
        <v>6.772202424210727E-2</v>
      </c>
      <c r="L23" s="18">
        <f>IF(ISERROR(MAX(IF(J4=0,"",(K4-J4)/J4),IF(K4=0,"",(L4-K4)/K4))),"",MAX(IF(J4=0,"",(K4-J4)/J4),IF(K4=0,"",(L4-K4)/K4)))</f>
        <v>9.6079514080618447E-2</v>
      </c>
      <c r="M23" s="19">
        <f>MAX(K23:L23)</f>
        <v>9.6079514080618447E-2</v>
      </c>
      <c r="N23" s="19">
        <f>MIN(H23:L23)</f>
        <v>6.772202424210727E-2</v>
      </c>
    </row>
    <row r="24" spans="1:14" x14ac:dyDescent="0.3">
      <c r="G24" t="s">
        <v>112</v>
      </c>
      <c r="H24" s="18">
        <f>IF(SUM(B4:$K$4)=0,"",SUMPRODUCT(B19:$K$19,B4:$K$4)/SUM(B4:$K$4))</f>
        <v>0.24842648101153941</v>
      </c>
      <c r="I24" s="18">
        <f>IF(SUM(E4:$K$4)=0,"",SUMPRODUCT(E19:$K$19,E4:$K$4)/SUM(E4:$K$4))</f>
        <v>0.24578290039278269</v>
      </c>
      <c r="J24" s="18">
        <f>IF(SUM(G4:$K$4)=0,"",SUMPRODUCT(G19:$K$19,G4:$K$4)/SUM(G4:$K$4))</f>
        <v>0.241662498461474</v>
      </c>
      <c r="K24" s="18">
        <f>IF(SUM(I4:$K$4)=0, "", SUMPRODUCT(I19:$K$19,I4:$K$4)/SUM(I4:$K$4))</f>
        <v>0.23811552361147564</v>
      </c>
      <c r="L24" s="18">
        <f>L19</f>
        <v>0.23699493991830189</v>
      </c>
      <c r="M24" s="19">
        <f>MAX(K24:L24)</f>
        <v>0.23811552361147564</v>
      </c>
      <c r="N24" s="19">
        <f>MIN(H24:L24)</f>
        <v>0.23699493991830189</v>
      </c>
    </row>
    <row r="25" spans="1:14" x14ac:dyDescent="0.3">
      <c r="G25" t="s">
        <v>121</v>
      </c>
      <c r="H25" s="3">
        <f>IF(ISERROR(AVERAGEIF(B14:$L14,"&gt;0")),"",AVERAGEIF(B14:$L14,"&gt;0"))</f>
        <v>21.752828438133847</v>
      </c>
      <c r="I25" s="3">
        <f>IF(ISERROR(AVERAGEIF(E14:$L14,"&gt;0")),"",AVERAGEIF(E14:$L14,"&gt;0"))</f>
        <v>23.300327716374834</v>
      </c>
      <c r="J25" s="3">
        <f>IF(ISERROR(AVERAGEIF(G14:$L14,"&gt;0")),"",AVERAGEIF(G14:$L14,"&gt;0"))</f>
        <v>23.302707053472545</v>
      </c>
      <c r="K25" s="3">
        <f>IF(ISERROR(AVERAGEIF(I14:$L14,"&gt;0")),"",AVERAGEIF(I14:$L14,"&gt;0"))</f>
        <v>19.73752118702377</v>
      </c>
      <c r="L25" s="3">
        <f>L14</f>
        <v>13.59785855784469</v>
      </c>
      <c r="M25" s="4">
        <f>MAX(K25:L25)</f>
        <v>19.73752118702377</v>
      </c>
      <c r="N25" s="4">
        <f>MIN(H25:L25)</f>
        <v>13.59785855784469</v>
      </c>
    </row>
    <row r="28" spans="1:14" x14ac:dyDescent="0.3">
      <c r="A28" t="s">
        <v>8727</v>
      </c>
      <c r="B28" s="192">
        <f>B13*B18</f>
        <v>12.824832930625396</v>
      </c>
      <c r="C28" s="192">
        <f t="shared" ref="C28:K28" si="3">C13*C18</f>
        <v>21.669337484547409</v>
      </c>
      <c r="D28" s="192">
        <f t="shared" si="3"/>
        <v>21.109432580283368</v>
      </c>
      <c r="E28" s="192">
        <f t="shared" si="3"/>
        <v>17.438365813571259</v>
      </c>
      <c r="F28" s="192">
        <f t="shared" si="3"/>
        <v>26.919520266622854</v>
      </c>
      <c r="G28" s="192">
        <f t="shared" si="3"/>
        <v>30.921149594694175</v>
      </c>
      <c r="H28" s="192">
        <f t="shared" si="3"/>
        <v>33.913127320059779</v>
      </c>
      <c r="I28" s="192">
        <f t="shared" si="3"/>
        <v>45.901370787058227</v>
      </c>
      <c r="J28" s="192">
        <f t="shared" si="3"/>
        <v>42.924421544314164</v>
      </c>
      <c r="K28" s="192">
        <f t="shared" si="3"/>
        <v>47.910050300818618</v>
      </c>
    </row>
    <row r="29" spans="1:14" x14ac:dyDescent="0.3">
      <c r="A29" t="s">
        <v>217</v>
      </c>
      <c r="C29" s="76">
        <f>C28/B28-1</f>
        <v>0.68963896853592122</v>
      </c>
      <c r="D29" s="76">
        <f t="shared" ref="D29:K29" si="4">D28/C28-1</f>
        <v>-2.583857972876713E-2</v>
      </c>
      <c r="E29" s="76">
        <f t="shared" si="4"/>
        <v>-0.17390646350868566</v>
      </c>
      <c r="F29" s="76">
        <f t="shared" si="4"/>
        <v>0.54369512340846571</v>
      </c>
      <c r="G29" s="76">
        <f t="shared" si="4"/>
        <v>0.148651583996944</v>
      </c>
      <c r="H29" s="76">
        <f t="shared" si="4"/>
        <v>9.6761529392781931E-2</v>
      </c>
      <c r="I29" s="76">
        <f t="shared" si="4"/>
        <v>0.35349861290755524</v>
      </c>
      <c r="J29" s="76">
        <f t="shared" si="4"/>
        <v>-6.4855345095345296E-2</v>
      </c>
      <c r="K29" s="76">
        <f t="shared" si="4"/>
        <v>0.11614900276192208</v>
      </c>
    </row>
    <row r="31" spans="1:14" x14ac:dyDescent="0.3">
      <c r="A31" t="s">
        <v>68</v>
      </c>
      <c r="B31" s="192">
        <f>'Data Sheet &gt;'!B93*'Data Sheet &gt;'!B90</f>
        <v>234808.01069999998</v>
      </c>
      <c r="C31" s="192">
        <f>'Data Sheet &gt;'!C93*'Data Sheet &gt;'!C90</f>
        <v>247196.43799999999</v>
      </c>
      <c r="D31" s="192">
        <f>'Data Sheet &gt;'!D93*'Data Sheet &gt;'!D90</f>
        <v>324980.62650000001</v>
      </c>
      <c r="E31" s="192">
        <f>'Data Sheet &gt;'!E93*'Data Sheet &gt;'!E90</f>
        <v>273214.84999999998</v>
      </c>
      <c r="F31" s="192">
        <f>'Data Sheet &gt;'!F93*'Data Sheet &gt;'!F90</f>
        <v>582885.06349999993</v>
      </c>
      <c r="G31" s="192">
        <f>'Data Sheet &gt;'!G93*'Data Sheet &gt;'!G90</f>
        <v>802154.5895</v>
      </c>
      <c r="H31" s="192">
        <f>'Data Sheet &gt;'!H93*'Data Sheet &gt;'!H90</f>
        <v>592399.33700000006</v>
      </c>
      <c r="I31" s="192">
        <f>'Data Sheet &gt;'!I93*'Data Sheet &gt;'!I90</f>
        <v>621825.57449999999</v>
      </c>
      <c r="J31" s="192">
        <f>'Data Sheet &gt;'!J93*'Data Sheet &gt;'!J90</f>
        <v>652338.06449999998</v>
      </c>
      <c r="K31" s="192">
        <f>'Data Sheet &gt;'!K93*'Data Sheet &gt;'!K90</f>
        <v>507193.33599999995</v>
      </c>
    </row>
    <row r="32" spans="1:14" x14ac:dyDescent="0.3">
      <c r="A32" t="s">
        <v>434</v>
      </c>
      <c r="B32" s="192">
        <f>'Data Sheet &gt;'!B59</f>
        <v>0</v>
      </c>
      <c r="C32" s="192">
        <f>'Data Sheet &gt;'!C59</f>
        <v>0</v>
      </c>
      <c r="D32" s="192">
        <f>'Data Sheet &gt;'!D59</f>
        <v>0</v>
      </c>
      <c r="E32" s="192">
        <f>'Data Sheet &gt;'!E59</f>
        <v>4633</v>
      </c>
      <c r="F32" s="192">
        <f>'Data Sheet &gt;'!F59</f>
        <v>5325</v>
      </c>
      <c r="G32" s="192">
        <f>'Data Sheet &gt;'!G59</f>
        <v>5474</v>
      </c>
      <c r="H32" s="192">
        <f>'Data Sheet &gt;'!H59</f>
        <v>8299</v>
      </c>
      <c r="I32" s="192">
        <f>'Data Sheet &gt;'!I59</f>
        <v>8359</v>
      </c>
      <c r="J32" s="192">
        <f>'Data Sheet &gt;'!J59</f>
        <v>8227</v>
      </c>
      <c r="K32" s="192">
        <f>'Data Sheet &gt;'!K59</f>
        <v>9176</v>
      </c>
    </row>
    <row r="33" spans="1:11" x14ac:dyDescent="0.3">
      <c r="A33" t="s">
        <v>432</v>
      </c>
      <c r="B33" s="192">
        <f>'Data Sheet &gt;'!B69</f>
        <v>22625</v>
      </c>
      <c r="C33" s="192">
        <f>'Data Sheet &gt;'!C69</f>
        <v>19818</v>
      </c>
      <c r="D33" s="192">
        <f>'Data Sheet &gt;'!D69</f>
        <v>19568</v>
      </c>
      <c r="E33" s="192">
        <f>'Data Sheet &gt;'!E69</f>
        <v>18649</v>
      </c>
      <c r="F33" s="192">
        <f>'Data Sheet &gt;'!F69</f>
        <v>24714</v>
      </c>
      <c r="G33" s="192">
        <f>'Data Sheet &gt;'!G69</f>
        <v>17472</v>
      </c>
      <c r="H33" s="192">
        <f>'Data Sheet &gt;'!H69</f>
        <v>12173</v>
      </c>
      <c r="I33" s="192">
        <f>'Data Sheet &gt;'!I69</f>
        <v>14786</v>
      </c>
      <c r="J33" s="192">
        <f>'Data Sheet &gt;'!J69</f>
        <v>24455</v>
      </c>
      <c r="K33" s="192">
        <f>'Data Sheet &gt;'!K69</f>
        <v>22201</v>
      </c>
    </row>
    <row r="34" spans="1:11" x14ac:dyDescent="0.3">
      <c r="A34" t="s">
        <v>8732</v>
      </c>
      <c r="B34" s="192">
        <f>B31+B32-B33</f>
        <v>212183.01069999998</v>
      </c>
      <c r="C34" s="192">
        <f t="shared" ref="C34:K34" si="5">C31+C32-C33</f>
        <v>227378.43799999999</v>
      </c>
      <c r="D34" s="192">
        <f t="shared" si="5"/>
        <v>305412.62650000001</v>
      </c>
      <c r="E34" s="192">
        <f t="shared" si="5"/>
        <v>259198.84999999998</v>
      </c>
      <c r="F34" s="192">
        <f t="shared" si="5"/>
        <v>563496.06349999993</v>
      </c>
      <c r="G34" s="192">
        <f t="shared" si="5"/>
        <v>790156.5895</v>
      </c>
      <c r="H34" s="192">
        <f t="shared" si="5"/>
        <v>588525.33700000006</v>
      </c>
      <c r="I34" s="192">
        <f t="shared" si="5"/>
        <v>615398.57449999999</v>
      </c>
      <c r="J34" s="192">
        <f t="shared" si="5"/>
        <v>636110.06449999998</v>
      </c>
      <c r="K34" s="192">
        <f t="shared" si="5"/>
        <v>494168.33599999995</v>
      </c>
    </row>
    <row r="35" spans="1:11" x14ac:dyDescent="0.3">
      <c r="A35" t="s">
        <v>447</v>
      </c>
      <c r="B35" s="192">
        <f>B34/B6</f>
        <v>11.405236008385293</v>
      </c>
      <c r="C35" s="192">
        <f t="shared" ref="C35:K35" si="6">C34/C6</f>
        <v>12.080461056210817</v>
      </c>
      <c r="D35" s="192">
        <f t="shared" si="6"/>
        <v>15.141924962816065</v>
      </c>
      <c r="E35" s="192">
        <f t="shared" si="6"/>
        <v>11.640492657295548</v>
      </c>
      <c r="F35" s="192">
        <f t="shared" si="6"/>
        <v>20.204957635626947</v>
      </c>
      <c r="G35" s="192">
        <f t="shared" si="6"/>
        <v>25.091505176082055</v>
      </c>
      <c r="H35" s="192">
        <f t="shared" si="6"/>
        <v>16.752784998576718</v>
      </c>
      <c r="I35" s="192">
        <f t="shared" si="6"/>
        <v>16.894950569663692</v>
      </c>
      <c r="J35" s="192">
        <f t="shared" si="6"/>
        <v>16.21240861708635</v>
      </c>
      <c r="K35" s="192">
        <f t="shared" si="6"/>
        <v>11.687992809839166</v>
      </c>
    </row>
    <row r="36" spans="1:11" x14ac:dyDescent="0.3">
      <c r="A36" t="s">
        <v>8728</v>
      </c>
      <c r="B36" s="192">
        <f>B34/B4</f>
        <v>3.0982858872145318</v>
      </c>
      <c r="C36" s="192">
        <f t="shared" ref="C36:K36" si="7">C34/C4</f>
        <v>3.2242199313689346</v>
      </c>
      <c r="D36" s="192">
        <f t="shared" si="7"/>
        <v>3.6941351859691567</v>
      </c>
      <c r="E36" s="192">
        <f t="shared" si="7"/>
        <v>2.8548958597217782</v>
      </c>
      <c r="F36" s="192">
        <f t="shared" si="7"/>
        <v>5.6084885689545336</v>
      </c>
      <c r="G36" s="192">
        <f t="shared" si="7"/>
        <v>6.4958080704696606</v>
      </c>
      <c r="H36" s="192">
        <f t="shared" si="7"/>
        <v>4.0099295958900845</v>
      </c>
      <c r="I36" s="192">
        <f t="shared" si="7"/>
        <v>4.0046760883711849</v>
      </c>
      <c r="J36" s="192">
        <f t="shared" si="7"/>
        <v>3.9027551659611017</v>
      </c>
      <c r="K36" s="192">
        <f t="shared" si="7"/>
        <v>2.7661255863420093</v>
      </c>
    </row>
    <row r="37" spans="1:11" x14ac:dyDescent="0.3">
      <c r="A37" t="s">
        <v>8734</v>
      </c>
      <c r="B37" s="192">
        <f>B31/'His Balance Sheet'!B26</f>
        <v>3.4039026224232405</v>
      </c>
      <c r="C37" s="192">
        <f>C31/'His Balance Sheet'!C26</f>
        <v>3.8075325847542474</v>
      </c>
      <c r="D37" s="192">
        <f>D31/'His Balance Sheet'!D26</f>
        <v>5.003704910081912</v>
      </c>
      <c r="E37" s="192">
        <f>E31/'His Balance Sheet'!E26</f>
        <v>4.1744056531703588</v>
      </c>
      <c r="F37" s="192">
        <f>F31/'His Balance Sheet'!F26</f>
        <v>7.6342819805896447</v>
      </c>
      <c r="G37" s="192">
        <f>G31/'His Balance Sheet'!G26</f>
        <v>10.645714525547445</v>
      </c>
      <c r="H37" s="192">
        <f>H31/'His Balance Sheet'!H26</f>
        <v>7.8560257933613595</v>
      </c>
      <c r="I37" s="192">
        <f>I31/'His Balance Sheet'!I26</f>
        <v>7.056897436333923</v>
      </c>
      <c r="J37" s="192">
        <f>J31/'His Balance Sheet'!J26</f>
        <v>6.8080951856644889</v>
      </c>
      <c r="K37" s="192">
        <f>K31/'His Balance Sheet'!K26</f>
        <v>5.4623846120708217</v>
      </c>
    </row>
  </sheetData>
  <hyperlinks>
    <hyperlink ref="M1" r:id="rId1" xr:uid="{00000000-0004-0000-0700-000000000000}"/>
  </hyperlinks>
  <printOptions gridLines="1"/>
  <pageMargins left="0.7" right="0.7" top="0.75" bottom="0.75" header="0.511811023622047" footer="0.511811023622047"/>
  <pageSetup paperSize="9" scale="67" orientation="landscape" horizontalDpi="300" verticalDpi="300" r:id="rId2"/>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32"/>
  <sheetViews>
    <sheetView topLeftCell="A7" zoomScaleNormal="100" workbookViewId="0">
      <pane xSplit="2" topLeftCell="J1" activePane="topRight" state="frozen"/>
      <selection pane="topRight" activeCell="J4" sqref="J4"/>
    </sheetView>
  </sheetViews>
  <sheetFormatPr defaultColWidth="8.6640625" defaultRowHeight="14.4" x14ac:dyDescent="0.3"/>
  <cols>
    <col min="2" max="2" width="25.77734375" customWidth="1"/>
    <col min="3" max="4" width="7.109375" customWidth="1"/>
    <col min="5" max="5" width="7" customWidth="1"/>
    <col min="6" max="14" width="7.109375" customWidth="1"/>
  </cols>
  <sheetData>
    <row r="2" spans="2:16" x14ac:dyDescent="0.3">
      <c r="C2" s="9">
        <v>42064</v>
      </c>
      <c r="D2" s="9">
        <v>42430</v>
      </c>
      <c r="E2" s="9">
        <v>42795</v>
      </c>
      <c r="F2" s="9">
        <v>43160</v>
      </c>
      <c r="G2" s="9">
        <v>43525</v>
      </c>
      <c r="H2" s="9">
        <v>43891</v>
      </c>
      <c r="I2" s="9">
        <v>44256</v>
      </c>
      <c r="J2" s="9">
        <v>44621</v>
      </c>
      <c r="K2" s="9">
        <v>44986</v>
      </c>
      <c r="L2" s="9">
        <v>45352</v>
      </c>
      <c r="M2" s="9">
        <v>45717</v>
      </c>
      <c r="N2" s="9">
        <v>46082</v>
      </c>
    </row>
    <row r="3" spans="2:16" x14ac:dyDescent="0.3">
      <c r="B3" s="1" t="s">
        <v>98</v>
      </c>
      <c r="C3" s="10">
        <v>11880</v>
      </c>
      <c r="D3" s="10">
        <v>11455</v>
      </c>
      <c r="E3" s="10">
        <v>10824</v>
      </c>
      <c r="F3" s="10">
        <v>8023</v>
      </c>
      <c r="G3" s="10">
        <v>25336</v>
      </c>
      <c r="H3" s="10">
        <v>20169</v>
      </c>
      <c r="I3" s="10">
        <v>44327</v>
      </c>
      <c r="J3" s="10">
        <v>44381</v>
      </c>
      <c r="K3" s="10">
        <v>21683</v>
      </c>
      <c r="L3" s="10">
        <v>20301</v>
      </c>
      <c r="M3" s="10">
        <v>23138</v>
      </c>
      <c r="N3" s="10">
        <v>35064</v>
      </c>
    </row>
    <row r="4" spans="2:16" x14ac:dyDescent="0.3">
      <c r="B4" t="s">
        <v>27</v>
      </c>
      <c r="C4" s="10">
        <v>13955</v>
      </c>
      <c r="D4" s="10">
        <v>6824</v>
      </c>
      <c r="E4" s="10">
        <v>17581</v>
      </c>
      <c r="F4" s="10">
        <v>20187</v>
      </c>
      <c r="G4" s="10">
        <v>27840</v>
      </c>
      <c r="H4" s="10">
        <v>18078</v>
      </c>
      <c r="I4" s="10">
        <v>28540</v>
      </c>
      <c r="J4" s="10">
        <v>65900</v>
      </c>
      <c r="K4" s="10">
        <v>30908</v>
      </c>
      <c r="L4" s="10">
        <v>22237</v>
      </c>
      <c r="M4" s="10">
        <v>23929</v>
      </c>
      <c r="N4" s="10">
        <v>34219</v>
      </c>
    </row>
    <row r="5" spans="2:16" x14ac:dyDescent="0.3">
      <c r="B5" t="s">
        <v>22</v>
      </c>
      <c r="C5" s="10">
        <v>1442</v>
      </c>
      <c r="D5">
        <v>0</v>
      </c>
      <c r="E5">
        <v>0</v>
      </c>
      <c r="F5">
        <v>0</v>
      </c>
      <c r="G5">
        <v>0</v>
      </c>
      <c r="H5">
        <v>0</v>
      </c>
      <c r="I5">
        <v>0</v>
      </c>
      <c r="J5">
        <v>0</v>
      </c>
      <c r="K5">
        <v>0</v>
      </c>
      <c r="L5">
        <v>0</v>
      </c>
      <c r="M5">
        <v>0</v>
      </c>
      <c r="N5">
        <v>0</v>
      </c>
    </row>
    <row r="6" spans="2:16" x14ac:dyDescent="0.3">
      <c r="B6" t="s">
        <v>23</v>
      </c>
      <c r="C6">
        <v>-485</v>
      </c>
      <c r="D6" s="10">
        <v>5618</v>
      </c>
      <c r="E6" s="10">
        <v>-8243</v>
      </c>
      <c r="F6" s="10">
        <v>-1595</v>
      </c>
      <c r="G6" s="10">
        <v>-1069</v>
      </c>
      <c r="H6" s="10">
        <v>1562</v>
      </c>
      <c r="I6">
        <v>46</v>
      </c>
      <c r="J6" s="10">
        <v>-16917</v>
      </c>
      <c r="K6" s="10">
        <v>-4031</v>
      </c>
      <c r="L6" s="10">
        <v>5566</v>
      </c>
      <c r="M6" s="10">
        <v>4776</v>
      </c>
      <c r="N6" s="10">
        <v>1290</v>
      </c>
    </row>
    <row r="7" spans="2:16" x14ac:dyDescent="0.3">
      <c r="B7" t="s">
        <v>28</v>
      </c>
      <c r="C7">
        <v>-605</v>
      </c>
      <c r="D7">
        <v>0</v>
      </c>
      <c r="E7">
        <v>0</v>
      </c>
      <c r="F7">
        <v>0</v>
      </c>
      <c r="G7">
        <v>0</v>
      </c>
      <c r="H7">
        <v>0</v>
      </c>
      <c r="I7">
        <v>0</v>
      </c>
      <c r="J7">
        <v>0</v>
      </c>
      <c r="K7">
        <v>0</v>
      </c>
      <c r="L7">
        <v>0</v>
      </c>
      <c r="M7">
        <v>0</v>
      </c>
      <c r="N7">
        <v>0</v>
      </c>
    </row>
    <row r="8" spans="2:16" x14ac:dyDescent="0.3">
      <c r="B8" t="s">
        <v>29</v>
      </c>
      <c r="C8">
        <v>0</v>
      </c>
      <c r="D8">
        <v>548</v>
      </c>
      <c r="E8" s="10">
        <v>3329</v>
      </c>
      <c r="F8" s="10">
        <v>-7680</v>
      </c>
      <c r="G8" s="10">
        <v>3659</v>
      </c>
      <c r="H8" s="10">
        <v>2634</v>
      </c>
      <c r="I8" s="10">
        <v>16446</v>
      </c>
      <c r="J8" s="10">
        <v>7299</v>
      </c>
      <c r="K8">
        <v>325</v>
      </c>
      <c r="L8" s="10">
        <v>-2182</v>
      </c>
      <c r="M8" s="10">
        <v>-2569</v>
      </c>
      <c r="N8" s="10">
        <v>4152</v>
      </c>
    </row>
    <row r="9" spans="2:16" x14ac:dyDescent="0.3">
      <c r="B9" t="s">
        <v>30</v>
      </c>
      <c r="C9">
        <v>351</v>
      </c>
      <c r="D9" s="10">
        <v>6166</v>
      </c>
      <c r="E9" s="10">
        <v>-4914</v>
      </c>
      <c r="F9" s="10">
        <v>-9276</v>
      </c>
      <c r="G9" s="10">
        <v>2591</v>
      </c>
      <c r="H9" s="10">
        <v>4196</v>
      </c>
      <c r="I9" s="10">
        <v>16491</v>
      </c>
      <c r="J9" s="10">
        <v>-9618</v>
      </c>
      <c r="K9" s="10">
        <v>-3706</v>
      </c>
      <c r="L9" s="10">
        <v>3384</v>
      </c>
      <c r="M9" s="10">
        <v>2207</v>
      </c>
      <c r="N9" s="10">
        <v>5442</v>
      </c>
    </row>
    <row r="10" spans="2:16" x14ac:dyDescent="0.3">
      <c r="B10" t="s">
        <v>31</v>
      </c>
      <c r="C10" s="10">
        <v>-2427</v>
      </c>
      <c r="D10" s="10">
        <v>-1534</v>
      </c>
      <c r="E10" s="10">
        <v>-1843</v>
      </c>
      <c r="F10" s="10">
        <v>-2888</v>
      </c>
      <c r="G10" s="10">
        <v>-5094</v>
      </c>
      <c r="H10" s="10">
        <v>-2106</v>
      </c>
      <c r="I10">
        <v>-704</v>
      </c>
      <c r="J10" s="10">
        <v>-11902</v>
      </c>
      <c r="K10" s="10">
        <v>-5519</v>
      </c>
      <c r="L10" s="10">
        <v>-5320</v>
      </c>
      <c r="M10" s="10">
        <v>-2998</v>
      </c>
      <c r="N10" s="10">
        <v>-4597</v>
      </c>
      <c r="P10" s="10"/>
    </row>
    <row r="11" spans="2:16" x14ac:dyDescent="0.3">
      <c r="B11" s="1" t="s">
        <v>99</v>
      </c>
      <c r="C11" s="10">
        <v>-9021</v>
      </c>
      <c r="D11" s="10">
        <v>-8794</v>
      </c>
      <c r="E11" s="10">
        <v>-9490</v>
      </c>
      <c r="F11" s="10">
        <v>-11730</v>
      </c>
      <c r="G11" s="10">
        <v>-29176</v>
      </c>
      <c r="H11" s="10">
        <v>-14012</v>
      </c>
      <c r="I11" s="10">
        <v>-9437</v>
      </c>
      <c r="J11" s="10">
        <v>-10905</v>
      </c>
      <c r="K11" s="10">
        <v>-18179</v>
      </c>
      <c r="L11" s="10">
        <v>-14253</v>
      </c>
      <c r="M11" s="10">
        <v>-13611</v>
      </c>
      <c r="N11" s="10">
        <v>-14397</v>
      </c>
    </row>
    <row r="12" spans="2:16" x14ac:dyDescent="0.3">
      <c r="B12" t="s">
        <v>34</v>
      </c>
      <c r="C12" s="10">
        <v>-13492</v>
      </c>
      <c r="D12" s="10">
        <v>-10163</v>
      </c>
      <c r="E12" s="10">
        <v>-7716</v>
      </c>
      <c r="F12" s="10">
        <v>-7478</v>
      </c>
      <c r="G12" s="10">
        <v>-9091</v>
      </c>
      <c r="H12" s="10">
        <v>-10398</v>
      </c>
      <c r="I12" s="10">
        <v>-6979</v>
      </c>
      <c r="J12" s="10">
        <v>-10522</v>
      </c>
      <c r="K12" s="10">
        <v>-14142</v>
      </c>
      <c r="L12" s="10">
        <v>-18207</v>
      </c>
      <c r="M12" s="10">
        <v>-15671</v>
      </c>
      <c r="N12" s="10">
        <v>-14559</v>
      </c>
      <c r="P12" s="10"/>
    </row>
    <row r="13" spans="2:16" x14ac:dyDescent="0.3">
      <c r="B13" t="s">
        <v>35</v>
      </c>
      <c r="C13" s="10">
        <v>1444</v>
      </c>
      <c r="D13">
        <v>231</v>
      </c>
      <c r="E13">
        <v>289</v>
      </c>
      <c r="F13">
        <v>179</v>
      </c>
      <c r="G13">
        <v>467</v>
      </c>
      <c r="H13">
        <v>386</v>
      </c>
      <c r="I13">
        <v>445</v>
      </c>
      <c r="J13">
        <v>569</v>
      </c>
      <c r="K13">
        <v>328</v>
      </c>
      <c r="L13">
        <v>475</v>
      </c>
      <c r="M13" s="10">
        <v>1264</v>
      </c>
      <c r="N13" s="10">
        <v>1401</v>
      </c>
    </row>
    <row r="14" spans="2:16" x14ac:dyDescent="0.3">
      <c r="B14" t="s">
        <v>36</v>
      </c>
      <c r="C14" s="10">
        <v>1531</v>
      </c>
      <c r="D14" s="10">
        <v>-3796</v>
      </c>
      <c r="E14">
        <v>-861</v>
      </c>
      <c r="F14" s="10">
        <v>-8641</v>
      </c>
      <c r="G14">
        <v>-490</v>
      </c>
      <c r="H14">
        <v>-828</v>
      </c>
      <c r="I14" s="10">
        <v>-3631</v>
      </c>
      <c r="J14" s="10">
        <v>-1153</v>
      </c>
      <c r="K14">
        <v>-326</v>
      </c>
      <c r="L14">
        <v>-4</v>
      </c>
      <c r="M14">
        <v>-393</v>
      </c>
      <c r="N14">
        <v>-553</v>
      </c>
    </row>
    <row r="15" spans="2:16" x14ac:dyDescent="0.3">
      <c r="B15" t="s">
        <v>37</v>
      </c>
      <c r="C15">
        <v>262</v>
      </c>
      <c r="D15" s="10">
        <v>4275</v>
      </c>
      <c r="E15">
        <v>91</v>
      </c>
      <c r="F15" s="10">
        <v>3899</v>
      </c>
      <c r="G15" s="10">
        <v>13556</v>
      </c>
      <c r="H15">
        <v>121</v>
      </c>
      <c r="I15">
        <v>0</v>
      </c>
      <c r="J15">
        <v>63</v>
      </c>
      <c r="K15" s="10">
        <v>5191</v>
      </c>
      <c r="L15" s="10">
        <v>3171</v>
      </c>
      <c r="M15">
        <v>554</v>
      </c>
      <c r="N15">
        <v>20</v>
      </c>
    </row>
    <row r="16" spans="2:16" x14ac:dyDescent="0.3">
      <c r="B16" t="s">
        <v>38</v>
      </c>
      <c r="C16">
        <v>211</v>
      </c>
      <c r="D16">
        <v>133</v>
      </c>
      <c r="E16">
        <v>140</v>
      </c>
      <c r="F16">
        <v>254</v>
      </c>
      <c r="G16">
        <v>175</v>
      </c>
      <c r="H16">
        <v>203</v>
      </c>
      <c r="I16">
        <v>266</v>
      </c>
      <c r="J16">
        <v>137</v>
      </c>
      <c r="K16">
        <v>248</v>
      </c>
      <c r="L16">
        <v>333</v>
      </c>
      <c r="M16">
        <v>616</v>
      </c>
      <c r="N16">
        <v>650</v>
      </c>
    </row>
    <row r="17" spans="2:14" x14ac:dyDescent="0.3">
      <c r="B17" t="s">
        <v>39</v>
      </c>
      <c r="C17">
        <v>127</v>
      </c>
      <c r="D17">
        <v>108</v>
      </c>
      <c r="E17">
        <v>85</v>
      </c>
      <c r="F17">
        <v>111</v>
      </c>
      <c r="G17">
        <v>148</v>
      </c>
      <c r="H17">
        <v>103</v>
      </c>
      <c r="I17">
        <v>135</v>
      </c>
      <c r="J17">
        <v>162</v>
      </c>
      <c r="K17">
        <v>317</v>
      </c>
      <c r="L17">
        <v>336</v>
      </c>
      <c r="M17">
        <v>294</v>
      </c>
      <c r="N17">
        <v>408</v>
      </c>
    </row>
    <row r="18" spans="2:14" x14ac:dyDescent="0.3">
      <c r="B18" t="s">
        <v>40</v>
      </c>
      <c r="C18" s="10">
        <v>1301</v>
      </c>
      <c r="D18">
        <v>0</v>
      </c>
      <c r="E18">
        <v>0</v>
      </c>
      <c r="F18">
        <v>34</v>
      </c>
      <c r="G18">
        <v>156</v>
      </c>
      <c r="H18">
        <v>378</v>
      </c>
      <c r="I18">
        <v>90</v>
      </c>
      <c r="J18" s="10">
        <v>1208</v>
      </c>
      <c r="K18">
        <v>166</v>
      </c>
      <c r="L18">
        <v>123</v>
      </c>
      <c r="M18">
        <v>28</v>
      </c>
      <c r="N18">
        <v>611</v>
      </c>
    </row>
    <row r="19" spans="2:14" x14ac:dyDescent="0.3">
      <c r="B19" t="s">
        <v>41</v>
      </c>
      <c r="C19">
        <v>-108</v>
      </c>
      <c r="D19">
        <v>-78</v>
      </c>
      <c r="E19" s="10">
        <v>-1081</v>
      </c>
      <c r="F19">
        <v>-255</v>
      </c>
      <c r="G19" s="10">
        <v>-34569</v>
      </c>
      <c r="H19" s="10">
        <v>-4433</v>
      </c>
      <c r="I19">
        <v>0</v>
      </c>
      <c r="J19">
        <v>-53</v>
      </c>
      <c r="K19" s="10">
        <v>-10569</v>
      </c>
      <c r="L19">
        <v>0</v>
      </c>
      <c r="M19">
        <v>-6</v>
      </c>
      <c r="N19" s="10">
        <v>-2846</v>
      </c>
    </row>
    <row r="20" spans="2:14" x14ac:dyDescent="0.3">
      <c r="B20" t="s">
        <v>42</v>
      </c>
      <c r="C20">
        <v>277</v>
      </c>
      <c r="D20">
        <v>0</v>
      </c>
      <c r="E20">
        <v>0</v>
      </c>
      <c r="F20">
        <v>0</v>
      </c>
      <c r="G20">
        <v>0</v>
      </c>
      <c r="H20">
        <v>0</v>
      </c>
      <c r="I20">
        <v>0</v>
      </c>
      <c r="J20">
        <v>0</v>
      </c>
      <c r="K20">
        <v>0</v>
      </c>
      <c r="L20">
        <v>0</v>
      </c>
      <c r="M20">
        <v>0</v>
      </c>
      <c r="N20">
        <v>0</v>
      </c>
    </row>
    <row r="21" spans="2:14" x14ac:dyDescent="0.3">
      <c r="B21" t="s">
        <v>43</v>
      </c>
      <c r="C21">
        <v>-573</v>
      </c>
      <c r="D21">
        <v>496</v>
      </c>
      <c r="E21">
        <v>-437</v>
      </c>
      <c r="F21">
        <v>166</v>
      </c>
      <c r="G21">
        <v>471</v>
      </c>
      <c r="H21">
        <v>456</v>
      </c>
      <c r="I21">
        <v>236</v>
      </c>
      <c r="J21" s="10">
        <v>-1315</v>
      </c>
      <c r="K21">
        <v>609</v>
      </c>
      <c r="L21">
        <v>-481</v>
      </c>
      <c r="M21">
        <v>-298</v>
      </c>
      <c r="N21">
        <v>472</v>
      </c>
    </row>
    <row r="22" spans="2:14" x14ac:dyDescent="0.3">
      <c r="B22" s="1" t="s">
        <v>100</v>
      </c>
      <c r="C22" s="10">
        <v>-2617</v>
      </c>
      <c r="D22" s="10">
        <v>-4729</v>
      </c>
      <c r="E22" s="10">
        <v>-2579</v>
      </c>
      <c r="F22" s="10">
        <v>6640</v>
      </c>
      <c r="G22">
        <v>-673</v>
      </c>
      <c r="H22" s="10">
        <v>-1695</v>
      </c>
      <c r="I22" s="10">
        <v>-37090</v>
      </c>
      <c r="J22" s="10">
        <v>-23401</v>
      </c>
      <c r="K22" s="10">
        <v>-6981</v>
      </c>
      <c r="L22" s="10">
        <v>-11097</v>
      </c>
      <c r="M22" s="10">
        <v>-7002</v>
      </c>
      <c r="N22" s="10">
        <v>-21387</v>
      </c>
    </row>
    <row r="23" spans="2:14" x14ac:dyDescent="0.3">
      <c r="B23" t="s">
        <v>46</v>
      </c>
      <c r="C23">
        <v>13</v>
      </c>
      <c r="D23">
        <v>0</v>
      </c>
      <c r="E23">
        <v>652</v>
      </c>
      <c r="F23" s="10">
        <v>9087</v>
      </c>
      <c r="G23">
        <v>0</v>
      </c>
      <c r="H23">
        <v>188</v>
      </c>
      <c r="I23" s="10">
        <v>3239</v>
      </c>
      <c r="J23">
        <v>326</v>
      </c>
      <c r="K23">
        <v>1</v>
      </c>
      <c r="L23">
        <v>0</v>
      </c>
      <c r="M23">
        <v>0</v>
      </c>
      <c r="N23">
        <v>0</v>
      </c>
    </row>
    <row r="24" spans="2:14" x14ac:dyDescent="0.3">
      <c r="B24" t="s">
        <v>47</v>
      </c>
      <c r="C24">
        <v>0</v>
      </c>
      <c r="D24">
        <v>0</v>
      </c>
      <c r="E24">
        <v>0</v>
      </c>
      <c r="F24">
        <v>0</v>
      </c>
      <c r="G24" s="10">
        <v>33344</v>
      </c>
      <c r="H24" s="10">
        <v>16574</v>
      </c>
      <c r="I24" s="10">
        <v>9801</v>
      </c>
      <c r="J24" s="10">
        <v>12439</v>
      </c>
      <c r="K24" s="10">
        <v>16769</v>
      </c>
      <c r="L24" s="10">
        <v>14120</v>
      </c>
      <c r="M24" s="10">
        <v>23893</v>
      </c>
      <c r="N24" s="10">
        <v>15954</v>
      </c>
    </row>
    <row r="25" spans="2:14" x14ac:dyDescent="0.3">
      <c r="B25" t="s">
        <v>48</v>
      </c>
      <c r="C25">
        <v>0</v>
      </c>
      <c r="D25">
        <v>0</v>
      </c>
      <c r="E25">
        <v>0</v>
      </c>
      <c r="F25">
        <v>0</v>
      </c>
      <c r="G25" s="10">
        <v>-25077</v>
      </c>
      <c r="H25" s="10">
        <v>-7937</v>
      </c>
      <c r="I25" s="10">
        <v>-39177</v>
      </c>
      <c r="J25" s="10">
        <v>-26360</v>
      </c>
      <c r="K25" s="10">
        <v>-10226</v>
      </c>
      <c r="L25" s="10">
        <v>-11908</v>
      </c>
      <c r="M25" s="10">
        <v>-17627</v>
      </c>
      <c r="N25" s="10">
        <v>-23916</v>
      </c>
    </row>
    <row r="26" spans="2:14" x14ac:dyDescent="0.3">
      <c r="B26" t="s">
        <v>49</v>
      </c>
      <c r="C26" s="10">
        <v>-5428</v>
      </c>
      <c r="D26" s="10">
        <v>-5483</v>
      </c>
      <c r="E26" s="10">
        <v>-4733</v>
      </c>
      <c r="F26" s="10">
        <v>-5146</v>
      </c>
      <c r="G26" s="10">
        <v>-6901</v>
      </c>
      <c r="H26" s="10">
        <v>-7419</v>
      </c>
      <c r="I26" s="10">
        <v>-6804</v>
      </c>
      <c r="J26" s="10">
        <v>-4687</v>
      </c>
      <c r="K26" s="10">
        <v>-6120</v>
      </c>
      <c r="L26" s="10">
        <v>-8145</v>
      </c>
      <c r="M26" s="10">
        <v>-8119</v>
      </c>
      <c r="N26" s="10">
        <v>-8066</v>
      </c>
    </row>
    <row r="27" spans="2:14" x14ac:dyDescent="0.3">
      <c r="B27" t="s">
        <v>50</v>
      </c>
      <c r="C27">
        <v>-983</v>
      </c>
      <c r="D27">
        <v>-788</v>
      </c>
      <c r="E27">
        <v>-791</v>
      </c>
      <c r="F27">
        <v>-982</v>
      </c>
      <c r="G27" s="10">
        <v>-1186</v>
      </c>
      <c r="H27" s="10">
        <v>-1507</v>
      </c>
      <c r="I27" s="10">
        <v>-1151</v>
      </c>
      <c r="J27" s="10">
        <v>-3020</v>
      </c>
      <c r="K27" s="10">
        <v>-6293</v>
      </c>
      <c r="L27" s="10">
        <v>-4429</v>
      </c>
      <c r="M27" s="10">
        <v>-4490</v>
      </c>
      <c r="N27" s="10">
        <v>-4490</v>
      </c>
    </row>
    <row r="28" spans="2:14" x14ac:dyDescent="0.3">
      <c r="B28" t="s">
        <v>51</v>
      </c>
      <c r="C28">
        <v>0</v>
      </c>
      <c r="D28">
        <v>-200</v>
      </c>
      <c r="E28">
        <v>-208</v>
      </c>
      <c r="F28">
        <v>-211</v>
      </c>
      <c r="G28">
        <v>-276</v>
      </c>
      <c r="H28" s="10">
        <v>-1029</v>
      </c>
      <c r="I28" s="10">
        <v>-1284</v>
      </c>
      <c r="J28" s="10">
        <v>-1310</v>
      </c>
      <c r="K28" s="10">
        <v>-1114</v>
      </c>
      <c r="L28" s="10">
        <v>-1140</v>
      </c>
      <c r="M28">
        <v>-971</v>
      </c>
      <c r="N28" s="10">
        <v>-1162</v>
      </c>
    </row>
    <row r="29" spans="2:14" x14ac:dyDescent="0.3">
      <c r="B29" t="s">
        <v>52</v>
      </c>
      <c r="C29" s="10">
        <v>3781</v>
      </c>
      <c r="D29" s="10">
        <v>1743</v>
      </c>
      <c r="E29" s="10">
        <v>2501</v>
      </c>
      <c r="F29" s="10">
        <v>3892</v>
      </c>
      <c r="G29">
        <v>-576</v>
      </c>
      <c r="H29">
        <v>-564</v>
      </c>
      <c r="I29" s="10">
        <v>-1714</v>
      </c>
      <c r="J29">
        <v>-789</v>
      </c>
      <c r="K29">
        <v>2</v>
      </c>
      <c r="L29">
        <v>404</v>
      </c>
      <c r="M29">
        <v>312</v>
      </c>
      <c r="N29">
        <v>293</v>
      </c>
    </row>
    <row r="30" spans="2:14" x14ac:dyDescent="0.3">
      <c r="B30" t="s">
        <v>54</v>
      </c>
      <c r="C30">
        <v>241</v>
      </c>
      <c r="D30" s="10">
        <v>-2068</v>
      </c>
      <c r="E30" s="10">
        <v>-1245</v>
      </c>
      <c r="F30" s="10">
        <v>2933</v>
      </c>
      <c r="G30" s="10">
        <v>-4513</v>
      </c>
      <c r="H30" s="10">
        <v>4462</v>
      </c>
      <c r="I30" s="10">
        <v>-2200</v>
      </c>
      <c r="J30" s="10">
        <v>10075</v>
      </c>
      <c r="K30" s="10">
        <v>-3477</v>
      </c>
      <c r="L30" s="10">
        <v>-5049</v>
      </c>
      <c r="M30" s="10">
        <v>2524</v>
      </c>
      <c r="N30">
        <v>-720</v>
      </c>
    </row>
    <row r="31" spans="2:14" x14ac:dyDescent="0.3">
      <c r="B31" t="s">
        <v>101</v>
      </c>
      <c r="C31">
        <v>-169</v>
      </c>
      <c r="D31" s="10">
        <v>1523</v>
      </c>
      <c r="E31" s="10">
        <v>3397</v>
      </c>
      <c r="F31">
        <v>724</v>
      </c>
      <c r="G31" s="10">
        <v>16712</v>
      </c>
      <c r="H31" s="10">
        <v>10156</v>
      </c>
      <c r="I31" s="10">
        <v>37793</v>
      </c>
      <c r="J31" s="10">
        <v>34428</v>
      </c>
      <c r="K31" s="10">
        <v>7868</v>
      </c>
      <c r="L31" s="10">
        <v>2569</v>
      </c>
      <c r="M31" s="10">
        <v>8731</v>
      </c>
      <c r="N31" s="10">
        <v>21906</v>
      </c>
    </row>
    <row r="32" spans="2:14" x14ac:dyDescent="0.3">
      <c r="B32" t="s">
        <v>102</v>
      </c>
      <c r="C32" s="11">
        <v>4.2</v>
      </c>
      <c r="D32" s="11">
        <v>-20.78</v>
      </c>
      <c r="E32" s="11">
        <v>0.96</v>
      </c>
      <c r="F32" s="11">
        <v>0.51</v>
      </c>
      <c r="G32" s="11">
        <v>1.04</v>
      </c>
      <c r="H32" s="11">
        <v>1.28</v>
      </c>
      <c r="I32" s="11">
        <v>1.48</v>
      </c>
      <c r="J32" s="11">
        <v>0.89</v>
      </c>
      <c r="K32" s="11">
        <v>0.84</v>
      </c>
      <c r="L32" s="11">
        <v>1.1499999999999999</v>
      </c>
      <c r="M32" s="11">
        <v>1.03</v>
      </c>
      <c r="N32" s="11">
        <v>1.1499999999999999</v>
      </c>
    </row>
  </sheetData>
  <pageMargins left="0.7" right="0.7" top="0.75" bottom="0.75" header="0.511811023622047" footer="0.511811023622047"/>
  <pageSetup paperSize="9"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K22"/>
  <sheetViews>
    <sheetView zoomScaleNormal="100" workbookViewId="0">
      <pane xSplit="1" ySplit="3" topLeftCell="B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customWidth="1"/>
    <col min="2" max="11" width="13.44140625" customWidth="1"/>
  </cols>
  <sheetData>
    <row r="1" spans="1:11" s="1" customFormat="1" x14ac:dyDescent="0.3">
      <c r="A1" s="1" t="str">
        <f>'Profit &amp; Loss'!A1</f>
        <v>INFOSYS LTD</v>
      </c>
      <c r="E1" s="1" t="str">
        <f>UPDATE</f>
        <v/>
      </c>
      <c r="J1" s="1" t="s">
        <v>103</v>
      </c>
    </row>
    <row r="3" spans="1:11" s="1" customFormat="1" x14ac:dyDescent="0.3">
      <c r="A3" s="13" t="s">
        <v>104</v>
      </c>
      <c r="B3" s="6">
        <f>'Data Sheet &gt;'!B41</f>
        <v>45382</v>
      </c>
      <c r="C3" s="6">
        <f>'Data Sheet &gt;'!C41</f>
        <v>45473</v>
      </c>
      <c r="D3" s="6">
        <f>'Data Sheet &gt;'!D41</f>
        <v>45565</v>
      </c>
      <c r="E3" s="6">
        <f>'Data Sheet &gt;'!E41</f>
        <v>45657</v>
      </c>
      <c r="F3" s="6">
        <f>'Data Sheet &gt;'!F41</f>
        <v>45747</v>
      </c>
      <c r="G3" s="6">
        <f>'Data Sheet &gt;'!G41</f>
        <v>45838</v>
      </c>
      <c r="H3" s="6">
        <f>'Data Sheet &gt;'!H41</f>
        <v>45930</v>
      </c>
      <c r="I3" s="6">
        <f>'Data Sheet &gt;'!I41</f>
        <v>46022</v>
      </c>
      <c r="J3" s="6">
        <f>'Data Sheet &gt;'!J41</f>
        <v>46112</v>
      </c>
      <c r="K3" s="6">
        <f>'Data Sheet &gt;'!K41</f>
        <v>46203</v>
      </c>
    </row>
    <row r="4" spans="1:11" s="1" customFormat="1" x14ac:dyDescent="0.3">
      <c r="A4" s="1" t="s">
        <v>0</v>
      </c>
      <c r="B4" s="4">
        <f>'Data Sheet &gt;'!B42</f>
        <v>37923</v>
      </c>
      <c r="C4" s="4">
        <f>'Data Sheet &gt;'!C42</f>
        <v>39315</v>
      </c>
      <c r="D4" s="4">
        <f>'Data Sheet &gt;'!D42</f>
        <v>40986</v>
      </c>
      <c r="E4" s="4">
        <f>'Data Sheet &gt;'!E42</f>
        <v>41764</v>
      </c>
      <c r="F4" s="4">
        <f>'Data Sheet &gt;'!F42</f>
        <v>40925</v>
      </c>
      <c r="G4" s="4">
        <f>'Data Sheet &gt;'!G42</f>
        <v>42279</v>
      </c>
      <c r="H4" s="4">
        <f>'Data Sheet &gt;'!H42</f>
        <v>44490</v>
      </c>
      <c r="I4" s="4">
        <f>'Data Sheet &gt;'!I42</f>
        <v>45479</v>
      </c>
      <c r="J4" s="4">
        <f>'Data Sheet &gt;'!J42</f>
        <v>46402</v>
      </c>
      <c r="K4" s="4">
        <f>'Data Sheet &gt;'!K42</f>
        <v>48211</v>
      </c>
    </row>
    <row r="5" spans="1:11" x14ac:dyDescent="0.3">
      <c r="A5" t="s">
        <v>83</v>
      </c>
      <c r="B5" s="3">
        <f>'Data Sheet &gt;'!B43</f>
        <v>29139</v>
      </c>
      <c r="C5" s="3">
        <f>'Data Sheet &gt;'!C43</f>
        <v>29878</v>
      </c>
      <c r="D5" s="3">
        <f>'Data Sheet &gt;'!D43</f>
        <v>31177</v>
      </c>
      <c r="E5" s="3">
        <f>'Data Sheet &gt;'!E43</f>
        <v>31649</v>
      </c>
      <c r="F5" s="3">
        <f>'Data Sheet &gt;'!F43</f>
        <v>31051</v>
      </c>
      <c r="G5" s="3">
        <f>'Data Sheet &gt;'!G43</f>
        <v>32336</v>
      </c>
      <c r="H5" s="3">
        <f>'Data Sheet &gt;'!H43</f>
        <v>33955</v>
      </c>
      <c r="I5" s="3">
        <f>'Data Sheet &gt;'!I43</f>
        <v>34845</v>
      </c>
      <c r="J5" s="3">
        <f>'Data Sheet &gt;'!J43</f>
        <v>35235</v>
      </c>
      <c r="K5" s="3">
        <f>'Data Sheet &gt;'!K43</f>
        <v>36802</v>
      </c>
    </row>
    <row r="6" spans="1:11" s="1" customFormat="1" x14ac:dyDescent="0.3">
      <c r="A6" s="1" t="s">
        <v>84</v>
      </c>
      <c r="B6" s="4">
        <f>'Data Sheet &gt;'!B50</f>
        <v>8784</v>
      </c>
      <c r="C6" s="4">
        <f>'Data Sheet &gt;'!C50</f>
        <v>9437</v>
      </c>
      <c r="D6" s="4">
        <f>'Data Sheet &gt;'!D50</f>
        <v>9809</v>
      </c>
      <c r="E6" s="4">
        <f>'Data Sheet &gt;'!E50</f>
        <v>10115</v>
      </c>
      <c r="F6" s="4">
        <f>'Data Sheet &gt;'!F50</f>
        <v>9874</v>
      </c>
      <c r="G6" s="4">
        <f>'Data Sheet &gt;'!G50</f>
        <v>9943</v>
      </c>
      <c r="H6" s="4">
        <f>'Data Sheet &gt;'!H50</f>
        <v>10535</v>
      </c>
      <c r="I6" s="4">
        <f>'Data Sheet &gt;'!I50</f>
        <v>10634</v>
      </c>
      <c r="J6" s="4">
        <f>'Data Sheet &gt;'!J50</f>
        <v>11167</v>
      </c>
      <c r="K6" s="4">
        <f>'Data Sheet &gt;'!K50</f>
        <v>11409</v>
      </c>
    </row>
    <row r="7" spans="1:11" x14ac:dyDescent="0.3">
      <c r="A7" t="s">
        <v>78</v>
      </c>
      <c r="B7" s="3">
        <f>'Data Sheet &gt;'!B44</f>
        <v>2729</v>
      </c>
      <c r="C7" s="3">
        <f>'Data Sheet &gt;'!C44</f>
        <v>838</v>
      </c>
      <c r="D7" s="3">
        <f>'Data Sheet &gt;'!D44</f>
        <v>712</v>
      </c>
      <c r="E7" s="3">
        <f>'Data Sheet &gt;'!E44</f>
        <v>859</v>
      </c>
      <c r="F7" s="3">
        <f>'Data Sheet &gt;'!F44</f>
        <v>1190</v>
      </c>
      <c r="G7" s="3">
        <f>'Data Sheet &gt;'!G44</f>
        <v>1042</v>
      </c>
      <c r="H7" s="3">
        <f>'Data Sheet &gt;'!H44</f>
        <v>982</v>
      </c>
      <c r="I7" s="3">
        <f>'Data Sheet &gt;'!I44</f>
        <v>-150</v>
      </c>
      <c r="J7" s="3">
        <f>'Data Sheet &gt;'!J44</f>
        <v>1159</v>
      </c>
      <c r="K7" s="3">
        <f>'Data Sheet &gt;'!K44</f>
        <v>984</v>
      </c>
    </row>
    <row r="8" spans="1:11" x14ac:dyDescent="0.3">
      <c r="A8" t="s">
        <v>10</v>
      </c>
      <c r="B8" s="3">
        <f>'Data Sheet &gt;'!B45</f>
        <v>1163</v>
      </c>
      <c r="C8" s="3">
        <f>'Data Sheet &gt;'!C45</f>
        <v>1149</v>
      </c>
      <c r="D8" s="3">
        <f>'Data Sheet &gt;'!D45</f>
        <v>1160</v>
      </c>
      <c r="E8" s="3">
        <f>'Data Sheet &gt;'!E45</f>
        <v>1203</v>
      </c>
      <c r="F8" s="3">
        <f>'Data Sheet &gt;'!F45</f>
        <v>1299</v>
      </c>
      <c r="G8" s="3">
        <f>'Data Sheet &gt;'!G45</f>
        <v>1140</v>
      </c>
      <c r="H8" s="3">
        <f>'Data Sheet &gt;'!H45</f>
        <v>1182</v>
      </c>
      <c r="I8" s="3">
        <f>'Data Sheet &gt;'!I45</f>
        <v>1155</v>
      </c>
      <c r="J8" s="3">
        <f>'Data Sheet &gt;'!J45</f>
        <v>1424</v>
      </c>
      <c r="K8" s="3">
        <f>'Data Sheet &gt;'!K45</f>
        <v>1246</v>
      </c>
    </row>
    <row r="9" spans="1:11" x14ac:dyDescent="0.3">
      <c r="A9" t="s">
        <v>9</v>
      </c>
      <c r="B9" s="3">
        <f>'Data Sheet &gt;'!B46</f>
        <v>110</v>
      </c>
      <c r="C9" s="3">
        <f>'Data Sheet &gt;'!C46</f>
        <v>105</v>
      </c>
      <c r="D9" s="3">
        <f>'Data Sheet &gt;'!D46</f>
        <v>108</v>
      </c>
      <c r="E9" s="3">
        <f>'Data Sheet &gt;'!E46</f>
        <v>101</v>
      </c>
      <c r="F9" s="3">
        <f>'Data Sheet &gt;'!F46</f>
        <v>102</v>
      </c>
      <c r="G9" s="3">
        <f>'Data Sheet &gt;'!G46</f>
        <v>105</v>
      </c>
      <c r="H9" s="3">
        <f>'Data Sheet &gt;'!H46</f>
        <v>106</v>
      </c>
      <c r="I9" s="3">
        <f>'Data Sheet &gt;'!I46</f>
        <v>100</v>
      </c>
      <c r="J9" s="3">
        <f>'Data Sheet &gt;'!J46</f>
        <v>105</v>
      </c>
      <c r="K9" s="3">
        <f>'Data Sheet &gt;'!K46</f>
        <v>119</v>
      </c>
    </row>
    <row r="10" spans="1:11" x14ac:dyDescent="0.3">
      <c r="A10" t="s">
        <v>79</v>
      </c>
      <c r="B10" s="3">
        <f>'Data Sheet &gt;'!B47</f>
        <v>10240</v>
      </c>
      <c r="C10" s="3">
        <f>'Data Sheet &gt;'!C47</f>
        <v>9021</v>
      </c>
      <c r="D10" s="3">
        <f>'Data Sheet &gt;'!D47</f>
        <v>9253</v>
      </c>
      <c r="E10" s="3">
        <f>'Data Sheet &gt;'!E47</f>
        <v>9670</v>
      </c>
      <c r="F10" s="3">
        <f>'Data Sheet &gt;'!F47</f>
        <v>9663</v>
      </c>
      <c r="G10" s="3">
        <f>'Data Sheet &gt;'!G47</f>
        <v>9740</v>
      </c>
      <c r="H10" s="3">
        <f>'Data Sheet &gt;'!H47</f>
        <v>10229</v>
      </c>
      <c r="I10" s="3">
        <f>'Data Sheet &gt;'!I47</f>
        <v>9229</v>
      </c>
      <c r="J10" s="3">
        <f>'Data Sheet &gt;'!J47</f>
        <v>10797</v>
      </c>
      <c r="K10" s="3">
        <f>'Data Sheet &gt;'!K47</f>
        <v>11028</v>
      </c>
    </row>
    <row r="11" spans="1:11" x14ac:dyDescent="0.3">
      <c r="A11" t="s">
        <v>12</v>
      </c>
      <c r="B11" s="3">
        <f>'Data Sheet &gt;'!B48</f>
        <v>2265</v>
      </c>
      <c r="C11" s="3">
        <f>'Data Sheet &gt;'!C48</f>
        <v>2647</v>
      </c>
      <c r="D11" s="3">
        <f>'Data Sheet &gt;'!D48</f>
        <v>2737</v>
      </c>
      <c r="E11" s="3">
        <f>'Data Sheet &gt;'!E48</f>
        <v>2848</v>
      </c>
      <c r="F11" s="3">
        <f>'Data Sheet &gt;'!F48</f>
        <v>2625</v>
      </c>
      <c r="G11" s="3">
        <f>'Data Sheet &gt;'!G48</f>
        <v>2816</v>
      </c>
      <c r="H11" s="3">
        <f>'Data Sheet &gt;'!H48</f>
        <v>2854</v>
      </c>
      <c r="I11" s="3">
        <f>'Data Sheet &gt;'!I48</f>
        <v>2563</v>
      </c>
      <c r="J11" s="3">
        <f>'Data Sheet &gt;'!J48</f>
        <v>2288</v>
      </c>
      <c r="K11" s="3">
        <f>'Data Sheet &gt;'!K48</f>
        <v>3253</v>
      </c>
    </row>
    <row r="12" spans="1:11" s="1" customFormat="1" x14ac:dyDescent="0.3">
      <c r="A12" s="1" t="s">
        <v>80</v>
      </c>
      <c r="B12" s="4">
        <f>'Data Sheet &gt;'!B49</f>
        <v>7969</v>
      </c>
      <c r="C12" s="4">
        <f>'Data Sheet &gt;'!C49</f>
        <v>6368</v>
      </c>
      <c r="D12" s="4">
        <f>'Data Sheet &gt;'!D49</f>
        <v>6506</v>
      </c>
      <c r="E12" s="4">
        <f>'Data Sheet &gt;'!E49</f>
        <v>6806</v>
      </c>
      <c r="F12" s="4">
        <f>'Data Sheet &gt;'!F49</f>
        <v>7033</v>
      </c>
      <c r="G12" s="4">
        <f>'Data Sheet &gt;'!G49</f>
        <v>6921</v>
      </c>
      <c r="H12" s="4">
        <f>'Data Sheet &gt;'!H49</f>
        <v>7364</v>
      </c>
      <c r="I12" s="4">
        <f>'Data Sheet &gt;'!I49</f>
        <v>6654</v>
      </c>
      <c r="J12" s="4">
        <f>'Data Sheet &gt;'!J49</f>
        <v>8501</v>
      </c>
      <c r="K12" s="4">
        <f>'Data Sheet &gt;'!K49</f>
        <v>7769</v>
      </c>
    </row>
    <row r="14" spans="1:11" s="1" customFormat="1" x14ac:dyDescent="0.3">
      <c r="A14" s="1" t="s">
        <v>112</v>
      </c>
      <c r="B14" s="20">
        <f t="shared" ref="B14:K14" si="0">IF(B4&gt;0,B6/B4,"")</f>
        <v>0.2316272446800095</v>
      </c>
      <c r="C14" s="20">
        <f t="shared" si="0"/>
        <v>0.24003560981813557</v>
      </c>
      <c r="D14" s="20">
        <f t="shared" si="0"/>
        <v>0.23932562338359439</v>
      </c>
      <c r="E14" s="20">
        <f t="shared" si="0"/>
        <v>0.2421942342687482</v>
      </c>
      <c r="F14" s="20">
        <f t="shared" si="0"/>
        <v>0.24127061698228466</v>
      </c>
      <c r="G14" s="20">
        <f t="shared" si="0"/>
        <v>0.23517585562572435</v>
      </c>
      <c r="H14" s="20">
        <f t="shared" si="0"/>
        <v>0.23679478534502135</v>
      </c>
      <c r="I14" s="20">
        <f t="shared" si="0"/>
        <v>0.2338222036544339</v>
      </c>
      <c r="J14" s="20">
        <f t="shared" si="0"/>
        <v>0.24065773027024698</v>
      </c>
      <c r="K14" s="20">
        <f t="shared" si="0"/>
        <v>0.2366472381821576</v>
      </c>
    </row>
    <row r="22" s="21" customFormat="1" x14ac:dyDescent="0.3"/>
  </sheetData>
  <hyperlinks>
    <hyperlink ref="J1" r:id="rId1" xr:uid="{00000000-0004-0000-0800-000000000000}"/>
  </hyperlinks>
  <printOptions gridLines="1"/>
  <pageMargins left="0.7" right="0.7" top="0.75" bottom="0.75" header="0.511811023622047" footer="0.511811023622047"/>
  <pageSetup paperSize="9" scale="84" orientation="landscape" horizontalDpi="300" verticalDpi="300" r:id="rId2"/>
  <tableParts count="1">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K26"/>
  <sheetViews>
    <sheetView zoomScaleNormal="100" workbookViewId="0">
      <pane xSplit="1" ySplit="3" topLeftCell="G10" activePane="bottomRight" state="frozen"/>
      <selection pane="topRight" activeCell="D1" sqref="D1"/>
      <selection pane="bottomLeft" activeCell="A4" sqref="A4"/>
      <selection pane="bottomRight" activeCell="H28" sqref="H28"/>
    </sheetView>
  </sheetViews>
  <sheetFormatPr defaultColWidth="8.77734375" defaultRowHeight="14.4" x14ac:dyDescent="0.3"/>
  <cols>
    <col min="1" max="1" width="22.77734375" customWidth="1"/>
    <col min="2" max="2" width="13.44140625" customWidth="1"/>
    <col min="3" max="11" width="15.44140625" customWidth="1"/>
  </cols>
  <sheetData>
    <row r="1" spans="1:11" s="1" customFormat="1" x14ac:dyDescent="0.3">
      <c r="A1" s="1" t="str">
        <f>'Profit &amp; Loss'!A1</f>
        <v>INFOSYS LTD</v>
      </c>
      <c r="E1" s="1" t="str">
        <f>UPDATE</f>
        <v/>
      </c>
      <c r="J1" s="1" t="s">
        <v>103</v>
      </c>
    </row>
    <row r="2" spans="1:11" x14ac:dyDescent="0.3">
      <c r="G2" s="1"/>
      <c r="H2" s="1"/>
    </row>
    <row r="3" spans="1:11" x14ac:dyDescent="0.3">
      <c r="A3" s="13" t="s">
        <v>104</v>
      </c>
      <c r="B3" s="6">
        <f>'Data Sheet &gt;'!B56</f>
        <v>42825</v>
      </c>
      <c r="C3" s="6">
        <f>'Data Sheet &gt;'!C56</f>
        <v>43190</v>
      </c>
      <c r="D3" s="6">
        <f>'Data Sheet &gt;'!D56</f>
        <v>43555</v>
      </c>
      <c r="E3" s="6">
        <f>'Data Sheet &gt;'!E56</f>
        <v>43921</v>
      </c>
      <c r="F3" s="6">
        <f>'Data Sheet &gt;'!F56</f>
        <v>44286</v>
      </c>
      <c r="G3" s="6">
        <f>'Data Sheet &gt;'!G56</f>
        <v>44651</v>
      </c>
      <c r="H3" s="6">
        <f>'Data Sheet &gt;'!H56</f>
        <v>45016</v>
      </c>
      <c r="I3" s="6">
        <f>'Data Sheet &gt;'!I56</f>
        <v>45382</v>
      </c>
      <c r="J3" s="6">
        <f>'Data Sheet &gt;'!J56</f>
        <v>45747</v>
      </c>
      <c r="K3" s="6">
        <f>'Data Sheet &gt;'!K56</f>
        <v>46112</v>
      </c>
    </row>
    <row r="4" spans="1:11" x14ac:dyDescent="0.3">
      <c r="A4" t="s">
        <v>15</v>
      </c>
      <c r="B4" s="22">
        <f>'Data Sheet &gt;'!B57</f>
        <v>1144</v>
      </c>
      <c r="C4" s="22">
        <f>'Data Sheet &gt;'!C57</f>
        <v>1088</v>
      </c>
      <c r="D4" s="22">
        <f>'Data Sheet &gt;'!D57</f>
        <v>2170</v>
      </c>
      <c r="E4" s="22">
        <f>'Data Sheet &gt;'!E57</f>
        <v>2122</v>
      </c>
      <c r="F4" s="22">
        <f>'Data Sheet &gt;'!F57</f>
        <v>2124</v>
      </c>
      <c r="G4" s="22">
        <f>'Data Sheet &gt;'!G57</f>
        <v>2098</v>
      </c>
      <c r="H4" s="22">
        <f>'Data Sheet &gt;'!H57</f>
        <v>2069</v>
      </c>
      <c r="I4" s="22">
        <f>'Data Sheet &gt;'!I57</f>
        <v>2071</v>
      </c>
      <c r="J4" s="22">
        <f>'Data Sheet &gt;'!J57</f>
        <v>2073</v>
      </c>
      <c r="K4" s="22">
        <f>'Data Sheet &gt;'!K57</f>
        <v>2024</v>
      </c>
    </row>
    <row r="5" spans="1:11" x14ac:dyDescent="0.3">
      <c r="A5" t="s">
        <v>16</v>
      </c>
      <c r="B5" s="22">
        <f>'Data Sheet &gt;'!B58</f>
        <v>67838</v>
      </c>
      <c r="C5" s="22">
        <f>'Data Sheet &gt;'!C58</f>
        <v>63835</v>
      </c>
      <c r="D5" s="22">
        <f>'Data Sheet &gt;'!D58</f>
        <v>62778</v>
      </c>
      <c r="E5" s="22">
        <f>'Data Sheet &gt;'!E58</f>
        <v>63328</v>
      </c>
      <c r="F5" s="22">
        <f>'Data Sheet &gt;'!F58</f>
        <v>74227</v>
      </c>
      <c r="G5" s="22">
        <f>'Data Sheet &gt;'!G58</f>
        <v>73252</v>
      </c>
      <c r="H5" s="22">
        <f>'Data Sheet &gt;'!H58</f>
        <v>73338</v>
      </c>
      <c r="I5" s="22">
        <f>'Data Sheet &gt;'!I58</f>
        <v>86045</v>
      </c>
      <c r="J5" s="22">
        <f>'Data Sheet &gt;'!J58</f>
        <v>93745</v>
      </c>
      <c r="K5" s="22">
        <f>'Data Sheet &gt;'!K58</f>
        <v>90828</v>
      </c>
    </row>
    <row r="6" spans="1:11" x14ac:dyDescent="0.3">
      <c r="A6" t="s">
        <v>17</v>
      </c>
      <c r="B6" s="22">
        <f>'Data Sheet &gt;'!B59</f>
        <v>0</v>
      </c>
      <c r="C6" s="22">
        <f>'Data Sheet &gt;'!C59</f>
        <v>0</v>
      </c>
      <c r="D6" s="22">
        <f>'Data Sheet &gt;'!D59</f>
        <v>0</v>
      </c>
      <c r="E6" s="22">
        <f>'Data Sheet &gt;'!E59</f>
        <v>4633</v>
      </c>
      <c r="F6" s="22">
        <f>'Data Sheet &gt;'!F59</f>
        <v>5325</v>
      </c>
      <c r="G6" s="22">
        <f>'Data Sheet &gt;'!G59</f>
        <v>5474</v>
      </c>
      <c r="H6" s="22">
        <f>'Data Sheet &gt;'!H59</f>
        <v>8299</v>
      </c>
      <c r="I6" s="22">
        <f>'Data Sheet &gt;'!I59</f>
        <v>8359</v>
      </c>
      <c r="J6" s="22">
        <f>'Data Sheet &gt;'!J59</f>
        <v>8227</v>
      </c>
      <c r="K6" s="22">
        <f>'Data Sheet &gt;'!K59</f>
        <v>9176</v>
      </c>
    </row>
    <row r="7" spans="1:11" x14ac:dyDescent="0.3">
      <c r="A7" t="s">
        <v>18</v>
      </c>
      <c r="B7" s="22">
        <f>'Data Sheet &gt;'!B60</f>
        <v>14166</v>
      </c>
      <c r="C7" s="22">
        <f>'Data Sheet &gt;'!C60</f>
        <v>14426</v>
      </c>
      <c r="D7" s="22">
        <f>'Data Sheet &gt;'!D60</f>
        <v>19118</v>
      </c>
      <c r="E7" s="22">
        <f>'Data Sheet &gt;'!E60</f>
        <v>21717</v>
      </c>
      <c r="F7" s="22">
        <f>'Data Sheet &gt;'!F60</f>
        <v>25835</v>
      </c>
      <c r="G7" s="22">
        <f>'Data Sheet &gt;'!G60</f>
        <v>35905</v>
      </c>
      <c r="H7" s="22">
        <f>'Data Sheet &gt;'!H60</f>
        <v>40890</v>
      </c>
      <c r="I7" s="22">
        <f>'Data Sheet &gt;'!I60</f>
        <v>39545</v>
      </c>
      <c r="J7" s="22">
        <f>'Data Sheet &gt;'!J60</f>
        <v>43750</v>
      </c>
      <c r="K7" s="22">
        <f>'Data Sheet &gt;'!K60</f>
        <v>52260</v>
      </c>
    </row>
    <row r="8" spans="1:11" s="1" customFormat="1" x14ac:dyDescent="0.3">
      <c r="A8" s="1" t="s">
        <v>86</v>
      </c>
      <c r="B8" s="23">
        <f>'Data Sheet &gt;'!B61</f>
        <v>83148</v>
      </c>
      <c r="C8" s="23">
        <f>'Data Sheet &gt;'!C61</f>
        <v>79349</v>
      </c>
      <c r="D8" s="23">
        <f>'Data Sheet &gt;'!D61</f>
        <v>84066</v>
      </c>
      <c r="E8" s="23">
        <f>'Data Sheet &gt;'!E61</f>
        <v>91800</v>
      </c>
      <c r="F8" s="23">
        <f>'Data Sheet &gt;'!F61</f>
        <v>107511</v>
      </c>
      <c r="G8" s="23">
        <f>'Data Sheet &gt;'!G61</f>
        <v>116729</v>
      </c>
      <c r="H8" s="23">
        <f>'Data Sheet &gt;'!H61</f>
        <v>124596</v>
      </c>
      <c r="I8" s="23">
        <f>'Data Sheet &gt;'!I61</f>
        <v>136020</v>
      </c>
      <c r="J8" s="23">
        <f>'Data Sheet &gt;'!J61</f>
        <v>147795</v>
      </c>
      <c r="K8" s="23">
        <f>'Data Sheet &gt;'!K61</f>
        <v>154288</v>
      </c>
    </row>
    <row r="9" spans="1:11" s="1" customFormat="1" x14ac:dyDescent="0.3">
      <c r="B9" s="23"/>
      <c r="C9" s="23"/>
      <c r="D9" s="23"/>
      <c r="E9" s="23"/>
      <c r="F9" s="23"/>
      <c r="G9" s="23"/>
      <c r="H9" s="23"/>
      <c r="I9" s="23"/>
      <c r="J9" s="23"/>
      <c r="K9" s="23"/>
    </row>
    <row r="10" spans="1:11" x14ac:dyDescent="0.3">
      <c r="A10" t="s">
        <v>87</v>
      </c>
      <c r="B10" s="22">
        <f>'Data Sheet &gt;'!B62</f>
        <v>14179</v>
      </c>
      <c r="C10" s="22">
        <f>'Data Sheet &gt;'!C62</f>
        <v>12574</v>
      </c>
      <c r="D10" s="22">
        <f>'Data Sheet &gt;'!D62</f>
        <v>15710</v>
      </c>
      <c r="E10" s="22">
        <f>'Data Sheet &gt;'!E62</f>
        <v>23789</v>
      </c>
      <c r="F10" s="22">
        <f>'Data Sheet &gt;'!F62</f>
        <v>25505</v>
      </c>
      <c r="G10" s="22">
        <f>'Data Sheet &gt;'!G62</f>
        <v>25800</v>
      </c>
      <c r="H10" s="22">
        <f>'Data Sheet &gt;'!H62</f>
        <v>29225</v>
      </c>
      <c r="I10" s="22">
        <f>'Data Sheet &gt;'!I62</f>
        <v>27622</v>
      </c>
      <c r="J10" s="22">
        <f>'Data Sheet &gt;'!J62</f>
        <v>30961</v>
      </c>
      <c r="K10" s="22">
        <f>'Data Sheet &gt;'!K62</f>
        <v>33770</v>
      </c>
    </row>
    <row r="11" spans="1:11" x14ac:dyDescent="0.3">
      <c r="A11" t="s">
        <v>19</v>
      </c>
      <c r="B11" s="22">
        <f>'Data Sheet &gt;'!B63</f>
        <v>1365</v>
      </c>
      <c r="C11" s="22">
        <f>'Data Sheet &gt;'!C63</f>
        <v>1606</v>
      </c>
      <c r="D11" s="22">
        <f>'Data Sheet &gt;'!D63</f>
        <v>1388</v>
      </c>
      <c r="E11" s="22">
        <f>'Data Sheet &gt;'!E63</f>
        <v>954</v>
      </c>
      <c r="F11" s="22">
        <f>'Data Sheet &gt;'!F63</f>
        <v>922</v>
      </c>
      <c r="G11" s="22">
        <f>'Data Sheet &gt;'!G63</f>
        <v>416</v>
      </c>
      <c r="H11" s="22">
        <f>'Data Sheet &gt;'!H63</f>
        <v>288</v>
      </c>
      <c r="I11" s="22">
        <f>'Data Sheet &gt;'!I63</f>
        <v>293</v>
      </c>
      <c r="J11" s="22">
        <f>'Data Sheet &gt;'!J63</f>
        <v>814</v>
      </c>
      <c r="K11" s="22">
        <f>'Data Sheet &gt;'!K63</f>
        <v>526</v>
      </c>
    </row>
    <row r="12" spans="1:11" x14ac:dyDescent="0.3">
      <c r="A12" t="s">
        <v>20</v>
      </c>
      <c r="B12" s="22">
        <f>'Data Sheet &gt;'!B64</f>
        <v>16423</v>
      </c>
      <c r="C12" s="22">
        <f>'Data Sheet &gt;'!C64</f>
        <v>12163</v>
      </c>
      <c r="D12" s="22">
        <f>'Data Sheet &gt;'!D64</f>
        <v>11261</v>
      </c>
      <c r="E12" s="22">
        <f>'Data Sheet &gt;'!E64</f>
        <v>8792</v>
      </c>
      <c r="F12" s="22">
        <f>'Data Sheet &gt;'!F64</f>
        <v>14205</v>
      </c>
      <c r="G12" s="22">
        <f>'Data Sheet &gt;'!G64</f>
        <v>20324</v>
      </c>
      <c r="H12" s="22">
        <f>'Data Sheet &gt;'!H64</f>
        <v>19478</v>
      </c>
      <c r="I12" s="22">
        <f>'Data Sheet &gt;'!I64</f>
        <v>24623</v>
      </c>
      <c r="J12" s="22">
        <f>'Data Sheet &gt;'!J64</f>
        <v>23541</v>
      </c>
      <c r="K12" s="22">
        <f>'Data Sheet &gt;'!K64</f>
        <v>21880</v>
      </c>
    </row>
    <row r="13" spans="1:11" x14ac:dyDescent="0.3">
      <c r="A13" t="s">
        <v>21</v>
      </c>
      <c r="B13" s="22">
        <f>'Data Sheet &gt;'!B65</f>
        <v>51181</v>
      </c>
      <c r="C13" s="22">
        <f>'Data Sheet &gt;'!C65</f>
        <v>53006</v>
      </c>
      <c r="D13" s="22">
        <f>'Data Sheet &gt;'!D65</f>
        <v>55707</v>
      </c>
      <c r="E13" s="22">
        <f>'Data Sheet &gt;'!E65</f>
        <v>58265</v>
      </c>
      <c r="F13" s="22">
        <f>'Data Sheet &gt;'!F65</f>
        <v>66879</v>
      </c>
      <c r="G13" s="22">
        <f>'Data Sheet &gt;'!G65</f>
        <v>70189</v>
      </c>
      <c r="H13" s="22">
        <f>'Data Sheet &gt;'!H65</f>
        <v>75605</v>
      </c>
      <c r="I13" s="22">
        <f>'Data Sheet &gt;'!I65</f>
        <v>83482</v>
      </c>
      <c r="J13" s="22">
        <f>'Data Sheet &gt;'!J65</f>
        <v>92479</v>
      </c>
      <c r="K13" s="22">
        <f>'Data Sheet &gt;'!K65</f>
        <v>98112</v>
      </c>
    </row>
    <row r="14" spans="1:11" s="1" customFormat="1" x14ac:dyDescent="0.3">
      <c r="A14" s="1" t="s">
        <v>86</v>
      </c>
      <c r="B14" s="22">
        <f>'Data Sheet &gt;'!B66</f>
        <v>83148</v>
      </c>
      <c r="C14" s="22">
        <f>'Data Sheet &gt;'!C66</f>
        <v>79349</v>
      </c>
      <c r="D14" s="22">
        <f>'Data Sheet &gt;'!D66</f>
        <v>84066</v>
      </c>
      <c r="E14" s="22">
        <f>'Data Sheet &gt;'!E66</f>
        <v>91800</v>
      </c>
      <c r="F14" s="22">
        <f>'Data Sheet &gt;'!F66</f>
        <v>107511</v>
      </c>
      <c r="G14" s="22">
        <f>'Data Sheet &gt;'!G66</f>
        <v>116729</v>
      </c>
      <c r="H14" s="22">
        <f>'Data Sheet &gt;'!H66</f>
        <v>124596</v>
      </c>
      <c r="I14" s="22">
        <f>'Data Sheet &gt;'!I66</f>
        <v>136020</v>
      </c>
      <c r="J14" s="22">
        <f>'Data Sheet &gt;'!J66</f>
        <v>147795</v>
      </c>
      <c r="K14" s="22">
        <f>'Data Sheet &gt;'!K66</f>
        <v>154288</v>
      </c>
    </row>
    <row r="15" spans="1:11" x14ac:dyDescent="0.3">
      <c r="B15" s="3"/>
      <c r="C15" s="3"/>
      <c r="D15" s="3"/>
      <c r="E15" s="3"/>
      <c r="F15" s="3"/>
      <c r="G15" s="3"/>
      <c r="H15" s="3"/>
      <c r="I15" s="3"/>
      <c r="J15" s="3"/>
      <c r="K15" s="3"/>
    </row>
    <row r="16" spans="1:11" x14ac:dyDescent="0.3">
      <c r="A16" t="s">
        <v>122</v>
      </c>
      <c r="B16" s="3">
        <f t="shared" ref="B16:K16" si="0">B13-B7</f>
        <v>37015</v>
      </c>
      <c r="C16" s="3">
        <f t="shared" si="0"/>
        <v>38580</v>
      </c>
      <c r="D16" s="3">
        <f t="shared" si="0"/>
        <v>36589</v>
      </c>
      <c r="E16" s="3">
        <f t="shared" si="0"/>
        <v>36548</v>
      </c>
      <c r="F16" s="3">
        <f t="shared" si="0"/>
        <v>41044</v>
      </c>
      <c r="G16" s="3">
        <f t="shared" si="0"/>
        <v>34284</v>
      </c>
      <c r="H16" s="3">
        <f t="shared" si="0"/>
        <v>34715</v>
      </c>
      <c r="I16" s="3">
        <f t="shared" si="0"/>
        <v>43937</v>
      </c>
      <c r="J16" s="3">
        <f t="shared" si="0"/>
        <v>48729</v>
      </c>
      <c r="K16" s="3">
        <f t="shared" si="0"/>
        <v>45852</v>
      </c>
    </row>
    <row r="17" spans="1:11" x14ac:dyDescent="0.3">
      <c r="A17" t="s">
        <v>123</v>
      </c>
      <c r="B17" s="3">
        <f>'Data Sheet &gt;'!B67</f>
        <v>12322</v>
      </c>
      <c r="C17" s="3">
        <f>'Data Sheet &gt;'!C67</f>
        <v>13142</v>
      </c>
      <c r="D17" s="3">
        <f>'Data Sheet &gt;'!D67</f>
        <v>14827</v>
      </c>
      <c r="E17" s="3">
        <f>'Data Sheet &gt;'!E67</f>
        <v>18487</v>
      </c>
      <c r="F17" s="3">
        <f>'Data Sheet &gt;'!F67</f>
        <v>19294</v>
      </c>
      <c r="G17" s="3">
        <f>'Data Sheet &gt;'!G67</f>
        <v>22698</v>
      </c>
      <c r="H17" s="3">
        <f>'Data Sheet &gt;'!H67</f>
        <v>25424</v>
      </c>
      <c r="I17" s="3">
        <f>'Data Sheet &gt;'!I67</f>
        <v>30193</v>
      </c>
      <c r="J17" s="3">
        <f>'Data Sheet &gt;'!J67</f>
        <v>31158</v>
      </c>
      <c r="K17" s="3">
        <f>'Data Sheet &gt;'!K67</f>
        <v>35234</v>
      </c>
    </row>
    <row r="18" spans="1:11" x14ac:dyDescent="0.3">
      <c r="A18" t="s">
        <v>23</v>
      </c>
      <c r="B18" s="3">
        <f>'Data Sheet &gt;'!B68</f>
        <v>0</v>
      </c>
      <c r="C18" s="3">
        <f>'Data Sheet &gt;'!C68</f>
        <v>0</v>
      </c>
      <c r="D18" s="3">
        <f>'Data Sheet &gt;'!D68</f>
        <v>0</v>
      </c>
      <c r="E18" s="3">
        <f>'Data Sheet &gt;'!E68</f>
        <v>0</v>
      </c>
      <c r="F18" s="3">
        <f>'Data Sheet &gt;'!F68</f>
        <v>0</v>
      </c>
      <c r="G18" s="3">
        <f>'Data Sheet &gt;'!G68</f>
        <v>0</v>
      </c>
      <c r="H18" s="3">
        <f>'Data Sheet &gt;'!H68</f>
        <v>0</v>
      </c>
      <c r="I18" s="3">
        <f>'Data Sheet &gt;'!I68</f>
        <v>0</v>
      </c>
      <c r="J18" s="3">
        <f>'Data Sheet &gt;'!J68</f>
        <v>0</v>
      </c>
      <c r="K18" s="3">
        <f>'Data Sheet &gt;'!K68</f>
        <v>0</v>
      </c>
    </row>
    <row r="20" spans="1:11" x14ac:dyDescent="0.3">
      <c r="A20" t="s">
        <v>57</v>
      </c>
      <c r="B20" s="3">
        <f>IF('Profit &amp; Loss'!B4&gt;0,'His Balance Sheet'!B17/('Profit &amp; Loss'!B4/365),0)</f>
        <v>65.672711874306415</v>
      </c>
      <c r="C20" s="3">
        <f>IF('Profit &amp; Loss'!C4&gt;0,'His Balance Sheet'!C17/('Profit &amp; Loss'!C4/365),0)</f>
        <v>68.018916082924477</v>
      </c>
      <c r="D20" s="3">
        <f>IF('Profit &amp; Loss'!D4&gt;0,'His Balance Sheet'!D17/('Profit &amp; Loss'!D4/365),0)</f>
        <v>65.459389174478375</v>
      </c>
      <c r="E20" s="3">
        <f>IF('Profit &amp; Loss'!E4&gt;0,'His Balance Sheet'!E17/('Profit &amp; Loss'!E4/365),0)</f>
        <v>74.321849081957467</v>
      </c>
      <c r="F20" s="3">
        <f>IF('Profit &amp; Loss'!F4&gt;0,'His Balance Sheet'!F17/('Profit &amp; Loss'!F4/365),0)</f>
        <v>70.092264511505689</v>
      </c>
      <c r="G20" s="3">
        <f>IF('Profit &amp; Loss'!G4&gt;0,'His Balance Sheet'!G17/('Profit &amp; Loss'!G4/365),0)</f>
        <v>68.108368066688044</v>
      </c>
      <c r="H20" s="3">
        <f>IF('Profit &amp; Loss'!H4&gt;0,'His Balance Sheet'!H17/('Profit &amp; Loss'!H4/365),0)</f>
        <v>63.227837320378562</v>
      </c>
      <c r="I20" s="3">
        <f>IF('Profit &amp; Loss'!I4&gt;0,'His Balance Sheet'!I17/('Profit &amp; Loss'!I4/365),0)</f>
        <v>71.715006182078469</v>
      </c>
      <c r="J20" s="3">
        <f>IF('Profit &amp; Loss'!J4&gt;0,'His Balance Sheet'!J17/('Profit &amp; Loss'!J4/365),0)</f>
        <v>69.775262286029815</v>
      </c>
      <c r="K20" s="3">
        <f>IF('Profit &amp; Loss'!K4&gt;0,'His Balance Sheet'!K17/('Profit &amp; Loss'!K4/365),0)</f>
        <v>71.986621886369988</v>
      </c>
    </row>
    <row r="21" spans="1:11" x14ac:dyDescent="0.3">
      <c r="A21" t="s">
        <v>56</v>
      </c>
      <c r="B21" s="3">
        <f>IF('His Balance Sheet'!B18&gt;0,'Profit &amp; Loss'!B4/'His Balance Sheet'!B18,0)</f>
        <v>0</v>
      </c>
      <c r="C21" s="3">
        <f>IF('His Balance Sheet'!C18&gt;0,'Profit &amp; Loss'!C4/'His Balance Sheet'!C18,0)</f>
        <v>0</v>
      </c>
      <c r="D21" s="3">
        <f>IF('His Balance Sheet'!D18&gt;0,'Profit &amp; Loss'!D4/'His Balance Sheet'!D18,0)</f>
        <v>0</v>
      </c>
      <c r="E21" s="3">
        <f>IF('His Balance Sheet'!E18&gt;0,'Profit &amp; Loss'!E4/'His Balance Sheet'!E18,0)</f>
        <v>0</v>
      </c>
      <c r="F21" s="3">
        <f>IF('His Balance Sheet'!F18&gt;0,'Profit &amp; Loss'!F4/'His Balance Sheet'!F18,0)</f>
        <v>0</v>
      </c>
      <c r="G21" s="3">
        <f>IF('His Balance Sheet'!G18&gt;0,'Profit &amp; Loss'!G4/'His Balance Sheet'!G18,0)</f>
        <v>0</v>
      </c>
      <c r="H21" s="3">
        <f>IF('His Balance Sheet'!H18&gt;0,'Profit &amp; Loss'!H4/'His Balance Sheet'!H18,0)</f>
        <v>0</v>
      </c>
      <c r="I21" s="3">
        <f>IF('His Balance Sheet'!I18&gt;0,'Profit &amp; Loss'!I4/'His Balance Sheet'!I18,0)</f>
        <v>0</v>
      </c>
      <c r="J21" s="3">
        <f>IF('His Balance Sheet'!J18&gt;0,'Profit &amp; Loss'!J4/'His Balance Sheet'!J18,0)</f>
        <v>0</v>
      </c>
      <c r="K21" s="3">
        <f>IF('His Balance Sheet'!K18&gt;0,'Profit &amp; Loss'!K4/'His Balance Sheet'!K18,0)</f>
        <v>0</v>
      </c>
    </row>
    <row r="23" spans="1:11" s="1" customFormat="1" x14ac:dyDescent="0.3">
      <c r="A23" s="1" t="s">
        <v>124</v>
      </c>
      <c r="B23" s="20">
        <f>IF(SUM('His Balance Sheet'!B4:B5)&gt;0,'Profit &amp; Loss'!B12/SUM('His Balance Sheet'!B4:B5),"")</f>
        <v>0.20806877156359629</v>
      </c>
      <c r="C23" s="20">
        <f>IF(SUM('His Balance Sheet'!C4:C5)&gt;0,'Profit &amp; Loss'!C12/SUM('His Balance Sheet'!C4:C5),"")</f>
        <v>0.24689247262141306</v>
      </c>
      <c r="D23" s="20">
        <f>IF(SUM('His Balance Sheet'!D4:D5)&gt;0,'Profit &amp; Loss'!D12/SUM('His Balance Sheet'!D4:D5),"")</f>
        <v>0.23717435486851018</v>
      </c>
      <c r="E23" s="20">
        <f>IF(SUM('His Balance Sheet'!E4:E5)&gt;0,'Profit &amp; Loss'!E12/SUM('His Balance Sheet'!E4:E5),"")</f>
        <v>0.25353705118411002</v>
      </c>
      <c r="F23" s="20">
        <f>IF(SUM('His Balance Sheet'!F4:F5)&gt;0,'Profit &amp; Loss'!F12/SUM('His Balance Sheet'!F4:F5),"")</f>
        <v>0.2534478919726002</v>
      </c>
      <c r="G23" s="20">
        <f>IF(SUM('His Balance Sheet'!G4:G5)&gt;0,'Profit &amp; Loss'!G12/SUM('His Balance Sheet'!G4:G5),"")</f>
        <v>0.29343065693430659</v>
      </c>
      <c r="H23" s="20">
        <f>IF(SUM('His Balance Sheet'!H4:H5)&gt;0,'Profit &amp; Loss'!H12/SUM('His Balance Sheet'!H4:H5),"")</f>
        <v>0.31953266938082669</v>
      </c>
      <c r="I23" s="20">
        <f>IF(SUM('His Balance Sheet'!I4:I5)&gt;0,'Profit &amp; Loss'!I12/SUM('His Balance Sheet'!I4:I5),"")</f>
        <v>0.29770983703300197</v>
      </c>
      <c r="J23" s="20">
        <f>IF(SUM('His Balance Sheet'!J4:J5)&gt;0,'Profit &amp; Loss'!J12/SUM('His Balance Sheet'!J4:J5),"")</f>
        <v>0.27878895405873633</v>
      </c>
      <c r="K23" s="20">
        <f>IF(SUM('His Balance Sheet'!K4:K5)&gt;0,'Profit &amp; Loss'!K12/SUM('His Balance Sheet'!K4:K5),"")</f>
        <v>0.31706371429802266</v>
      </c>
    </row>
    <row r="24" spans="1:11" s="1" customFormat="1" x14ac:dyDescent="0.3">
      <c r="A24" s="1" t="s">
        <v>125</v>
      </c>
      <c r="B24" s="20"/>
      <c r="C24" s="20">
        <f>IF((B4+B5+B6+C4+C5+C6)&gt;0,('Profit &amp; Loss'!C10+'Profit &amp; Loss'!C9)*2/(B4+B5+B6+C4+C5+C6),"")</f>
        <v>0.30275195101004443</v>
      </c>
      <c r="D24" s="20">
        <f>IF((C4+C5+C6+D4+D5+D6)&gt;0,('Profit &amp; Loss'!D10+'Profit &amp; Loss'!D9)*2/(C4+C5+C6+D4+D5+D6),"")</f>
        <v>0.3240292290041657</v>
      </c>
      <c r="E24" s="20">
        <f>IF((D4+D5+D6+E4+E5+E6)&gt;0,('Profit &amp; Loss'!E10+'Profit &amp; Loss'!E9)*2/(D4+D5+D6+E4+E5+E6),"")</f>
        <v>0.32847272107886338</v>
      </c>
      <c r="F24" s="20">
        <f>IF((E4+E5+E6+F4+F5+F6)&gt;0,('Profit &amp; Loss'!F10+'Profit &amp; Loss'!F9)*2/(E4+E5+E6+F4+F5+F6),"")</f>
        <v>0.3534946856529102</v>
      </c>
      <c r="G24" s="20">
        <f>IF((F4+F5+F6+G4+G5+G6)&gt;0,('Profit &amp; Loss'!G10+'Profit &amp; Loss'!G9)*2/(F4+F5+F6+G4+G5+G6),"")</f>
        <v>0.37304615384615386</v>
      </c>
      <c r="H24" s="20">
        <f>IF((G4+G5+G6+H4+H5+H6)&gt;0,('Profit &amp; Loss'!H10+'Profit &amp; Loss'!H9)*2/(G4+G5+G6+H4+H5+H6),"")</f>
        <v>0.40850908648878625</v>
      </c>
      <c r="I24" s="20">
        <f>IF((H4+H5+H6+I4+I5+I6)&gt;0,('Profit &amp; Loss'!I10+'Profit &amp; Loss'!I9)*2/(H4+H5+H6+I4+I5+I6),"")</f>
        <v>0.40468195869708795</v>
      </c>
      <c r="J24" s="20">
        <f>IF((I4+I5+I6+J4+J5+J6)&gt;0,('Profit &amp; Loss'!J10+'Profit &amp; Loss'!J9)*2/(I4+I5+I6+J4+J5+J6),"")</f>
        <v>0.37925393975663274</v>
      </c>
      <c r="K24" s="20">
        <f>IF((J4+J5+J6+K4+K5+K6)&gt;0,('Profit &amp; Loss'!K10+'Profit &amp; Loss'!K9)*2/(J4+J5+J6+K4+K5+K6),"")</f>
        <v>0.39220082203879209</v>
      </c>
    </row>
    <row r="26" spans="1:11" x14ac:dyDescent="0.3">
      <c r="A26" t="s">
        <v>8733</v>
      </c>
      <c r="B26" s="192">
        <f>B4+B5</f>
        <v>68982</v>
      </c>
      <c r="C26" s="192">
        <f t="shared" ref="C26:K26" si="1">C4+C5</f>
        <v>64923</v>
      </c>
      <c r="D26" s="192">
        <f t="shared" si="1"/>
        <v>64948</v>
      </c>
      <c r="E26" s="192">
        <f t="shared" si="1"/>
        <v>65450</v>
      </c>
      <c r="F26" s="192">
        <f t="shared" si="1"/>
        <v>76351</v>
      </c>
      <c r="G26" s="192">
        <f t="shared" si="1"/>
        <v>75350</v>
      </c>
      <c r="H26" s="192">
        <f t="shared" si="1"/>
        <v>75407</v>
      </c>
      <c r="I26" s="192">
        <f t="shared" si="1"/>
        <v>88116</v>
      </c>
      <c r="J26" s="192">
        <f t="shared" si="1"/>
        <v>95818</v>
      </c>
      <c r="K26" s="192">
        <f t="shared" si="1"/>
        <v>92852</v>
      </c>
    </row>
  </sheetData>
  <hyperlinks>
    <hyperlink ref="J1" r:id="rId1" xr:uid="{00000000-0004-0000-0900-000000000000}"/>
  </hyperlinks>
  <printOptions gridLines="1"/>
  <pageMargins left="0.7" right="0.7" top="0.75" bottom="0.75" header="0.511811023622047" footer="0.511811023622047"/>
  <pageSetup paperSize="9" scale="74" orientation="landscape" horizontalDpi="300" verticalDpi="300"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K8"/>
  <sheetViews>
    <sheetView zoomScaleNormal="100" workbookViewId="0">
      <pane xSplit="1" ySplit="3" topLeftCell="B4" activePane="bottomRight" state="frozen"/>
      <selection pane="topRight" activeCell="B1" sqref="B1"/>
      <selection pane="bottomLeft" activeCell="A4" sqref="A4"/>
      <selection pane="bottomRight" activeCell="G16" sqref="G16"/>
    </sheetView>
  </sheetViews>
  <sheetFormatPr defaultColWidth="8.77734375" defaultRowHeight="14.4" x14ac:dyDescent="0.3"/>
  <cols>
    <col min="1" max="1" width="26.77734375" customWidth="1"/>
    <col min="2" max="11" width="13.44140625" customWidth="1"/>
  </cols>
  <sheetData>
    <row r="1" spans="1:11" s="1" customFormat="1" x14ac:dyDescent="0.3">
      <c r="A1" s="1" t="str">
        <f>'His Balance Sheet'!A1</f>
        <v>INFOSYS LTD</v>
      </c>
      <c r="E1" s="1" t="str">
        <f>UPDATE</f>
        <v/>
      </c>
      <c r="J1" s="1" t="s">
        <v>103</v>
      </c>
    </row>
    <row r="3" spans="1:11" s="1" customFormat="1" x14ac:dyDescent="0.3">
      <c r="A3" s="13" t="s">
        <v>104</v>
      </c>
      <c r="B3" s="6">
        <f>'Data Sheet &gt;'!B81</f>
        <v>42825</v>
      </c>
      <c r="C3" s="6">
        <f>'Data Sheet &gt;'!C81</f>
        <v>43190</v>
      </c>
      <c r="D3" s="6">
        <f>'Data Sheet &gt;'!D81</f>
        <v>43555</v>
      </c>
      <c r="E3" s="6">
        <f>'Data Sheet &gt;'!E81</f>
        <v>43921</v>
      </c>
      <c r="F3" s="6">
        <f>'Data Sheet &gt;'!F81</f>
        <v>44286</v>
      </c>
      <c r="G3" s="6">
        <f>'Data Sheet &gt;'!G81</f>
        <v>44651</v>
      </c>
      <c r="H3" s="6">
        <f>'Data Sheet &gt;'!H81</f>
        <v>45016</v>
      </c>
      <c r="I3" s="6">
        <f>'Data Sheet &gt;'!I81</f>
        <v>45382</v>
      </c>
      <c r="J3" s="6">
        <f>'Data Sheet &gt;'!J81</f>
        <v>45747</v>
      </c>
      <c r="K3" s="6">
        <f>'Data Sheet &gt;'!K81</f>
        <v>46112</v>
      </c>
    </row>
    <row r="4" spans="1:11" s="1" customFormat="1" x14ac:dyDescent="0.3">
      <c r="A4" s="1" t="s">
        <v>92</v>
      </c>
      <c r="B4" s="4">
        <f>'Data Sheet &gt;'!B82</f>
        <v>11531</v>
      </c>
      <c r="C4" s="4">
        <f>'Data Sheet &gt;'!C82</f>
        <v>13218</v>
      </c>
      <c r="D4" s="4">
        <f>'Data Sheet &gt;'!D82</f>
        <v>14841</v>
      </c>
      <c r="E4" s="4">
        <f>'Data Sheet &gt;'!E82</f>
        <v>17003</v>
      </c>
      <c r="F4" s="4">
        <f>'Data Sheet &gt;'!F82</f>
        <v>23224</v>
      </c>
      <c r="G4" s="4">
        <f>'Data Sheet &gt;'!G82</f>
        <v>23885</v>
      </c>
      <c r="H4" s="4">
        <f>'Data Sheet &gt;'!H82</f>
        <v>22467</v>
      </c>
      <c r="I4" s="4">
        <f>'Data Sheet &gt;'!I82</f>
        <v>25210</v>
      </c>
      <c r="J4" s="4">
        <f>'Data Sheet &gt;'!J82</f>
        <v>35694</v>
      </c>
      <c r="K4" s="4">
        <f>'Data Sheet &gt;'!K82</f>
        <v>33986</v>
      </c>
    </row>
    <row r="5" spans="1:11" x14ac:dyDescent="0.3">
      <c r="A5" t="s">
        <v>93</v>
      </c>
      <c r="B5" s="3">
        <f>'Data Sheet &gt;'!B83</f>
        <v>-14664</v>
      </c>
      <c r="C5" s="3">
        <f>'Data Sheet &gt;'!C83</f>
        <v>4533</v>
      </c>
      <c r="D5" s="3">
        <f>'Data Sheet &gt;'!D83</f>
        <v>-632</v>
      </c>
      <c r="E5" s="3">
        <f>'Data Sheet &gt;'!E83</f>
        <v>-331</v>
      </c>
      <c r="F5" s="3">
        <f>'Data Sheet &gt;'!F83</f>
        <v>-7373</v>
      </c>
      <c r="G5" s="3">
        <f>'Data Sheet &gt;'!G83</f>
        <v>-6485</v>
      </c>
      <c r="H5" s="3">
        <f>'Data Sheet &gt;'!H83</f>
        <v>-1071</v>
      </c>
      <c r="I5" s="3">
        <f>'Data Sheet &gt;'!I83</f>
        <v>-5093</v>
      </c>
      <c r="J5" s="3">
        <f>'Data Sheet &gt;'!J83</f>
        <v>-1864</v>
      </c>
      <c r="K5" s="3">
        <f>'Data Sheet &gt;'!K83</f>
        <v>3546</v>
      </c>
    </row>
    <row r="6" spans="1:11" x14ac:dyDescent="0.3">
      <c r="A6" t="s">
        <v>94</v>
      </c>
      <c r="B6" s="3">
        <f>'Data Sheet &gt;'!B84</f>
        <v>-6939</v>
      </c>
      <c r="C6" s="3">
        <f>'Data Sheet &gt;'!C84</f>
        <v>-20505</v>
      </c>
      <c r="D6" s="3">
        <f>'Data Sheet &gt;'!D84</f>
        <v>-14512</v>
      </c>
      <c r="E6" s="3">
        <f>'Data Sheet &gt;'!E84</f>
        <v>-17591</v>
      </c>
      <c r="F6" s="3">
        <f>'Data Sheet &gt;'!F84</f>
        <v>-9786</v>
      </c>
      <c r="G6" s="3">
        <f>'Data Sheet &gt;'!G84</f>
        <v>-24642</v>
      </c>
      <c r="H6" s="3">
        <f>'Data Sheet &gt;'!H84</f>
        <v>-26695</v>
      </c>
      <c r="I6" s="3">
        <f>'Data Sheet &gt;'!I84</f>
        <v>-17504</v>
      </c>
      <c r="J6" s="3">
        <f>'Data Sheet &gt;'!J84</f>
        <v>-24161</v>
      </c>
      <c r="K6" s="3">
        <f>'Data Sheet &gt;'!K84</f>
        <v>-39786</v>
      </c>
    </row>
    <row r="7" spans="1:11" s="1" customFormat="1" x14ac:dyDescent="0.3">
      <c r="A7" s="1" t="s">
        <v>54</v>
      </c>
      <c r="B7" s="4">
        <f>'Data Sheet &gt;'!B85</f>
        <v>-10072</v>
      </c>
      <c r="C7" s="4">
        <f>'Data Sheet &gt;'!C85</f>
        <v>-2754</v>
      </c>
      <c r="D7" s="4">
        <f>'Data Sheet &gt;'!D85</f>
        <v>-303</v>
      </c>
      <c r="E7" s="4">
        <f>'Data Sheet &gt;'!E85</f>
        <v>-919</v>
      </c>
      <c r="F7" s="4">
        <f>'Data Sheet &gt;'!F85</f>
        <v>6065</v>
      </c>
      <c r="G7" s="4">
        <f>'Data Sheet &gt;'!G85</f>
        <v>-7242</v>
      </c>
      <c r="H7" s="4">
        <f>'Data Sheet &gt;'!H85</f>
        <v>-5299</v>
      </c>
      <c r="I7" s="4">
        <f>'Data Sheet &gt;'!I85</f>
        <v>2613</v>
      </c>
      <c r="J7" s="4">
        <f>'Data Sheet &gt;'!J85</f>
        <v>9669</v>
      </c>
      <c r="K7" s="4">
        <f>'Data Sheet &gt;'!K85</f>
        <v>-2254</v>
      </c>
    </row>
    <row r="8" spans="1:11" x14ac:dyDescent="0.3">
      <c r="B8" s="3"/>
      <c r="C8" s="3"/>
      <c r="D8" s="3"/>
      <c r="E8" s="3"/>
      <c r="F8" s="3"/>
      <c r="G8" s="3"/>
      <c r="H8" s="3"/>
      <c r="I8" s="3"/>
      <c r="J8" s="3"/>
      <c r="K8" s="3"/>
    </row>
  </sheetData>
  <hyperlinks>
    <hyperlink ref="J1" r:id="rId1" xr:uid="{00000000-0004-0000-0A00-000000000000}"/>
  </hyperlinks>
  <printOptions gridLines="1"/>
  <pageMargins left="0.7" right="0.7" top="0.75" bottom="0.75" header="0.511811023622047" footer="0.511811023622047"/>
  <pageSetup paperSize="9" scale="81" orientation="landscape" horizontalDpi="300" verticalDpi="300"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24</vt:i4>
      </vt:variant>
      <vt:variant>
        <vt:lpstr>Named Ranges</vt:lpstr>
      </vt:variant>
      <vt:variant>
        <vt:i4>2</vt:i4>
      </vt:variant>
    </vt:vector>
  </HeadingPairs>
  <TitlesOfParts>
    <vt:vector size="26" baseType="lpstr">
      <vt:lpstr>Teaser</vt:lpstr>
      <vt:lpstr>Input Sheet</vt:lpstr>
      <vt:lpstr>Dupont Analysis</vt:lpstr>
      <vt:lpstr>List of Stocks</vt:lpstr>
      <vt:lpstr>Football Field</vt:lpstr>
      <vt:lpstr>Comparable Company Valuation</vt:lpstr>
      <vt:lpstr>DCF</vt:lpstr>
      <vt:lpstr>WACC</vt:lpstr>
      <vt:lpstr>Beta - Regression</vt:lpstr>
      <vt:lpstr>RM</vt:lpstr>
      <vt:lpstr>Common Size Statement</vt:lpstr>
      <vt:lpstr>Ratio Analysis</vt:lpstr>
      <vt:lpstr>Cash Flow   </vt:lpstr>
      <vt:lpstr>Balance Sheet</vt:lpstr>
      <vt:lpstr>Income Statement </vt:lpstr>
      <vt:lpstr>Dep Capex</vt:lpstr>
      <vt:lpstr>Warking </vt:lpstr>
      <vt:lpstr>Assumption Drivers</vt:lpstr>
      <vt:lpstr>Data Sheet &gt;</vt:lpstr>
      <vt:lpstr>Profit &amp; Loss</vt:lpstr>
      <vt:lpstr>Cash Flow Data</vt:lpstr>
      <vt:lpstr>Quarters</vt:lpstr>
      <vt:lpstr>His Balance Sheet</vt:lpstr>
      <vt:lpstr>Cash Flow</vt:lpstr>
      <vt:lpstr>'Dupont Analysis'!Print_Area</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Pratyush</dc:creator>
  <dc:description/>
  <cp:lastModifiedBy>atanu patra</cp:lastModifiedBy>
  <cp:revision>0</cp:revision>
  <cp:lastPrinted>2026-10-23T19:21:24Z</cp:lastPrinted>
  <dcterms:created xsi:type="dcterms:W3CDTF">2012-08-17T09:55:37Z</dcterms:created>
  <dcterms:modified xsi:type="dcterms:W3CDTF">2026-10-23T19:25:09Z</dcterms:modified>
  <dc:language>en-US</dc:language>
</cp:coreProperties>
</file>